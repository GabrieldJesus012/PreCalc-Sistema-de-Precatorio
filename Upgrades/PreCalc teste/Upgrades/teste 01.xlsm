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TJPI\Downloads\PreCalc\Upgrades\"/>
    </mc:Choice>
  </mc:AlternateContent>
  <xr:revisionPtr revIDLastSave="0" documentId="8_{04B8334A-521B-4798-8934-754CAF2CE754}" xr6:coauthVersionLast="47" xr6:coauthVersionMax="47" xr10:uidLastSave="{00000000-0000-0000-0000-000000000000}"/>
  <bookViews>
    <workbookView xWindow="-120" yWindow="-120" windowWidth="29040" windowHeight="15720" xr2:uid="{CBF8DA99-1CE2-48E3-AA60-BB65F58A5AC4}"/>
  </bookViews>
  <sheets>
    <sheet name="Planilh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7" i="1" l="1"/>
</calcChain>
</file>

<file path=xl/sharedStrings.xml><?xml version="1.0" encoding="utf-8"?>
<sst xmlns="http://schemas.openxmlformats.org/spreadsheetml/2006/main" count="73" uniqueCount="50">
  <si>
    <t xml:space="preserve">         PreCalc - PIAUÍ</t>
  </si>
  <si>
    <t>INFORMAÇÕES GERAIS</t>
  </si>
  <si>
    <t>PRECATÓRIO Nº:</t>
  </si>
  <si>
    <t>0710192-12.2019.8.18.0000</t>
  </si>
  <si>
    <t>P. ORÇAMENTO:</t>
  </si>
  <si>
    <t>PROTOCOLO:</t>
  </si>
  <si>
    <t>20/05/2019</t>
  </si>
  <si>
    <t>EXEQUENTE:</t>
  </si>
  <si>
    <t>WALTER PIRES DE CARVALHO</t>
  </si>
  <si>
    <t>EXECUTADO:</t>
  </si>
  <si>
    <t>ESTADO DO PIAUÍ</t>
  </si>
  <si>
    <t>DATA DO CÁLCULO HOMOLOGADO:</t>
  </si>
  <si>
    <t>PRINCIPAL HOMOLOGADO:</t>
  </si>
  <si>
    <t>JUROS HOMOLOGADO:</t>
  </si>
  <si>
    <t>TOTAL HOMOLOGADO:</t>
  </si>
  <si>
    <t xml:space="preserve">         ESCOLHA SUA PLANILHA</t>
  </si>
  <si>
    <t># PREFÊNCIA ATÉ 2020</t>
  </si>
  <si>
    <t># PREFÊNCIA SINDIFAZ</t>
  </si>
  <si>
    <t># PREFÊNCIA 2021</t>
  </si>
  <si>
    <t># PREFÊNCIA 2022</t>
  </si>
  <si>
    <t># PREFÊNCIA 2023</t>
  </si>
  <si>
    <t># PREFÊNCIA 2024</t>
  </si>
  <si>
    <t># ACORDO 2023 (ORC.2020)</t>
  </si>
  <si>
    <t># ACORDO SINDIFAZ</t>
  </si>
  <si>
    <t># ACORDO SÓ LAGUZ</t>
  </si>
  <si>
    <t># ORDEM ATÉ 2020</t>
  </si>
  <si>
    <t># ORDEM SINDIFAZ</t>
  </si>
  <si>
    <t># ORDEM 2021</t>
  </si>
  <si>
    <t># ORDEM 2022</t>
  </si>
  <si>
    <t># ORDEM 2023</t>
  </si>
  <si>
    <t># ORDEM 2024</t>
  </si>
  <si>
    <t># GILBERTO</t>
  </si>
  <si>
    <t># JUROS</t>
  </si>
  <si>
    <t># SELIC E IPCA-E</t>
  </si>
  <si>
    <t># IR</t>
  </si>
  <si>
    <t># RESOLUÇÃO 303 CNJ</t>
  </si>
  <si>
    <t>ÚLTIMA ATUALIZAÇÃO:</t>
  </si>
  <si>
    <t>11/2024</t>
  </si>
  <si>
    <t>VERSÃO:</t>
  </si>
  <si>
    <t>2.6 Janeiro/2025</t>
  </si>
  <si>
    <t>DADOS FINANCEIRO</t>
  </si>
  <si>
    <t>SELIC HOMOLOGADO:</t>
  </si>
  <si>
    <t>Honorários Contratuais</t>
  </si>
  <si>
    <t>Honorários Sucumbenciais</t>
  </si>
  <si>
    <t>Nome</t>
  </si>
  <si>
    <t>Informe o CNPJ/CPF</t>
  </si>
  <si>
    <t>Percentual</t>
  </si>
  <si>
    <t>CNPJ/CPF</t>
  </si>
  <si>
    <t>CPF</t>
  </si>
  <si>
    <t>CNPJ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</si>
</sst>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7" formatCode="[$R$-416]&quot; &quot;#,##0.00;[Red]&quot;-&quot;[$R$-416]&quot; &quot;#,##0.00"/>
    <numFmt numFmtId="177" formatCode="#,##0.00&quot; &quot;;&quot;-&quot;#,##0.00&quot; &quot;;&quot;-&quot;00&quot; &quot;;@&quot; &quot;"/>
    <numFmt numFmtId="179" formatCode="[$R$-416]&quot; &quot;#,##0.00&quot; &quot;;&quot;-&quot;[$R$-416]&quot; &quot;#,##0.00&quot; &quot;;[$R$-416]&quot; -&quot;00&quot; &quot;;@&quot; &quot;"/>
    <numFmt numFmtId="186" formatCode="mmmm/yyyy"/>
  </numFmts>
  <fonts count="24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000000"/>
      <name val="Calibri"/>
      <family val="2"/>
    </font>
    <font>
      <b/>
      <sz val="10"/>
      <color rgb="FF000000"/>
      <name val="Calibri"/>
      <family val="2"/>
    </font>
    <font>
      <sz val="10"/>
      <color rgb="FFFFFFFF"/>
      <name val="Calibri"/>
      <family val="2"/>
    </font>
    <font>
      <sz val="10"/>
      <color rgb="FFCC0000"/>
      <name val="Calibri"/>
      <family val="2"/>
    </font>
    <font>
      <b/>
      <sz val="10"/>
      <color rgb="FFFFFFFF"/>
      <name val="Calibri"/>
      <family val="2"/>
    </font>
    <font>
      <i/>
      <sz val="10"/>
      <color rgb="FF808080"/>
      <name val="Calibri"/>
      <family val="2"/>
    </font>
    <font>
      <sz val="10"/>
      <color rgb="FF006600"/>
      <name val="Calibri"/>
      <family val="2"/>
    </font>
    <font>
      <b/>
      <i/>
      <sz val="16"/>
      <color rgb="FF000000"/>
      <name val="Calibri"/>
      <family val="2"/>
    </font>
    <font>
      <b/>
      <i/>
      <sz val="16"/>
      <color rgb="FF000000"/>
      <name val="Arial"/>
      <family val="2"/>
    </font>
    <font>
      <sz val="10"/>
      <color rgb="FF996600"/>
      <name val="Calibri"/>
      <family val="2"/>
    </font>
    <font>
      <sz val="11"/>
      <color rgb="FF000000"/>
      <name val="Liberation Sans2"/>
    </font>
    <font>
      <sz val="11"/>
      <color rgb="FF000000"/>
      <name val="Liberation Sans1"/>
    </font>
    <font>
      <sz val="11"/>
      <color rgb="FF000000"/>
      <name val="Arial"/>
      <family val="2"/>
    </font>
    <font>
      <sz val="10"/>
      <color rgb="FF333333"/>
      <name val="Calibri"/>
      <family val="2"/>
    </font>
    <font>
      <b/>
      <i/>
      <u/>
      <sz val="11"/>
      <color rgb="FF000000"/>
      <name val="Calibri"/>
      <family val="2"/>
    </font>
    <font>
      <b/>
      <i/>
      <u/>
      <sz val="11"/>
      <color rgb="FF000000"/>
      <name val="Arial"/>
      <family val="2"/>
    </font>
    <font>
      <sz val="18"/>
      <color rgb="FF000000"/>
      <name val="Verdana3"/>
    </font>
    <font>
      <b/>
      <sz val="18"/>
      <color rgb="FF000000"/>
      <name val="Verdana3"/>
    </font>
    <font>
      <sz val="18"/>
      <color theme="3" tint="-0.249977111117893"/>
      <name val="Verdana3"/>
    </font>
    <font>
      <sz val="18"/>
      <color rgb="FFFF0000"/>
      <name val="Verdana3"/>
    </font>
    <font>
      <b/>
      <sz val="18"/>
      <color theme="3" tint="-0.249977111117893"/>
      <name val="Verdana3"/>
    </font>
    <font>
      <sz val="18"/>
      <color theme="1"/>
      <name val="Verdana3"/>
    </font>
  </fonts>
  <fills count="13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6">
    <xf numFmtId="0" fontId="0" fillId="0" borderId="0"/>
    <xf numFmtId="9" fontId="1" fillId="0" borderId="0" applyFont="0" applyFill="0" applyBorder="0" applyAlignment="0" applyProtection="0"/>
    <xf numFmtId="0" fontId="2" fillId="0" borderId="0"/>
    <xf numFmtId="0" fontId="3" fillId="0" borderId="0" applyNumberFormat="0" applyBorder="0" applyProtection="0"/>
    <xf numFmtId="0" fontId="4" fillId="2" borderId="0" applyNumberFormat="0" applyBorder="0" applyProtection="0"/>
    <xf numFmtId="0" fontId="4" fillId="3" borderId="0" applyNumberFormat="0" applyBorder="0" applyProtection="0"/>
    <xf numFmtId="0" fontId="3" fillId="4" borderId="0" applyNumberFormat="0" applyBorder="0" applyProtection="0"/>
    <xf numFmtId="0" fontId="5" fillId="5" borderId="0" applyNumberFormat="0" applyBorder="0" applyProtection="0"/>
    <xf numFmtId="0" fontId="6" fillId="6" borderId="0" applyNumberFormat="0" applyBorder="0" applyProtection="0"/>
    <xf numFmtId="9" fontId="2" fillId="0" borderId="0" applyFont="0" applyBorder="0" applyProtection="0"/>
    <xf numFmtId="0" fontId="7" fillId="0" borderId="0" applyNumberFormat="0" applyBorder="0" applyProtection="0"/>
    <xf numFmtId="0" fontId="8" fillId="7" borderId="0" applyNumberFormat="0" applyBorder="0" applyProtection="0"/>
    <xf numFmtId="0" fontId="9" fillId="0" borderId="0" applyNumberFormat="0" applyBorder="0" applyProtection="0">
      <alignment horizontal="center"/>
    </xf>
    <xf numFmtId="0" fontId="9" fillId="0" borderId="0" applyNumberFormat="0" applyBorder="0" applyProtection="0">
      <alignment horizontal="center" textRotation="90"/>
    </xf>
    <xf numFmtId="0" fontId="9" fillId="0" borderId="0" applyNumberFormat="0" applyBorder="0" applyProtection="0">
      <alignment horizontal="center"/>
    </xf>
    <xf numFmtId="0" fontId="10" fillId="0" borderId="0" applyNumberFormat="0" applyBorder="0" applyProtection="0">
      <alignment horizontal="center"/>
    </xf>
    <xf numFmtId="0" fontId="9" fillId="0" borderId="0" applyNumberFormat="0" applyBorder="0" applyProtection="0">
      <alignment horizontal="center" textRotation="90"/>
    </xf>
    <xf numFmtId="0" fontId="10" fillId="0" borderId="0" applyNumberFormat="0" applyBorder="0" applyProtection="0">
      <alignment horizontal="center" textRotation="90"/>
    </xf>
    <xf numFmtId="179" fontId="2" fillId="0" borderId="0" applyFont="0" applyBorder="0" applyProtection="0"/>
    <xf numFmtId="0" fontId="11" fillId="8" borderId="0" applyNumberFormat="0" applyBorder="0" applyProtection="0"/>
    <xf numFmtId="0" fontId="2" fillId="0" borderId="0" applyNumberFormat="0" applyFont="0" applyBorder="0" applyProtection="0"/>
    <xf numFmtId="0" fontId="2" fillId="0" borderId="0" applyNumberFormat="0" applyFont="0" applyBorder="0" applyProtection="0"/>
    <xf numFmtId="0" fontId="12" fillId="0" borderId="0" applyNumberFormat="0" applyBorder="0" applyProtection="0"/>
    <xf numFmtId="0" fontId="13" fillId="0" borderId="0" applyNumberFormat="0" applyBorder="0" applyProtection="0"/>
    <xf numFmtId="0" fontId="2" fillId="0" borderId="0" applyNumberFormat="0" applyFont="0" applyBorder="0" applyProtection="0"/>
    <xf numFmtId="0" fontId="2" fillId="0" borderId="0" applyNumberFormat="0" applyFont="0" applyBorder="0" applyProtection="0"/>
    <xf numFmtId="0" fontId="2" fillId="0" borderId="0" applyNumberFormat="0" applyFont="0" applyBorder="0" applyProtection="0"/>
    <xf numFmtId="0" fontId="2" fillId="0" borderId="0" applyNumberFormat="0" applyFont="0" applyBorder="0" applyProtection="0"/>
    <xf numFmtId="0" fontId="14" fillId="0" borderId="0" applyNumberFormat="0" applyBorder="0" applyProtection="0"/>
    <xf numFmtId="0" fontId="2" fillId="0" borderId="0" applyNumberFormat="0" applyFont="0" applyBorder="0" applyProtection="0"/>
    <xf numFmtId="0" fontId="2" fillId="0" borderId="0" applyNumberFormat="0" applyFont="0" applyBorder="0" applyProtection="0"/>
    <xf numFmtId="0" fontId="2" fillId="0" borderId="0" applyNumberFormat="0" applyFont="0" applyBorder="0" applyProtection="0"/>
    <xf numFmtId="0" fontId="2" fillId="0" borderId="0" applyNumberFormat="0" applyFont="0" applyBorder="0" applyProtection="0"/>
    <xf numFmtId="0" fontId="2" fillId="0" borderId="0" applyNumberFormat="0" applyFont="0" applyBorder="0" applyProtection="0"/>
    <xf numFmtId="0" fontId="15" fillId="8" borderId="1" applyNumberFormat="0" applyProtection="0"/>
    <xf numFmtId="9" fontId="2" fillId="0" borderId="0" applyFont="0" applyBorder="0" applyProtection="0"/>
    <xf numFmtId="9" fontId="14" fillId="0" borderId="0" applyBorder="0" applyProtection="0"/>
    <xf numFmtId="9" fontId="14" fillId="0" borderId="0" applyBorder="0" applyProtection="0"/>
    <xf numFmtId="0" fontId="16" fillId="0" borderId="0" applyNumberFormat="0" applyBorder="0" applyProtection="0"/>
    <xf numFmtId="0" fontId="16" fillId="0" borderId="0" applyNumberFormat="0" applyBorder="0" applyProtection="0"/>
    <xf numFmtId="0" fontId="17" fillId="0" borderId="0" applyNumberFormat="0" applyBorder="0" applyProtection="0"/>
    <xf numFmtId="167" fontId="16" fillId="0" borderId="0" applyBorder="0" applyProtection="0"/>
    <xf numFmtId="167" fontId="16" fillId="0" borderId="0" applyBorder="0" applyProtection="0"/>
    <xf numFmtId="167" fontId="17" fillId="0" borderId="0" applyBorder="0" applyProtection="0"/>
    <xf numFmtId="0" fontId="17" fillId="0" borderId="0" applyNumberFormat="0" applyBorder="0" applyProtection="0"/>
    <xf numFmtId="0" fontId="2" fillId="0" borderId="0" applyNumberFormat="0" applyFont="0" applyBorder="0" applyProtection="0"/>
    <xf numFmtId="0" fontId="2" fillId="0" borderId="0" applyNumberFormat="0" applyFont="0" applyBorder="0" applyProtection="0"/>
    <xf numFmtId="177" fontId="2" fillId="0" borderId="0" applyFont="0" applyBorder="0" applyProtection="0"/>
    <xf numFmtId="177" fontId="2" fillId="0" borderId="0" applyFont="0" applyBorder="0" applyProtection="0"/>
    <xf numFmtId="177" fontId="14" fillId="0" borderId="0" applyBorder="0" applyProtection="0"/>
    <xf numFmtId="177" fontId="2" fillId="0" borderId="0" applyFont="0" applyBorder="0" applyProtection="0"/>
    <xf numFmtId="177" fontId="14" fillId="0" borderId="0" applyBorder="0" applyProtection="0"/>
    <xf numFmtId="177" fontId="14" fillId="0" borderId="0" applyBorder="0" applyProtection="0"/>
    <xf numFmtId="0" fontId="5" fillId="0" borderId="0" applyNumberFormat="0" applyBorder="0" applyProtection="0"/>
    <xf numFmtId="0" fontId="1" fillId="0" borderId="0"/>
    <xf numFmtId="0" fontId="1" fillId="0" borderId="0"/>
  </cellStyleXfs>
  <cellXfs count="36">
    <xf numFmtId="0" fontId="0" fillId="0" borderId="0" xfId="0"/>
    <xf numFmtId="0" fontId="19" fillId="9" borderId="0" xfId="2" applyFont="1" applyFill="1"/>
    <xf numFmtId="0" fontId="18" fillId="9" borderId="0" xfId="2" applyFont="1" applyFill="1" applyAlignment="1">
      <alignment horizontal="left" vertical="center"/>
    </xf>
    <xf numFmtId="0" fontId="18" fillId="0" borderId="0" xfId="2" applyFont="1"/>
    <xf numFmtId="0" fontId="19" fillId="9" borderId="0" xfId="2" applyFont="1" applyFill="1" applyAlignment="1">
      <alignment horizontal="center"/>
    </xf>
    <xf numFmtId="0" fontId="20" fillId="9" borderId="0" xfId="2" applyFont="1" applyFill="1"/>
    <xf numFmtId="17" fontId="20" fillId="9" borderId="0" xfId="2" applyNumberFormat="1" applyFont="1" applyFill="1"/>
    <xf numFmtId="0" fontId="18" fillId="9" borderId="5" xfId="2" applyFont="1" applyFill="1" applyBorder="1"/>
    <xf numFmtId="0" fontId="18" fillId="9" borderId="6" xfId="2" applyFont="1" applyFill="1" applyBorder="1"/>
    <xf numFmtId="14" fontId="18" fillId="9" borderId="0" xfId="2" applyNumberFormat="1" applyFont="1" applyFill="1" applyAlignment="1">
      <alignment horizontal="left" vertical="center"/>
    </xf>
    <xf numFmtId="0" fontId="18" fillId="9" borderId="5" xfId="2" applyFont="1" applyFill="1" applyBorder="1" applyAlignment="1">
      <alignment horizontal="left" vertical="center"/>
    </xf>
    <xf numFmtId="0" fontId="18" fillId="11" borderId="2" xfId="2" applyFont="1" applyFill="1" applyBorder="1" applyAlignment="1">
      <alignment horizontal="left" vertical="center"/>
    </xf>
    <xf numFmtId="0" fontId="18" fillId="11" borderId="3" xfId="2" applyFont="1" applyFill="1" applyBorder="1" applyAlignment="1" applyProtection="1">
      <alignment horizontal="left" vertical="center"/>
      <protection locked="0"/>
    </xf>
    <xf numFmtId="0" fontId="18" fillId="11" borderId="3" xfId="2" applyFont="1" applyFill="1" applyBorder="1"/>
    <xf numFmtId="0" fontId="18" fillId="11" borderId="4" xfId="2" applyFont="1" applyFill="1" applyBorder="1"/>
    <xf numFmtId="0" fontId="18" fillId="11" borderId="3" xfId="2" applyFont="1" applyFill="1" applyBorder="1" applyAlignment="1">
      <alignment horizontal="left" vertical="center"/>
    </xf>
    <xf numFmtId="14" fontId="18" fillId="11" borderId="3" xfId="2" applyNumberFormat="1" applyFont="1" applyFill="1" applyBorder="1" applyAlignment="1">
      <alignment horizontal="left" vertical="center"/>
    </xf>
    <xf numFmtId="0" fontId="18" fillId="11" borderId="2" xfId="2" applyFont="1" applyFill="1" applyBorder="1" applyAlignment="1">
      <alignment horizontal="left" vertical="center" wrapText="1"/>
    </xf>
    <xf numFmtId="186" fontId="18" fillId="11" borderId="3" xfId="2" applyNumberFormat="1" applyFont="1" applyFill="1" applyBorder="1" applyAlignment="1">
      <alignment horizontal="left" vertical="center"/>
    </xf>
    <xf numFmtId="0" fontId="18" fillId="11" borderId="2" xfId="2" applyFont="1" applyFill="1" applyBorder="1" applyAlignment="1">
      <alignment wrapText="1"/>
    </xf>
    <xf numFmtId="39" fontId="18" fillId="11" borderId="3" xfId="2" applyNumberFormat="1" applyFont="1" applyFill="1" applyBorder="1"/>
    <xf numFmtId="0" fontId="18" fillId="0" borderId="0" xfId="2" applyFont="1" applyAlignment="1">
      <alignment horizontal="center"/>
    </xf>
    <xf numFmtId="0" fontId="20" fillId="9" borderId="0" xfId="2" applyFont="1" applyFill="1" applyAlignment="1">
      <alignment horizontal="center" vertical="center"/>
    </xf>
    <xf numFmtId="0" fontId="22" fillId="9" borderId="0" xfId="2" applyFont="1" applyFill="1" applyAlignment="1">
      <alignment horizontal="center"/>
    </xf>
    <xf numFmtId="0" fontId="19" fillId="12" borderId="0" xfId="2" applyFont="1" applyFill="1" applyAlignment="1">
      <alignment horizontal="center"/>
    </xf>
    <xf numFmtId="0" fontId="21" fillId="9" borderId="2" xfId="2" applyFont="1" applyFill="1" applyBorder="1" applyAlignment="1">
      <alignment horizontal="center"/>
    </xf>
    <xf numFmtId="0" fontId="21" fillId="9" borderId="3" xfId="2" applyFont="1" applyFill="1" applyBorder="1" applyAlignment="1">
      <alignment horizontal="center"/>
    </xf>
    <xf numFmtId="0" fontId="21" fillId="9" borderId="4" xfId="2" applyFont="1" applyFill="1" applyBorder="1" applyAlignment="1">
      <alignment horizontal="center"/>
    </xf>
    <xf numFmtId="0" fontId="19" fillId="10" borderId="0" xfId="2" applyFont="1" applyFill="1" applyAlignment="1">
      <alignment horizontal="center"/>
    </xf>
    <xf numFmtId="37" fontId="18" fillId="11" borderId="3" xfId="2" applyNumberFormat="1" applyFont="1" applyFill="1" applyBorder="1" applyAlignment="1">
      <alignment horizontal="center"/>
    </xf>
    <xf numFmtId="0" fontId="23" fillId="0" borderId="0" xfId="0" applyFont="1"/>
    <xf numFmtId="0" fontId="18" fillId="9" borderId="7" xfId="2" applyFont="1" applyFill="1" applyBorder="1"/>
    <xf numFmtId="0" fontId="18" fillId="0" borderId="8" xfId="2" applyFont="1" applyBorder="1"/>
    <xf numFmtId="0" fontId="18" fillId="9" borderId="9" xfId="2" applyFont="1" applyFill="1" applyBorder="1"/>
    <xf numFmtId="9" fontId="18" fillId="0" borderId="0" xfId="1" applyFont="1"/>
    <xf numFmtId="9" fontId="18" fillId="0" borderId="8" xfId="1" applyFont="1" applyBorder="1"/>
  </cellXfs>
  <cellStyles count="56">
    <cellStyle name="Accent" xfId="3" xr:uid="{BF23A97F-9DC0-4AA0-9319-413EEE422244}"/>
    <cellStyle name="Accent 1" xfId="4" xr:uid="{79B64C04-7E2F-4881-985C-D97B10538C3F}"/>
    <cellStyle name="Accent 2" xfId="5" xr:uid="{7DD54C59-4EED-4C08-B2A6-DF140502E1F2}"/>
    <cellStyle name="Accent 3" xfId="6" xr:uid="{00DDF7B7-F71C-40EF-8F80-B926B62A417E}"/>
    <cellStyle name="Bad" xfId="7" xr:uid="{2343A0DD-F804-40D1-97DC-5CE50AABE849}"/>
    <cellStyle name="Error" xfId="8" xr:uid="{4C5D5994-82E5-4AF0-905A-B5E5E69E3CF3}"/>
    <cellStyle name="Excel_BuiltIn_Percent" xfId="9" xr:uid="{2B2845A3-4669-4E85-A03D-89BD2C83F5C6}"/>
    <cellStyle name="Footnote" xfId="10" xr:uid="{08E5A401-F5B1-4CA6-A7CA-F62E954D6112}"/>
    <cellStyle name="Good" xfId="11" xr:uid="{B11F0D43-A1D3-49FE-B8C4-4ECC7F39926E}"/>
    <cellStyle name="Heading" xfId="12" xr:uid="{C2F20D1C-16F5-48F9-84E8-072AF8B03CDE}"/>
    <cellStyle name="Heading 1" xfId="13" xr:uid="{F3530438-F36B-4D9D-AA11-EF80E21CD73B}"/>
    <cellStyle name="Heading 2" xfId="14" xr:uid="{11B22E61-B119-40F3-83E5-604F83A479B0}"/>
    <cellStyle name="Heading 3" xfId="15" xr:uid="{CDF9A13E-1D6A-4706-8FEC-177D26AF0405}"/>
    <cellStyle name="Heading1 2" xfId="16" xr:uid="{782365F1-B38B-4AEF-B9ED-E21CAD6B3A71}"/>
    <cellStyle name="Heading1 3" xfId="17" xr:uid="{D7A05E2E-E5A6-4D20-8896-FA46A74BBCB5}"/>
    <cellStyle name="Moeda 2" xfId="18" xr:uid="{6067D68F-C6B1-4206-B6E0-760DB3C30FC9}"/>
    <cellStyle name="Neutral" xfId="19" xr:uid="{2C977C27-2ACC-461F-BF14-E55DE5369137}"/>
    <cellStyle name="Normal" xfId="0" builtinId="0"/>
    <cellStyle name="Normal 10" xfId="20" xr:uid="{C90E389B-9523-4FA3-8CB7-423029AE52E9}"/>
    <cellStyle name="Normal 2" xfId="21" xr:uid="{D9C477F3-D1AC-4A0F-BA82-E65E347DE9F9}"/>
    <cellStyle name="Normal 3" xfId="22" xr:uid="{5F31F376-C99E-4119-BCA6-6C69EF1D28E6}"/>
    <cellStyle name="Normal 3 2" xfId="23" xr:uid="{94C840AE-3B04-4ED8-9DB5-29AF121E56FE}"/>
    <cellStyle name="Normal 4" xfId="24" xr:uid="{565040D1-39FA-42A1-ADAF-B7EDB5322BBA}"/>
    <cellStyle name="Normal 40" xfId="25" xr:uid="{02420B11-3971-4FE5-B5C8-83F4C63AB87F}"/>
    <cellStyle name="Normal 48" xfId="26" xr:uid="{4EADBFB6-1451-4D11-BDDB-078664693EAE}"/>
    <cellStyle name="Normal 49" xfId="27" xr:uid="{B6F6766A-C262-417C-8F5F-3EBD79EC4055}"/>
    <cellStyle name="Normal 5" xfId="28" xr:uid="{6B3F6785-7776-4260-8F8B-3442A3E69E7C}"/>
    <cellStyle name="Normal 5 4 4" xfId="29" xr:uid="{2CF31692-7DF6-4726-8E68-E3F6A55E6207}"/>
    <cellStyle name="Normal 5 4 4 5" xfId="30" xr:uid="{F0164ED9-0976-45EE-B4E6-D1DAF6EA9B25}"/>
    <cellStyle name="Normal 6" xfId="54" xr:uid="{5E8F3267-7F60-4835-930A-9FF2E8772C38}"/>
    <cellStyle name="Normal 61" xfId="31" xr:uid="{A7767DB3-48EB-4214-98A0-0112AF28A06F}"/>
    <cellStyle name="Normal 62" xfId="32" xr:uid="{94E1C3E4-148C-43F4-8D72-0C77D37FC6F3}"/>
    <cellStyle name="Normal 7" xfId="33" xr:uid="{3F1647FE-8DBC-4485-91CF-14697F4895EB}"/>
    <cellStyle name="Normal 8" xfId="55" xr:uid="{5FE7D3FB-73D7-4036-A26C-EA069B0F4B2E}"/>
    <cellStyle name="Normal 9" xfId="2" xr:uid="{AD3B31B6-B5D6-4EFB-BEA7-B451259415EC}"/>
    <cellStyle name="Note" xfId="34" xr:uid="{C1705240-705F-45C7-84CF-870668441193}"/>
    <cellStyle name="Porcentagem" xfId="1" builtinId="5"/>
    <cellStyle name="Porcentagem 2" xfId="36" xr:uid="{86A813B1-3FFF-4BCB-A414-27393E504E86}"/>
    <cellStyle name="Porcentagem 3" xfId="37" xr:uid="{D217306F-BAB2-48DE-82A3-D0E684C37C8D}"/>
    <cellStyle name="Porcentagem 4" xfId="35" xr:uid="{5429D796-7EFE-4823-97D1-E1F420CD6F86}"/>
    <cellStyle name="Result" xfId="38" xr:uid="{BB6ADB2C-FE70-460C-A695-36A447C1134F}"/>
    <cellStyle name="Result 2" xfId="39" xr:uid="{3FF8D2C0-28D3-4E0A-8BDE-12935C561E40}"/>
    <cellStyle name="Result 3" xfId="40" xr:uid="{CC2ABA0D-7E8A-4E06-89AB-F5BD456DEC06}"/>
    <cellStyle name="Result2" xfId="41" xr:uid="{8A7D2E1E-A40E-4CA7-B02B-36D2696CE2B6}"/>
    <cellStyle name="Result2 2" xfId="42" xr:uid="{6F1F3EE3-4AAD-44EB-9919-54503C5A485D}"/>
    <cellStyle name="Result2 2 2" xfId="43" xr:uid="{EB9FAF8D-13AD-438B-91F9-B1DFC10CD5EF}"/>
    <cellStyle name="Result2 3" xfId="44" xr:uid="{B3065C02-BCE0-4EFD-A01D-08663D883597}"/>
    <cellStyle name="Status" xfId="45" xr:uid="{A37D927C-6D30-4A23-B493-A53D84440AA0}"/>
    <cellStyle name="Text" xfId="46" xr:uid="{86F4212C-7537-48D8-B07E-951C98268A63}"/>
    <cellStyle name="Vírgula 2" xfId="48" xr:uid="{AE001AAF-C525-4677-84DC-AABF10990940}"/>
    <cellStyle name="Vírgula 2 2" xfId="49" xr:uid="{AE251146-143B-400B-A6BB-26CF49AADF57}"/>
    <cellStyle name="Vírgula 3" xfId="50" xr:uid="{1A9BAF21-3851-4B40-9A70-0878AFE3CDC2}"/>
    <cellStyle name="Vírgula 3 2" xfId="51" xr:uid="{3CE2096C-37E9-4D58-B33C-EE6C62211E07}"/>
    <cellStyle name="Vírgula 4" xfId="52" xr:uid="{825C9686-0A62-4FD3-9F71-460EA5716EC9}"/>
    <cellStyle name="Vírgula 5" xfId="47" xr:uid="{6820B13E-7D40-4E59-BDF7-3F49A155D353}"/>
    <cellStyle name="Warning" xfId="53" xr:uid="{365D0281-26CF-4845-8561-CA620705CCE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EAB32-3661-4729-B13D-5D8CE9565FE2}">
  <sheetPr codeName="Planilha1"/>
  <dimension ref="A1:X142"/>
  <sheetViews>
    <sheetView tabSelected="1" topLeftCell="A27" workbookViewId="0">
      <selection activeCell="C29" sqref="C29"/>
    </sheetView>
  </sheetViews>
  <sheetFormatPr defaultRowHeight="23.25" outlineLevelRow="1"/>
  <cols>
    <col min="1" max="1" width="9.140625" style="30"/>
    <col min="2" max="2" width="34.42578125" style="30" customWidth="1"/>
    <col min="3" max="3" width="53.140625" style="30" bestFit="1" customWidth="1"/>
    <col min="4" max="4" width="18.5703125" style="30" bestFit="1" customWidth="1"/>
    <col min="5" max="5" width="34.5703125" style="30" bestFit="1" customWidth="1"/>
    <col min="6" max="6" width="18.42578125" style="30" bestFit="1" customWidth="1"/>
    <col min="7" max="16384" width="9.140625" style="30"/>
  </cols>
  <sheetData>
    <row r="1" spans="1:24">
      <c r="A1" s="22" t="s">
        <v>0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</row>
    <row r="2" spans="1:24">
      <c r="A2" s="22"/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</row>
    <row r="7" spans="1:24">
      <c r="A7" s="3"/>
      <c r="B7" s="25" t="s">
        <v>1</v>
      </c>
      <c r="C7" s="26"/>
      <c r="D7" s="26"/>
      <c r="E7" s="26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7"/>
    </row>
    <row r="8" spans="1:24">
      <c r="A8" s="3"/>
      <c r="B8" s="11" t="s">
        <v>2</v>
      </c>
      <c r="C8" s="12" t="s">
        <v>3</v>
      </c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4"/>
    </row>
    <row r="9" spans="1:24">
      <c r="A9" s="3"/>
      <c r="B9" s="10"/>
      <c r="C9" s="2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8"/>
    </row>
    <row r="10" spans="1:24">
      <c r="A10" s="3"/>
      <c r="B10" s="11" t="s">
        <v>4</v>
      </c>
      <c r="C10" s="15">
        <v>2020</v>
      </c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4"/>
    </row>
    <row r="11" spans="1:24">
      <c r="A11" s="3"/>
      <c r="B11" s="10"/>
      <c r="C11" s="2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8"/>
    </row>
    <row r="12" spans="1:24">
      <c r="A12" s="3"/>
      <c r="B12" s="11" t="s">
        <v>5</v>
      </c>
      <c r="C12" s="16" t="s">
        <v>6</v>
      </c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4"/>
    </row>
    <row r="13" spans="1:24">
      <c r="A13" s="3"/>
      <c r="B13" s="10"/>
      <c r="C13" s="9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8"/>
    </row>
    <row r="14" spans="1:24">
      <c r="A14" s="3"/>
      <c r="B14" s="11" t="s">
        <v>7</v>
      </c>
      <c r="C14" s="15" t="s">
        <v>8</v>
      </c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4"/>
    </row>
    <row r="15" spans="1:24">
      <c r="A15" s="3"/>
      <c r="B15" s="10"/>
      <c r="C15" s="2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8"/>
    </row>
    <row r="16" spans="1:24">
      <c r="A16" s="3"/>
      <c r="B16" s="11" t="s">
        <v>9</v>
      </c>
      <c r="C16" s="15" t="s">
        <v>10</v>
      </c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4"/>
    </row>
    <row r="17" spans="1:24">
      <c r="A17" s="3"/>
      <c r="B17" s="10"/>
      <c r="C17" s="2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8"/>
    </row>
    <row r="18" spans="1:24">
      <c r="A18" s="3"/>
      <c r="B18" s="25" t="s">
        <v>40</v>
      </c>
      <c r="C18" s="26"/>
      <c r="D18" s="26"/>
      <c r="E18" s="26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7"/>
    </row>
    <row r="19" spans="1:24" ht="46.5">
      <c r="A19" s="3"/>
      <c r="B19" s="17" t="s">
        <v>11</v>
      </c>
      <c r="C19" s="18">
        <v>43132</v>
      </c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4"/>
    </row>
    <row r="20" spans="1:24">
      <c r="A20" s="3"/>
      <c r="B20" s="7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8"/>
    </row>
    <row r="21" spans="1:24" ht="46.5">
      <c r="A21" s="3"/>
      <c r="B21" s="19" t="s">
        <v>12</v>
      </c>
      <c r="C21" s="20">
        <v>163024.51999999999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4"/>
    </row>
    <row r="22" spans="1:24">
      <c r="A22" s="3"/>
      <c r="B22" s="7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8"/>
    </row>
    <row r="23" spans="1:24" ht="46.5">
      <c r="A23" s="3"/>
      <c r="B23" s="19" t="s">
        <v>13</v>
      </c>
      <c r="C23" s="20">
        <v>190035.47</v>
      </c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4"/>
    </row>
    <row r="24" spans="1:24">
      <c r="A24" s="3"/>
      <c r="B24" s="7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8"/>
    </row>
    <row r="25" spans="1:24" ht="46.5">
      <c r="A25" s="3"/>
      <c r="B25" s="19" t="s">
        <v>41</v>
      </c>
      <c r="C25" s="20">
        <v>0</v>
      </c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4"/>
    </row>
    <row r="26" spans="1:24">
      <c r="A26" s="3"/>
      <c r="B26" s="7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8"/>
    </row>
    <row r="27" spans="1:24" ht="46.5">
      <c r="A27" s="3"/>
      <c r="B27" s="19" t="s">
        <v>14</v>
      </c>
      <c r="C27" s="20">
        <f>C21+C23+C25</f>
        <v>353059.99</v>
      </c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4"/>
    </row>
    <row r="28" spans="1:24">
      <c r="A28" s="3"/>
      <c r="B28" s="7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8"/>
    </row>
    <row r="29" spans="1:24" ht="46.5" customHeight="1">
      <c r="A29" s="3"/>
      <c r="B29" s="19" t="s">
        <v>42</v>
      </c>
      <c r="C29" s="29">
        <v>0</v>
      </c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4"/>
    </row>
    <row r="30" spans="1:24" ht="46.5" hidden="1" customHeight="1" outlineLevel="1">
      <c r="A30" s="3"/>
      <c r="B30" s="7"/>
      <c r="C30" s="21" t="s">
        <v>44</v>
      </c>
      <c r="D30" s="21" t="s">
        <v>47</v>
      </c>
      <c r="E30" s="21" t="s">
        <v>45</v>
      </c>
      <c r="F30" s="21" t="s">
        <v>46</v>
      </c>
      <c r="G30" s="21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8"/>
    </row>
    <row r="31" spans="1:24" hidden="1" outlineLevel="1">
      <c r="A31" s="3"/>
      <c r="B31" s="7">
        <v>1</v>
      </c>
      <c r="C31" s="3"/>
      <c r="D31" s="3" t="s">
        <v>48</v>
      </c>
      <c r="E31" s="3"/>
      <c r="F31" s="34">
        <v>0.02</v>
      </c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8"/>
    </row>
    <row r="32" spans="1:24" hidden="1" outlineLevel="1">
      <c r="A32" s="3"/>
      <c r="B32" s="7">
        <v>2</v>
      </c>
      <c r="C32" s="3"/>
      <c r="D32" s="3" t="s">
        <v>49</v>
      </c>
      <c r="E32" s="3"/>
      <c r="F32" s="34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8"/>
    </row>
    <row r="33" spans="1:24" hidden="1" outlineLevel="1">
      <c r="A33" s="3"/>
      <c r="B33" s="7">
        <v>3</v>
      </c>
      <c r="C33" s="3"/>
      <c r="D33" s="3" t="s">
        <v>49</v>
      </c>
      <c r="E33" s="3"/>
      <c r="F33" s="34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8"/>
    </row>
    <row r="34" spans="1:24" hidden="1" outlineLevel="1">
      <c r="A34" s="3"/>
      <c r="B34" s="7">
        <v>4</v>
      </c>
      <c r="C34" s="3"/>
      <c r="D34" s="3" t="s">
        <v>49</v>
      </c>
      <c r="E34" s="3"/>
      <c r="F34" s="34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8"/>
    </row>
    <row r="35" spans="1:24" hidden="1" outlineLevel="1">
      <c r="A35" s="3"/>
      <c r="B35" s="7">
        <v>5</v>
      </c>
      <c r="C35" s="3"/>
      <c r="D35" s="3" t="s">
        <v>49</v>
      </c>
      <c r="E35" s="3"/>
      <c r="F35" s="34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8"/>
    </row>
    <row r="36" spans="1:24" hidden="1" outlineLevel="1">
      <c r="A36" s="3"/>
      <c r="B36" s="7">
        <v>6</v>
      </c>
      <c r="C36" s="3"/>
      <c r="D36" s="3" t="s">
        <v>49</v>
      </c>
      <c r="E36" s="3"/>
      <c r="F36" s="34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8"/>
    </row>
    <row r="37" spans="1:24" hidden="1" outlineLevel="1">
      <c r="A37" s="3"/>
      <c r="B37" s="7">
        <v>7</v>
      </c>
      <c r="C37" s="3"/>
      <c r="D37" s="3" t="s">
        <v>49</v>
      </c>
      <c r="E37" s="3"/>
      <c r="F37" s="34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8"/>
    </row>
    <row r="38" spans="1:24" hidden="1" outlineLevel="1">
      <c r="A38" s="3"/>
      <c r="B38" s="7">
        <v>8</v>
      </c>
      <c r="C38" s="3"/>
      <c r="D38" s="3" t="s">
        <v>49</v>
      </c>
      <c r="E38" s="3"/>
      <c r="F38" s="34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8"/>
    </row>
    <row r="39" spans="1:24" hidden="1" outlineLevel="1">
      <c r="A39" s="3"/>
      <c r="B39" s="7">
        <v>9</v>
      </c>
      <c r="C39" s="3"/>
      <c r="D39" s="3" t="s">
        <v>49</v>
      </c>
      <c r="E39" s="3"/>
      <c r="F39" s="34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8"/>
    </row>
    <row r="40" spans="1:24" ht="46.5" collapsed="1">
      <c r="A40" s="3"/>
      <c r="B40" s="19" t="s">
        <v>43</v>
      </c>
      <c r="C40" s="29">
        <v>0</v>
      </c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4"/>
    </row>
    <row r="41" spans="1:24" hidden="1" outlineLevel="1">
      <c r="A41" s="3"/>
      <c r="B41" s="7"/>
      <c r="C41" s="3" t="s">
        <v>44</v>
      </c>
      <c r="D41" s="3" t="s">
        <v>47</v>
      </c>
      <c r="E41" s="3" t="s">
        <v>45</v>
      </c>
      <c r="F41" s="3" t="s">
        <v>46</v>
      </c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8"/>
    </row>
    <row r="42" spans="1:24" hidden="1" outlineLevel="1">
      <c r="A42" s="3"/>
      <c r="B42" s="7">
        <v>1</v>
      </c>
      <c r="C42" s="3"/>
      <c r="D42" s="3" t="s">
        <v>49</v>
      </c>
      <c r="E42" s="3"/>
      <c r="F42" s="34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8"/>
    </row>
    <row r="43" spans="1:24" hidden="1" outlineLevel="1">
      <c r="A43" s="3"/>
      <c r="B43" s="7">
        <v>2</v>
      </c>
      <c r="C43" s="3"/>
      <c r="D43" s="3" t="s">
        <v>49</v>
      </c>
      <c r="E43" s="3"/>
      <c r="F43" s="34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8"/>
    </row>
    <row r="44" spans="1:24" hidden="1" outlineLevel="1">
      <c r="A44" s="3"/>
      <c r="B44" s="7">
        <v>3</v>
      </c>
      <c r="C44" s="3"/>
      <c r="D44" s="3" t="s">
        <v>49</v>
      </c>
      <c r="E44" s="3"/>
      <c r="F44" s="34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8"/>
    </row>
    <row r="45" spans="1:24" hidden="1" outlineLevel="1">
      <c r="A45" s="3"/>
      <c r="B45" s="7">
        <v>4</v>
      </c>
      <c r="C45" s="3"/>
      <c r="D45" s="3" t="s">
        <v>49</v>
      </c>
      <c r="E45" s="3"/>
      <c r="F45" s="34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8"/>
    </row>
    <row r="46" spans="1:24" hidden="1" outlineLevel="1">
      <c r="A46" s="3"/>
      <c r="B46" s="7">
        <v>5</v>
      </c>
      <c r="C46" s="3"/>
      <c r="D46" s="3" t="s">
        <v>49</v>
      </c>
      <c r="E46" s="3"/>
      <c r="F46" s="34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8"/>
    </row>
    <row r="47" spans="1:24" hidden="1" outlineLevel="1">
      <c r="A47" s="3"/>
      <c r="B47" s="7">
        <v>6</v>
      </c>
      <c r="C47" s="3"/>
      <c r="D47" s="3" t="s">
        <v>49</v>
      </c>
      <c r="E47" s="3"/>
      <c r="F47" s="34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8"/>
    </row>
    <row r="48" spans="1:24" hidden="1" outlineLevel="1">
      <c r="A48" s="3"/>
      <c r="B48" s="7">
        <v>7</v>
      </c>
      <c r="C48" s="3"/>
      <c r="D48" s="3" t="s">
        <v>49</v>
      </c>
      <c r="E48" s="3"/>
      <c r="F48" s="34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8"/>
    </row>
    <row r="49" spans="1:24" hidden="1" outlineLevel="1">
      <c r="A49" s="3"/>
      <c r="B49" s="7">
        <v>8</v>
      </c>
      <c r="C49" s="3"/>
      <c r="D49" s="3" t="s">
        <v>49</v>
      </c>
      <c r="E49" s="3"/>
      <c r="F49" s="34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8"/>
    </row>
    <row r="50" spans="1:24" hidden="1" outlineLevel="1">
      <c r="A50" s="3"/>
      <c r="B50" s="31">
        <v>9</v>
      </c>
      <c r="C50" s="32"/>
      <c r="D50" s="32" t="s">
        <v>49</v>
      </c>
      <c r="E50" s="32"/>
      <c r="F50" s="35"/>
      <c r="G50" s="32"/>
      <c r="H50" s="32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3"/>
    </row>
    <row r="51" spans="1:24" collapsed="1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</row>
    <row r="52" spans="1:24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</row>
    <row r="53" spans="1:24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</row>
    <row r="54" spans="1:24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</row>
    <row r="55" spans="1:24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</row>
    <row r="56" spans="1:24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</row>
    <row r="57" spans="1:24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</row>
    <row r="58" spans="1:24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</row>
    <row r="59" spans="1:24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</row>
    <row r="60" spans="1:24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</row>
    <row r="61" spans="1:24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</row>
    <row r="62" spans="1:24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</row>
    <row r="63" spans="1:24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</row>
    <row r="64" spans="1:24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</row>
    <row r="65" spans="1:24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</row>
    <row r="66" spans="1:24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</row>
    <row r="67" spans="1:24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</row>
    <row r="68" spans="1:24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</row>
    <row r="69" spans="1:24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</row>
    <row r="70" spans="1:24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</row>
    <row r="71" spans="1:24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</row>
    <row r="72" spans="1:24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</row>
    <row r="73" spans="1:24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</row>
    <row r="74" spans="1:24">
      <c r="A74" s="23" t="s">
        <v>15</v>
      </c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</row>
    <row r="76" spans="1:24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</row>
    <row r="77" spans="1:24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</row>
    <row r="78" spans="1:24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</row>
    <row r="79" spans="1:24">
      <c r="A79" s="3"/>
      <c r="B79" s="24" t="s">
        <v>16</v>
      </c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</row>
    <row r="80" spans="1:24">
      <c r="A80" s="3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</row>
    <row r="81" spans="2:24">
      <c r="B81" s="24" t="s">
        <v>17</v>
      </c>
      <c r="C81" s="24"/>
      <c r="D81" s="24"/>
      <c r="E81" s="24"/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</row>
    <row r="82" spans="2:24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</row>
    <row r="83" spans="2:24">
      <c r="B83" s="24" t="s">
        <v>18</v>
      </c>
      <c r="C83" s="24"/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</row>
    <row r="84" spans="2:24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</row>
    <row r="85" spans="2:24">
      <c r="B85" s="24" t="s">
        <v>19</v>
      </c>
      <c r="C85" s="24"/>
      <c r="D85" s="24"/>
      <c r="E85" s="24"/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</row>
    <row r="86" spans="2:24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</row>
    <row r="87" spans="2:24">
      <c r="B87" s="24" t="s">
        <v>20</v>
      </c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</row>
    <row r="88" spans="2:24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</row>
    <row r="89" spans="2:24">
      <c r="B89" s="24" t="s">
        <v>21</v>
      </c>
      <c r="C89" s="24"/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</row>
    <row r="90" spans="2:24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</row>
    <row r="91" spans="2:24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</row>
    <row r="92" spans="2:24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</row>
    <row r="93" spans="2:24">
      <c r="B93" s="24" t="s">
        <v>22</v>
      </c>
      <c r="C93" s="24"/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</row>
    <row r="94" spans="2:24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</row>
    <row r="95" spans="2:24">
      <c r="B95" s="24" t="s">
        <v>23</v>
      </c>
      <c r="C95" s="24"/>
      <c r="D95" s="24"/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</row>
    <row r="96" spans="2:24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</row>
    <row r="97" spans="2:24">
      <c r="B97" s="24" t="s">
        <v>24</v>
      </c>
      <c r="C97" s="24"/>
      <c r="D97" s="24"/>
      <c r="E97" s="24"/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</row>
    <row r="98" spans="2:24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</row>
    <row r="100" spans="2:24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</row>
    <row r="101" spans="2:24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</row>
    <row r="102" spans="2:24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</row>
    <row r="103" spans="2:24">
      <c r="B103" s="24" t="s">
        <v>25</v>
      </c>
      <c r="C103" s="24"/>
      <c r="D103" s="24"/>
      <c r="E103" s="24"/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</row>
    <row r="104" spans="2:24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</row>
    <row r="105" spans="2:24">
      <c r="B105" s="24" t="s">
        <v>26</v>
      </c>
      <c r="C105" s="24"/>
      <c r="D105" s="24"/>
      <c r="E105" s="24"/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</row>
    <row r="106" spans="2:24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</row>
    <row r="107" spans="2:24">
      <c r="B107" s="24" t="s">
        <v>27</v>
      </c>
      <c r="C107" s="24"/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</row>
    <row r="108" spans="2:24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</row>
    <row r="109" spans="2:24">
      <c r="B109" s="24" t="s">
        <v>28</v>
      </c>
      <c r="C109" s="24"/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</row>
    <row r="110" spans="2:24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</row>
    <row r="111" spans="2:24">
      <c r="B111" s="24" t="s">
        <v>29</v>
      </c>
      <c r="C111" s="24"/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</row>
    <row r="112" spans="2:24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</row>
    <row r="113" spans="2:24">
      <c r="B113" s="24" t="s">
        <v>30</v>
      </c>
      <c r="C113" s="24"/>
      <c r="D113" s="24"/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</row>
    <row r="114" spans="2:24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</row>
    <row r="116" spans="2:24"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</row>
    <row r="117" spans="2:24"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</row>
    <row r="118" spans="2:24"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</row>
    <row r="119" spans="2:24">
      <c r="B119" s="24" t="s">
        <v>19</v>
      </c>
      <c r="C119" s="24"/>
      <c r="D119" s="24"/>
      <c r="E119" s="24"/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</row>
    <row r="120" spans="2:24"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</row>
    <row r="121" spans="2:24">
      <c r="B121" s="24" t="s">
        <v>20</v>
      </c>
      <c r="C121" s="24"/>
      <c r="D121" s="24"/>
      <c r="E121" s="24"/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</row>
    <row r="122" spans="2:24"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</row>
    <row r="123" spans="2:24">
      <c r="B123" s="24" t="s">
        <v>21</v>
      </c>
      <c r="C123" s="24"/>
      <c r="D123" s="24"/>
      <c r="E123" s="24"/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</row>
    <row r="124" spans="2:24"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</row>
    <row r="126" spans="2:24"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</row>
    <row r="127" spans="2:24">
      <c r="B127" s="28" t="s">
        <v>31</v>
      </c>
      <c r="C127" s="28"/>
      <c r="D127" s="28"/>
      <c r="E127" s="28"/>
      <c r="F127" s="28"/>
      <c r="G127" s="28"/>
      <c r="H127" s="28"/>
      <c r="I127" s="28"/>
      <c r="J127" s="28"/>
      <c r="K127" s="28"/>
      <c r="L127" s="28"/>
      <c r="M127" s="28"/>
      <c r="N127" s="28"/>
      <c r="O127" s="28"/>
      <c r="P127" s="28"/>
      <c r="Q127" s="28"/>
      <c r="R127" s="28"/>
      <c r="S127" s="28"/>
      <c r="T127" s="28"/>
      <c r="U127" s="28"/>
      <c r="V127" s="28"/>
      <c r="W127" s="28"/>
      <c r="X127" s="28"/>
    </row>
    <row r="128" spans="2:24"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</row>
    <row r="129" spans="2:24">
      <c r="B129" s="28" t="s">
        <v>32</v>
      </c>
      <c r="C129" s="28"/>
      <c r="D129" s="28"/>
      <c r="E129" s="28"/>
      <c r="F129" s="28"/>
      <c r="G129" s="28"/>
      <c r="H129" s="28"/>
      <c r="I129" s="28"/>
      <c r="J129" s="28"/>
      <c r="K129" s="28"/>
      <c r="L129" s="28"/>
      <c r="M129" s="28"/>
      <c r="N129" s="28"/>
      <c r="O129" s="28"/>
      <c r="P129" s="28"/>
      <c r="Q129" s="28"/>
      <c r="R129" s="28"/>
      <c r="S129" s="28"/>
      <c r="T129" s="28"/>
      <c r="U129" s="28"/>
      <c r="V129" s="28"/>
      <c r="W129" s="28"/>
      <c r="X129" s="28"/>
    </row>
    <row r="130" spans="2:24"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</row>
    <row r="131" spans="2:24">
      <c r="B131" s="28" t="s">
        <v>33</v>
      </c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28"/>
      <c r="N131" s="28"/>
      <c r="O131" s="28"/>
      <c r="P131" s="28"/>
      <c r="Q131" s="28"/>
      <c r="R131" s="28"/>
      <c r="S131" s="28"/>
      <c r="T131" s="28"/>
      <c r="U131" s="28"/>
      <c r="V131" s="28"/>
      <c r="W131" s="28"/>
      <c r="X131" s="28"/>
    </row>
    <row r="132" spans="2:24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</row>
    <row r="133" spans="2:24">
      <c r="B133" s="28" t="s">
        <v>34</v>
      </c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P133" s="28"/>
      <c r="Q133" s="28"/>
      <c r="R133" s="28"/>
      <c r="S133" s="28"/>
      <c r="T133" s="28"/>
      <c r="U133" s="28"/>
      <c r="V133" s="28"/>
      <c r="W133" s="28"/>
      <c r="X133" s="28"/>
    </row>
    <row r="134" spans="2:24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</row>
    <row r="135" spans="2:24">
      <c r="B135" s="28" t="s">
        <v>35</v>
      </c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28"/>
      <c r="N135" s="28"/>
      <c r="O135" s="28"/>
      <c r="P135" s="28"/>
      <c r="Q135" s="28"/>
      <c r="R135" s="28"/>
      <c r="S135" s="28"/>
      <c r="T135" s="28"/>
      <c r="U135" s="28"/>
      <c r="V135" s="28"/>
      <c r="W135" s="28"/>
      <c r="X135" s="28"/>
    </row>
    <row r="136" spans="2:24"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</row>
    <row r="138" spans="2:24"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</row>
    <row r="141" spans="2:24">
      <c r="B141" s="5" t="s">
        <v>36</v>
      </c>
      <c r="C141" s="6" t="s">
        <v>37</v>
      </c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</row>
    <row r="142" spans="2:24">
      <c r="B142" s="5" t="s">
        <v>38</v>
      </c>
      <c r="C142" s="5" t="s">
        <v>39</v>
      </c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</row>
  </sheetData>
  <mergeCells count="27">
    <mergeCell ref="B135:X135"/>
    <mergeCell ref="B127:X127"/>
    <mergeCell ref="B95:X95"/>
    <mergeCell ref="B133:X133"/>
    <mergeCell ref="B97:X97"/>
    <mergeCell ref="B119:X119"/>
    <mergeCell ref="B121:X121"/>
    <mergeCell ref="B123:X123"/>
    <mergeCell ref="B129:X129"/>
    <mergeCell ref="B131:X131"/>
    <mergeCell ref="B103:X103"/>
    <mergeCell ref="B105:X105"/>
    <mergeCell ref="B107:X107"/>
    <mergeCell ref="B109:X109"/>
    <mergeCell ref="B111:X111"/>
    <mergeCell ref="B113:X113"/>
    <mergeCell ref="A1:X2"/>
    <mergeCell ref="A74:X74"/>
    <mergeCell ref="B79:X79"/>
    <mergeCell ref="B81:X81"/>
    <mergeCell ref="B93:X93"/>
    <mergeCell ref="B83:X83"/>
    <mergeCell ref="B85:X85"/>
    <mergeCell ref="B89:X89"/>
    <mergeCell ref="B87:X87"/>
    <mergeCell ref="B7:X7"/>
    <mergeCell ref="B18:X18"/>
  </mergeCells>
  <dataValidations count="2">
    <dataValidation type="list" allowBlank="1" showInputMessage="1" showErrorMessage="1" sqref="C40 C29" xr:uid="{A8368413-20F2-42A0-B54D-C1E9A019D909}">
      <formula1>"0,1,2,3,4,5,6,7,8,9"</formula1>
    </dataValidation>
    <dataValidation type="list" allowBlank="1" showInputMessage="1" showErrorMessage="1" sqref="D31:D39 D42:D50" xr:uid="{F3ABC1F0-617F-4692-BD4B-3BE3FB446B29}">
      <formula1>"CNPJ,CPF"</formula1>
    </dataValidation>
  </dataValidations>
  <hyperlinks>
    <hyperlink ref="B79:X79" location="'PREFERENCIA 2020'!A1" display="# PREFÊNCIA ATÉ 2020" xr:uid="{3FC89363-BC3E-4EE9-B48D-57D922AFAA9B}"/>
    <hyperlink ref="B129:X129" location="'Juros '!A1" display="# JUROS" xr:uid="{6423D351-F5C8-47A3-9049-E001158EE26F}"/>
    <hyperlink ref="B131:X131" location="'Selic e IPCA'!A1" display="# SELIC E IPCA-E" xr:uid="{867689D6-F859-4871-821F-BB922AAE193A}"/>
    <hyperlink ref="B81:X81" location="'PREFERENCIA SINDIFAZ'!A1" display="# PREFÊNCIA SINDIFAZ" xr:uid="{93C85616-16FB-46C8-A125-B982BA85D09D}"/>
    <hyperlink ref="B127:X127" location="GILBERTO!A1" display="# GILBERTO" xr:uid="{D65F01D1-2AF3-48BB-BE05-A957DE411DB1}"/>
    <hyperlink ref="B93:X93" location="'ACORDO 2023'!A1" display="# ACORDO 2023" xr:uid="{29A03DF0-479A-483A-88D5-42D224B5D98F}"/>
    <hyperlink ref="B95:X95" location="'ACORDO SINDIFAZ'!A1" display="# ACORDO SINDIFAZ" xr:uid="{01200024-AF1A-4280-9508-6A61E3CC5BB8}"/>
    <hyperlink ref="B133:X133" location="IR!A1" display="# IR" xr:uid="{6DED7136-862A-4326-AEC3-488A00C7D96A}"/>
    <hyperlink ref="B97:X97" location="'ACORDO SÓ LAGUZ'!A1" display="# ACORDO SÓ LAGUZ" xr:uid="{CC5F60B3-23E8-4C6F-BF82-3038007D221A}"/>
    <hyperlink ref="B83:X83" location="'PREFERENCIA 2021'!A1" display="# PREFÊNCIA 2021" xr:uid="{6A16638D-F37B-4D53-9F5F-2682245D14BE}"/>
    <hyperlink ref="B85:X85" location="'PREFERENCIA 2022'!A1" display="# PREFÊNCIA 2022" xr:uid="{579B2DC0-C195-4B22-BD64-06F2B37AE05B}"/>
    <hyperlink ref="B89:X89" location="'PREFERENCIA 2024'!A1" display="# PREFÊNCIA 2024" xr:uid="{5A4862D0-69CC-4008-B82D-A5DEF2556C51}"/>
    <hyperlink ref="B87:X87" location="'PREFERENCIA 2023'!A1" display="# PREFÊNCIA 2023" xr:uid="{B6BD54C9-2856-4FC6-A785-B09E5B328BCF}"/>
    <hyperlink ref="B135:X135" location="'RESOLUÇÃO 303'!A1" display="# RESOLUÇÃO 303 CNJ" xr:uid="{8668F313-7401-48B5-ABEE-0CAE2FE2C6FD}"/>
    <hyperlink ref="B119:X119" location="'PREFE 2022'!A1" display="# PREFÊNCIA 2022" xr:uid="{6A3FBBA9-D527-4853-85AD-833B9CA0EB54}"/>
    <hyperlink ref="B121:X121" location="'PREFE 2023'!A1" display="# PREFÊNCIA 2023" xr:uid="{A1C6A087-11E7-4691-8034-36740C6CB987}"/>
    <hyperlink ref="B123:X123" location="'PREFE 2024'!A1" display="# PREFÊNCIA 2024" xr:uid="{DB10D0F6-7DD1-49F8-9FC7-DD5F1FB2610B}"/>
    <hyperlink ref="B103:X103" location="'ORDEM 2020'!A1" display="# ORDEM ATÉ 2020" xr:uid="{BAF2A486-3256-43CF-BC1F-0DAA2BC70463}"/>
    <hyperlink ref="B105:X105" location="'ORDEM SINDIFAZ'!A1" display="# ORDEM SINDIFAZ" xr:uid="{F288F66C-5C5C-4E7D-AF88-1BC7C3DDD28E}"/>
    <hyperlink ref="B107:X107" location="'ORDEM 2021'!A1" display="# ORDEM 2021" xr:uid="{BEF5D9EC-52AC-41B1-8DC5-453736C644EB}"/>
    <hyperlink ref="B109:X109" location="'ORDEM 2022'!A1" display="# ORDEM 2022" xr:uid="{6AE41B48-F5BB-4735-934D-1ED30A0241E3}"/>
    <hyperlink ref="B111:X111" location="'ORDEM 2023'!A1" display="# ORDEM 2023" xr:uid="{A15B5EE6-EC07-40B7-9BC4-3FCF3EB7CB04}"/>
    <hyperlink ref="B113:X113" location="'ORDEM 2024'!A1" display="# ORDEM 2024" xr:uid="{4A200545-4A17-4156-862E-3AB5D5C89B27}"/>
  </hyperlink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de Jesus Silva</dc:creator>
  <cp:lastModifiedBy>Gabriel de Jesus Silva</cp:lastModifiedBy>
  <dcterms:created xsi:type="dcterms:W3CDTF">2025-01-24T11:02:14Z</dcterms:created>
  <dcterms:modified xsi:type="dcterms:W3CDTF">2025-01-24T11:44:01Z</dcterms:modified>
</cp:coreProperties>
</file>