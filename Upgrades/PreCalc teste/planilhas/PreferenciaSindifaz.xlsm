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605EE7E5-EECB-4E70-896D-89CD7243EC0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EFERENCIA SINDIFAZ" sheetId="1" r:id="rId1"/>
  </sheets>
  <functionGroups builtInGroupCount="19"/>
  <externalReferences>
    <externalReference r:id="rId2"/>
  </externalReferences>
  <definedNames>
    <definedName name="aliquotaprevidencia">'PREFERENCIA SINDIFAZ'!$T$61</definedName>
    <definedName name="_xlnm.Print_Area" localSheetId="0">'PREFERENCIA SINDIFAZ'!$C$1:$N$99</definedName>
    <definedName name="NomeContador">'PREFERENCIA SINDIFAZ'!$C$89</definedName>
    <definedName name="rratotal">'PREFERENCIA SINDIFAZ'!$S$68</definedName>
    <definedName name="selicpercentual">'PREFERENCIA SINDIFAZ'!$K$18</definedName>
    <definedName name="selicvalor">'PREFERENCIA SINDIFAZ'!$L$18</definedName>
    <definedName name="valorbruto">'PREFERENCIA SINDIFAZ'!$F$48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0" i="1" l="1"/>
  <c r="C89" i="1"/>
  <c r="F16" i="1"/>
  <c r="E16" i="1"/>
  <c r="F15" i="1"/>
  <c r="E15" i="1"/>
  <c r="R17" i="1" s="1"/>
  <c r="E14" i="1"/>
  <c r="E11" i="1"/>
  <c r="E10" i="1"/>
  <c r="D43" i="1" s="1"/>
  <c r="E9" i="1"/>
  <c r="E8" i="1"/>
  <c r="H16" i="1" s="1" a="1"/>
  <c r="H16" i="1" s="1"/>
  <c r="E7" i="1"/>
  <c r="S92" i="1"/>
  <c r="S91" i="1"/>
  <c r="S90" i="1"/>
  <c r="S89" i="1"/>
  <c r="C88" i="1"/>
  <c r="R63" i="1"/>
  <c r="V52" i="1"/>
  <c r="V51" i="1"/>
  <c r="V58" i="1" s="1"/>
  <c r="D47" i="1"/>
  <c r="D46" i="1"/>
  <c r="D45" i="1"/>
  <c r="D44" i="1"/>
  <c r="S41" i="1"/>
  <c r="F36" i="1"/>
  <c r="K29" i="1"/>
  <c r="J27" i="1"/>
  <c r="J25" i="1"/>
  <c r="U24" i="1"/>
  <c r="W24" i="1" s="1"/>
  <c r="R22" i="1"/>
  <c r="J21" i="1"/>
  <c r="J20" i="1"/>
  <c r="T17" i="1"/>
  <c r="L14" i="1"/>
  <c r="J9" i="1" l="1"/>
  <c r="G16" i="1"/>
  <c r="S18" i="1" s="1"/>
  <c r="E17" i="1"/>
  <c r="G15" i="1"/>
  <c r="R18" i="1"/>
  <c r="R19" i="1" s="1"/>
  <c r="R20" i="1" s="1"/>
  <c r="S17" i="1" l="1"/>
  <c r="S19" i="1" s="1"/>
  <c r="I16" i="1"/>
  <c r="G17" i="1"/>
  <c r="J15" i="1"/>
  <c r="R25" i="1" l="1"/>
  <c r="L15" i="1"/>
  <c r="U17" i="1"/>
  <c r="T18" i="1"/>
  <c r="T19" i="1" s="1"/>
  <c r="I17" i="1"/>
  <c r="J16" i="1"/>
  <c r="T25" i="1"/>
  <c r="S20" i="1"/>
  <c r="T20" i="1" l="1"/>
  <c r="L16" i="1"/>
  <c r="V18" i="1" s="1"/>
  <c r="U18" i="1"/>
  <c r="U19" i="1" s="1"/>
  <c r="J17" i="1"/>
  <c r="V17" i="1"/>
  <c r="V19" i="1" l="1"/>
  <c r="L17" i="1"/>
  <c r="U20" i="1"/>
  <c r="W17" i="1"/>
  <c r="V20" i="1"/>
  <c r="K18" i="1" l="1"/>
  <c r="L18" i="1" s="1"/>
  <c r="W18" i="1" l="1"/>
  <c r="W19" i="1" s="1"/>
  <c r="L21" i="1"/>
  <c r="N25" i="1" l="1"/>
  <c r="M25" i="1"/>
  <c r="G34" i="1"/>
  <c r="V25" i="1"/>
  <c r="T29" i="1" s="1"/>
  <c r="R24" i="1"/>
  <c r="G35" i="1"/>
  <c r="S42" i="1"/>
  <c r="N27" i="1"/>
  <c r="N29" i="1" s="1"/>
  <c r="M27" i="1"/>
  <c r="W20" i="1"/>
  <c r="S48" i="1" l="1"/>
  <c r="W65" i="1"/>
  <c r="I35" i="1"/>
  <c r="H35" i="1"/>
  <c r="J35" i="1"/>
  <c r="S25" i="1"/>
  <c r="R68" i="1"/>
  <c r="T24" i="1"/>
  <c r="D81" i="1"/>
  <c r="I34" i="1"/>
  <c r="I36" i="1" s="1"/>
  <c r="G36" i="1"/>
  <c r="H34" i="1"/>
  <c r="W64" i="1"/>
  <c r="V24" i="1" l="1"/>
  <c r="W25" i="1" s="1"/>
  <c r="S45" i="1" s="1"/>
  <c r="U25" i="1"/>
  <c r="S44" i="1" s="1"/>
  <c r="T44" i="1" s="1"/>
  <c r="U44" i="1" s="1"/>
  <c r="T30" i="1"/>
  <c r="J34" i="1"/>
  <c r="J36" i="1" s="1"/>
  <c r="S43" i="1"/>
  <c r="H36" i="1"/>
  <c r="S49" i="1"/>
  <c r="F44" i="1" s="1"/>
  <c r="R69" i="1"/>
  <c r="S70" i="1" s="1"/>
  <c r="S52" i="1"/>
  <c r="F46" i="1" s="1"/>
  <c r="S54" i="1"/>
  <c r="F47" i="1" s="1"/>
  <c r="S51" i="1"/>
  <c r="F45" i="1" s="1"/>
  <c r="S50" i="1"/>
  <c r="H44" i="1" l="1"/>
  <c r="T89" i="1" s="1"/>
  <c r="R89" i="1"/>
  <c r="I44" i="1"/>
  <c r="U89" i="1" s="1"/>
  <c r="V89" i="1" s="1"/>
  <c r="Z104" i="1"/>
  <c r="T80" i="1"/>
  <c r="H46" i="1"/>
  <c r="T91" i="1" s="1"/>
  <c r="R91" i="1"/>
  <c r="S58" i="1"/>
  <c r="H45" i="1"/>
  <c r="T90" i="1" s="1"/>
  <c r="R90" i="1"/>
  <c r="H47" i="1"/>
  <c r="T92" i="1" s="1"/>
  <c r="R92" i="1"/>
  <c r="T43" i="1"/>
  <c r="T45" i="1" s="1"/>
  <c r="U43" i="1"/>
  <c r="I45" i="1" l="1"/>
  <c r="U90" i="1" s="1"/>
  <c r="V90" i="1" s="1"/>
  <c r="I47" i="1"/>
  <c r="U92" i="1" s="1"/>
  <c r="V92" i="1" s="1"/>
  <c r="T73" i="1"/>
  <c r="T75" i="1" s="1"/>
  <c r="T77" i="1" s="1"/>
  <c r="E56" i="1" s="1"/>
  <c r="S62" i="1"/>
  <c r="S63" i="1" s="1"/>
  <c r="S64" i="1" s="1"/>
  <c r="U45" i="1"/>
  <c r="F43" i="1"/>
  <c r="E57" i="1"/>
  <c r="I46" i="1"/>
  <c r="U91" i="1" s="1"/>
  <c r="V91" i="1" s="1"/>
  <c r="M34" i="1"/>
  <c r="M36" i="1" s="1"/>
  <c r="S84" i="1"/>
  <c r="J43" i="1"/>
  <c r="F56" i="1" s="1"/>
  <c r="M35" i="1"/>
  <c r="F48" i="1" l="1"/>
  <c r="R88" i="1"/>
  <c r="W62" i="1"/>
  <c r="W63" i="1" s="1"/>
  <c r="T78" i="1"/>
  <c r="T79" i="1" s="1"/>
  <c r="T81" i="1" s="1"/>
  <c r="T82" i="1" s="1"/>
  <c r="T83" i="1" s="1"/>
  <c r="T84" i="1" s="1"/>
  <c r="G43" i="1"/>
  <c r="S88" i="1" l="1"/>
  <c r="G48" i="1"/>
  <c r="S93" i="1" s="1"/>
  <c r="L35" i="1"/>
  <c r="D78" i="1"/>
  <c r="L34" i="1"/>
  <c r="L36" i="1" s="1"/>
  <c r="H43" i="1"/>
  <c r="K35" i="1"/>
  <c r="K34" i="1"/>
  <c r="K36" i="1" s="1"/>
  <c r="W66" i="1"/>
  <c r="R93" i="1"/>
  <c r="D50" i="1" a="1"/>
  <c r="D50" i="1" l="1"/>
  <c r="I43" i="1"/>
  <c r="H48" i="1"/>
  <c r="T88" i="1"/>
  <c r="T93" i="1" l="1"/>
  <c r="I48" i="1"/>
  <c r="U88" i="1"/>
  <c r="V88" i="1" s="1"/>
  <c r="U9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<sst xmlns="http://schemas.openxmlformats.org/spreadsheetml/2006/main" count="145" uniqueCount="124">
  <si>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</si>
  <si>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</si>
  <si>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</si>
  <si>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</si>
  <si>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</si>
  <si>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</si>
  <si>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PROTOCOLO:</t>
  </si>
  <si>
    <t>Período de graça constitucional</t>
  </si>
  <si>
    <r>
      <t>*Se sim, Quantos %? (</t>
    </r>
    <r>
      <rPr>
        <b/>
        <sz val="18"/>
        <color rgb="FFFF0000"/>
        <rFont val="Verdana1"/>
      </rPr>
      <t>se não, informe 0%</t>
    </r>
    <r>
      <rPr>
        <b/>
        <sz val="18"/>
        <color rgb="FF000000"/>
        <rFont val="Verdana1"/>
      </rPr>
      <t>)</t>
    </r>
  </si>
  <si>
    <t>EXEQUENTE:</t>
  </si>
  <si>
    <t>CONTRIBUIÇÃO SINDICAL</t>
  </si>
  <si>
    <t>EXECUTADO:</t>
  </si>
  <si>
    <t>Percentual %:</t>
  </si>
  <si>
    <t>MEMÓRIA DE CÁLCULO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</si>
  <si>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</si>
  <si>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</si>
  <si>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</si>
  <si>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</si>
  <si>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</si>
  <si>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</si>
  <si>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</si>
  <si>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PRINCIPAL</t>
  </si>
  <si>
    <t>-</t>
  </si>
  <si>
    <t>JUROS</t>
  </si>
  <si>
    <t xml:space="preserve">*verificação </t>
  </si>
  <si>
    <t>TOTAL (a)</t>
  </si>
  <si>
    <t>Selic acumulada -</t>
  </si>
  <si>
    <t>valor atualizado</t>
  </si>
  <si>
    <t>juros</t>
  </si>
  <si>
    <t>SELIC</t>
  </si>
  <si>
    <t>VERIFICAÇÃO:</t>
  </si>
  <si>
    <t>DEMONSTRATIVO - DIVISÃO HERDEIROS</t>
  </si>
  <si>
    <t>HERDEIROS</t>
  </si>
  <si>
    <t>PERCENTUAL</t>
  </si>
  <si>
    <t>VALOR BRUTO DO PRECATORIO</t>
  </si>
  <si>
    <t>HON. CONTRATUAIS (26%)</t>
  </si>
  <si>
    <t>SINDIFAZ (1%)</t>
  </si>
  <si>
    <t>VALOR DEVIDO AOS EXEQUENTES</t>
  </si>
  <si>
    <t xml:space="preserve">DIVISAO PREVIDÊNCIA </t>
  </si>
  <si>
    <t xml:space="preserve">DIVISAO IMPOSTO DE RENDA </t>
  </si>
  <si>
    <t>RRA PROPORCIONAL</t>
  </si>
  <si>
    <t>TOTAL</t>
  </si>
  <si>
    <t>PAGAMENTO PREFERENCIAL</t>
  </si>
  <si>
    <t>Valor a pagar para preferencia:</t>
  </si>
  <si>
    <t xml:space="preserve">Exequente  </t>
  </si>
  <si>
    <t>Valor Devido</t>
  </si>
  <si>
    <t>Previdência</t>
  </si>
  <si>
    <t>Imposto de Renda</t>
  </si>
  <si>
    <t>Valor Líquido</t>
  </si>
  <si>
    <t>RRA</t>
  </si>
  <si>
    <t>Para Preferencia</t>
  </si>
  <si>
    <t>INCORPORANDO A SELIC</t>
  </si>
  <si>
    <t>Principal atualizado</t>
  </si>
  <si>
    <t>Principal com Selic</t>
  </si>
  <si>
    <t>Juros atualizado</t>
  </si>
  <si>
    <t>Juros com Selic</t>
  </si>
  <si>
    <t>Selic</t>
  </si>
  <si>
    <t>Total com Selic</t>
  </si>
  <si>
    <t>DIVISÃO PAGAMENTO</t>
  </si>
  <si>
    <t>DIVISÃO</t>
  </si>
  <si>
    <t xml:space="preserve">TOTAL  </t>
  </si>
  <si>
    <t>VALOR A PAGAR CREDOR</t>
  </si>
  <si>
    <t>CREDOR</t>
  </si>
  <si>
    <t>FURTADO COELHO ADVOGADOS ASSOCIADOS</t>
  </si>
  <si>
    <t>(-) FURTADO COELHO ADVOGADOS ASSOCIADOS</t>
  </si>
  <si>
    <t>LAGUZ ( CESSIONÁRIO) 2%</t>
  </si>
  <si>
    <t xml:space="preserve">LAGUZ ( CESSIONÁRIO) </t>
  </si>
  <si>
    <t xml:space="preserve">JUAREZ CHAVES DE AZEVEDO JÚNIOR, SOCIEDADE INDIVIDUAL DE ADVOCACIA </t>
  </si>
  <si>
    <t>JUAREZ CHAVES DE AZEVEDO JUNIOR</t>
  </si>
  <si>
    <t>ADAUTO FORTES ADV. ASSOCIADOS</t>
  </si>
  <si>
    <t>Notas explicativas:</t>
  </si>
  <si>
    <t>FRANCINETTI RIBEIRO DO CARMO</t>
  </si>
  <si>
    <t>Requerente</t>
  </si>
  <si>
    <t>RRA(MESES)</t>
  </si>
  <si>
    <t>LAGUZ ( CESSIONÁRIO) 1%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</si>
  <si>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</si>
  <si>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REAG LEGAL ( CESSIONÁRIO) 1%</t>
  </si>
  <si>
    <t xml:space="preserve">REAG LEGAL ( CESSIONÁRIO) 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</si>
  <si>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</si>
  <si>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 xml:space="preserve">Contribuição Sindifaz 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</si>
  <si>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</si>
  <si>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EXEQUENTE</t>
  </si>
  <si>
    <t>1- Atualização Monetária conforme Resolução CNJ nº 303/2019 , Resolução Nº 198/2020 TJ-PI e  nº 113.</t>
  </si>
  <si>
    <t>2- Índices de correção monetária, conforme  caput do Art.21- A da Resolução 303/2019 do CNJ.</t>
  </si>
  <si>
    <t>PREVIDENCIA</t>
  </si>
  <si>
    <t>*informar aliquota</t>
  </si>
  <si>
    <t>PREVIDENCIA HERDEIROS</t>
  </si>
  <si>
    <t>– IPCA-E/ IBGE - de 26.03.2015 a 30 de novembro de 2021.</t>
  </si>
  <si>
    <t>BC</t>
  </si>
  <si>
    <t>TOTAL DA PREV: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</si>
  <si>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</si>
  <si>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Divida pela quantidade de herd</t>
  </si>
  <si>
    <t>3- Juros calculados de forma simples, conforme art. 1º da Lei nº 12.703/2012; art. 1º, “F”, da Lei nº 9.494/1997; art. 100,</t>
  </si>
  <si>
    <t>VALOR DO HERD</t>
  </si>
  <si>
    <t xml:space="preserve"> § 12º da CF/88, Art.22 da Resolução 303 do CNJ  e SV nº 17 do STF.</t>
  </si>
  <si>
    <t>VALOR A PAGAR PARA O HERD</t>
  </si>
  <si>
    <t>4- Atualização dos cálculos da planilha 1 de ID.446498 - Pág. 144/145</t>
  </si>
  <si>
    <t>PREV A PAGAR HERD.</t>
  </si>
  <si>
    <t>5- Destaque do crédito preferencial, conforme decisão de id .... De acordo com a nova redação do parágrafo único do art.75</t>
  </si>
  <si>
    <t>da Resolução nº 303/2019 do CNJ, com redação dada pela Resolução 438/2021, a qual determina que a superpreferência a ser paga</t>
  </si>
  <si>
    <t>deve obedecer o valor da obrigação de pequeno valor vigente na data do trânsito em julgado da fase de conhecimento do</t>
  </si>
  <si>
    <t>x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</si>
  <si>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</si>
  <si>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que fixa o valor da RPV em 05(cinco) salários mínimos.</t>
  </si>
  <si>
    <r>
      <t xml:space="preserve">6- Destaque de 1% referente à </t>
    </r>
    <r>
      <rPr>
        <b/>
        <sz val="18"/>
        <color rgb="FF000000"/>
        <rFont val="Verdana1"/>
      </rPr>
      <t>Contribuição do SINDIFAZ</t>
    </r>
    <r>
      <rPr>
        <sz val="18"/>
        <color rgb="FF000000"/>
        <rFont val="Verdana1"/>
      </rPr>
      <t>, conforme Decisão do Des. Brandão de Carvalho no MS n° 95.000611-4.</t>
    </r>
  </si>
  <si>
    <r>
      <t xml:space="preserve">7-Cálculo do desconto da </t>
    </r>
    <r>
      <rPr>
        <b/>
        <sz val="18"/>
        <color rgb="FF000000"/>
        <rFont val="Verdana1"/>
      </rPr>
      <t>previdência com alíquota de 8%</t>
    </r>
    <r>
      <rPr>
        <sz val="18"/>
        <color rgb="FF000000"/>
        <rFont val="Verdana1"/>
      </rPr>
      <t>, conforme Decisão Des. Brandão no Mandado de Segurança</t>
    </r>
  </si>
  <si>
    <t>Imposto de renda</t>
  </si>
  <si>
    <t>VALOR A PAGAR BC</t>
  </si>
  <si>
    <t>n° 95.000611-4. Não incidência do desconto da previdência sobre parcelas de aposentadoria ou pensão, conforme</t>
  </si>
  <si>
    <t xml:space="preserve">Decisão Des. Brandão no Mandado de Segurança n° 95.000611-4. </t>
  </si>
  <si>
    <t>(-) PARCE. HONORÁRIOS CONTRATUAIS PREF</t>
  </si>
  <si>
    <r>
      <t xml:space="preserve">8-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</t>
    </r>
    <r>
      <rPr>
        <b/>
        <sz val="18"/>
        <color rgb="FF000000"/>
        <rFont val="Verdana1"/>
      </rPr>
      <t>da exequente</t>
    </r>
    <r>
      <rPr>
        <sz val="18"/>
        <color rgb="FF000000"/>
        <rFont val="Verdana1"/>
      </rPr>
      <t>, de acordo com a IN RFB 1.558/2015 (Rendimentos Recebidos Acumuladamente) e</t>
    </r>
  </si>
  <si>
    <t>(-) OUTRAS DEDUÇÕES</t>
  </si>
  <si>
    <t>lei LEI Nº 14.848, DE 1º DE MAIO DE 2024, e em conformidade com a decisão do Recurso Extraordinário n° 855091/RS, com Repercussão Geral, Tema 808.</t>
  </si>
  <si>
    <t>BC SEM HONORÁRIOS E OUTRAS DEDUÇÕES</t>
  </si>
  <si>
    <t>(-) Prev.</t>
  </si>
  <si>
    <t xml:space="preserve">9- Cálculo do Imposto de Renda dos honorários contratuais(Furtado Coelho Adv. Associados, Juarez chaves de Azevedo Junior e Adauto Fortes </t>
  </si>
  <si>
    <t>BC SEM PREVIDÊNCIA</t>
  </si>
  <si>
    <t>Adv. Associados) de acordo com o decreto 9.580, art 714(alíquota 1,5%) e Lei nº 14.663/2023( Francinetti Ribeiro do Carmo-Aliquota 15%)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</si>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</sst>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0"/>
    <numFmt numFmtId="169" formatCode="0.0000"/>
    <numFmt numFmtId="170" formatCode="0.0000000"/>
    <numFmt numFmtId="171" formatCode="mmmm/yyyy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color rgb="FFFF0000"/>
      <name val="Verdana1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b/>
      <sz val="18"/>
      <color theme="9" tint="-0.499984740745262"/>
      <name val="Verdana11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FF7C80"/>
        <bgColor rgb="FFFFD428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Border="0" applyProtection="0"/>
  </cellStyleXfs>
  <cellXfs count="269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" fontId="3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0" fontId="3" fillId="3" borderId="0" xfId="0" applyFont="1" applyFill="1"/>
    <xf numFmtId="0" fontId="3" fillId="0" borderId="0" xfId="0" applyFont="1"/>
    <xf numFmtId="4" fontId="3" fillId="0" borderId="0" xfId="0" applyNumberFormat="1" applyFont="1" applyAlignment="1">
      <alignment horizontal="center"/>
    </xf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0" xfId="0" applyFont="1" applyFill="1"/>
    <xf numFmtId="4" fontId="7" fillId="2" borderId="0" xfId="0" applyNumberFormat="1" applyFont="1" applyFill="1" applyAlignment="1">
      <alignment horizontal="center"/>
    </xf>
    <xf numFmtId="0" fontId="8" fillId="2" borderId="0" xfId="0" applyFont="1" applyFill="1"/>
    <xf numFmtId="0" fontId="9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center"/>
    </xf>
    <xf numFmtId="0" fontId="5" fillId="2" borderId="0" xfId="0" applyFont="1" applyFill="1" applyAlignment="1">
      <alignment wrapText="1"/>
    </xf>
    <xf numFmtId="0" fontId="7" fillId="4" borderId="1" xfId="0" applyFont="1" applyFill="1" applyBorder="1" applyAlignment="1">
      <alignment horizontal="center" vertical="center"/>
    </xf>
    <xf numFmtId="14" fontId="9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1" fillId="2" borderId="1" xfId="0" applyFont="1" applyFill="1" applyBorder="1" applyAlignment="1">
      <alignment horizontal="left" wrapText="1"/>
    </xf>
    <xf numFmtId="164" fontId="11" fillId="2" borderId="1" xfId="0" applyNumberFormat="1" applyFont="1" applyFill="1" applyBorder="1" applyAlignment="1">
      <alignment horizontal="left" vertical="center" wrapText="1"/>
    </xf>
    <xf numFmtId="165" fontId="3" fillId="2" borderId="0" xfId="0" applyNumberFormat="1" applyFont="1" applyFill="1"/>
    <xf numFmtId="0" fontId="7" fillId="4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0" fillId="3" borderId="0" xfId="0" applyFont="1" applyFill="1" applyAlignment="1">
      <alignment horizontal="center"/>
    </xf>
    <xf numFmtId="166" fontId="3" fillId="0" borderId="0" xfId="0" applyNumberFormat="1" applyFont="1"/>
    <xf numFmtId="0" fontId="13" fillId="6" borderId="2" xfId="0" applyFont="1" applyFill="1" applyBorder="1" applyAlignment="1">
      <alignment horizontal="center" wrapText="1"/>
    </xf>
    <xf numFmtId="167" fontId="13" fillId="0" borderId="2" xfId="0" applyNumberFormat="1" applyFont="1" applyBorder="1" applyAlignment="1">
      <alignment horizontal="center" wrapText="1"/>
    </xf>
    <xf numFmtId="4" fontId="9" fillId="0" borderId="2" xfId="0" applyNumberFormat="1" applyFont="1" applyBorder="1" applyAlignment="1">
      <alignment horizontal="right"/>
    </xf>
    <xf numFmtId="168" fontId="9" fillId="0" borderId="2" xfId="0" applyNumberFormat="1" applyFont="1" applyBorder="1"/>
    <xf numFmtId="0" fontId="3" fillId="0" borderId="0" xfId="0" applyFont="1" applyAlignment="1">
      <alignment horizontal="center"/>
    </xf>
    <xf numFmtId="169" fontId="9" fillId="0" borderId="2" xfId="0" applyNumberFormat="1" applyFont="1" applyBorder="1" applyAlignment="1">
      <alignment horizontal="center" wrapText="1"/>
    </xf>
    <xf numFmtId="164" fontId="9" fillId="0" borderId="2" xfId="0" applyNumberFormat="1" applyFont="1" applyBorder="1"/>
    <xf numFmtId="4" fontId="9" fillId="0" borderId="3" xfId="0" applyNumberFormat="1" applyFont="1" applyBorder="1" applyAlignment="1">
      <alignment horizontal="right"/>
    </xf>
    <xf numFmtId="169" fontId="9" fillId="0" borderId="3" xfId="0" applyNumberFormat="1" applyFont="1" applyBorder="1" applyAlignment="1">
      <alignment horizontal="center" wrapText="1"/>
    </xf>
    <xf numFmtId="0" fontId="13" fillId="8" borderId="2" xfId="0" applyFont="1" applyFill="1" applyBorder="1" applyAlignment="1">
      <alignment horizontal="center" wrapText="1"/>
    </xf>
    <xf numFmtId="166" fontId="13" fillId="8" borderId="2" xfId="0" applyNumberFormat="1" applyFont="1" applyFill="1" applyBorder="1" applyAlignment="1">
      <alignment horizontal="right"/>
    </xf>
    <xf numFmtId="170" fontId="13" fillId="8" borderId="2" xfId="0" applyNumberFormat="1" applyFont="1" applyFill="1" applyBorder="1" applyAlignment="1">
      <alignment horizontal="center" wrapText="1"/>
    </xf>
    <xf numFmtId="166" fontId="13" fillId="8" borderId="2" xfId="0" applyNumberFormat="1" applyFont="1" applyFill="1" applyBorder="1" applyAlignment="1">
      <alignment horizontal="center"/>
    </xf>
    <xf numFmtId="166" fontId="13" fillId="8" borderId="5" xfId="0" applyNumberFormat="1" applyFont="1" applyFill="1" applyBorder="1" applyAlignment="1">
      <alignment horizontal="right"/>
    </xf>
    <xf numFmtId="166" fontId="13" fillId="8" borderId="1" xfId="0" applyNumberFormat="1" applyFont="1" applyFill="1" applyBorder="1" applyAlignment="1">
      <alignment horizontal="right"/>
    </xf>
    <xf numFmtId="170" fontId="13" fillId="8" borderId="1" xfId="0" applyNumberFormat="1" applyFont="1" applyFill="1" applyBorder="1" applyAlignment="1">
      <alignment horizontal="center" wrapText="1"/>
    </xf>
    <xf numFmtId="166" fontId="3" fillId="3" borderId="0" xfId="0" applyNumberFormat="1" applyFont="1" applyFill="1"/>
    <xf numFmtId="4" fontId="3" fillId="7" borderId="6" xfId="0" applyNumberFormat="1" applyFont="1" applyFill="1" applyBorder="1" applyAlignment="1">
      <alignment horizontal="center"/>
    </xf>
    <xf numFmtId="4" fontId="3" fillId="7" borderId="0" xfId="0" applyNumberFormat="1" applyFont="1" applyFill="1" applyAlignment="1">
      <alignment horizontal="center"/>
    </xf>
    <xf numFmtId="4" fontId="3" fillId="7" borderId="7" xfId="0" applyNumberFormat="1" applyFont="1" applyFill="1" applyBorder="1" applyAlignment="1">
      <alignment horizontal="center"/>
    </xf>
    <xf numFmtId="4" fontId="3" fillId="7" borderId="8" xfId="0" applyNumberFormat="1" applyFont="1" applyFill="1" applyBorder="1" applyAlignment="1">
      <alignment horizontal="center"/>
    </xf>
    <xf numFmtId="0" fontId="8" fillId="9" borderId="9" xfId="0" applyFont="1" applyFill="1" applyBorder="1" applyAlignment="1">
      <alignment horizontal="center" wrapText="1"/>
    </xf>
    <xf numFmtId="171" fontId="3" fillId="9" borderId="9" xfId="0" applyNumberFormat="1" applyFont="1" applyFill="1" applyBorder="1" applyAlignment="1">
      <alignment horizontal="center"/>
    </xf>
    <xf numFmtId="4" fontId="3" fillId="7" borderId="10" xfId="0" applyNumberFormat="1" applyFont="1" applyFill="1" applyBorder="1" applyAlignment="1">
      <alignment horizontal="center"/>
    </xf>
    <xf numFmtId="166" fontId="8" fillId="2" borderId="0" xfId="0" applyNumberFormat="1" applyFont="1" applyFill="1" applyAlignment="1">
      <alignment horizontal="center"/>
    </xf>
    <xf numFmtId="172" fontId="3" fillId="7" borderId="11" xfId="0" applyNumberFormat="1" applyFont="1" applyFill="1" applyBorder="1" applyAlignment="1">
      <alignment horizontal="center" vertical="center"/>
    </xf>
    <xf numFmtId="172" fontId="3" fillId="7" borderId="12" xfId="0" applyNumberFormat="1" applyFont="1" applyFill="1" applyBorder="1" applyAlignment="1">
      <alignment horizontal="center" vertical="center"/>
    </xf>
    <xf numFmtId="172" fontId="3" fillId="7" borderId="10" xfId="0" applyNumberFormat="1" applyFont="1" applyFill="1" applyBorder="1" applyAlignment="1">
      <alignment horizontal="center" vertical="center"/>
    </xf>
    <xf numFmtId="172" fontId="3" fillId="7" borderId="13" xfId="0" applyNumberFormat="1" applyFont="1" applyFill="1" applyBorder="1" applyAlignment="1">
      <alignment horizontal="center" vertical="center"/>
    </xf>
    <xf numFmtId="173" fontId="7" fillId="10" borderId="1" xfId="0" applyNumberFormat="1" applyFont="1" applyFill="1" applyBorder="1" applyAlignment="1">
      <alignment horizontal="right"/>
    </xf>
    <xf numFmtId="172" fontId="3" fillId="3" borderId="0" xfId="0" applyNumberFormat="1" applyFont="1" applyFill="1"/>
    <xf numFmtId="0" fontId="13" fillId="2" borderId="0" xfId="0" applyFont="1" applyFill="1"/>
    <xf numFmtId="166" fontId="13" fillId="11" borderId="6" xfId="0" applyNumberFormat="1" applyFont="1" applyFill="1" applyBorder="1"/>
    <xf numFmtId="174" fontId="13" fillId="11" borderId="0" xfId="0" applyNumberFormat="1" applyFont="1" applyFill="1"/>
    <xf numFmtId="166" fontId="13" fillId="11" borderId="0" xfId="0" applyNumberFormat="1" applyFont="1" applyFill="1"/>
    <xf numFmtId="10" fontId="13" fillId="11" borderId="0" xfId="0" applyNumberFormat="1" applyFont="1" applyFill="1"/>
    <xf numFmtId="10" fontId="13" fillId="11" borderId="8" xfId="0" applyNumberFormat="1" applyFont="1" applyFill="1" applyBorder="1"/>
    <xf numFmtId="166" fontId="15" fillId="2" borderId="13" xfId="0" applyNumberFormat="1" applyFont="1" applyFill="1" applyBorder="1" applyAlignment="1">
      <alignment horizontal="left"/>
    </xf>
    <xf numFmtId="173" fontId="15" fillId="2" borderId="1" xfId="0" applyNumberFormat="1" applyFont="1" applyFill="1" applyBorder="1"/>
    <xf numFmtId="166" fontId="13" fillId="3" borderId="16" xfId="0" applyNumberFormat="1" applyFont="1" applyFill="1" applyBorder="1"/>
    <xf numFmtId="10" fontId="13" fillId="3" borderId="10" xfId="0" applyNumberFormat="1" applyFont="1" applyFill="1" applyBorder="1"/>
    <xf numFmtId="166" fontId="13" fillId="3" borderId="10" xfId="0" applyNumberFormat="1" applyFont="1" applyFill="1" applyBorder="1"/>
    <xf numFmtId="10" fontId="13" fillId="3" borderId="17" xfId="0" applyNumberFormat="1" applyFont="1" applyFill="1" applyBorder="1" applyAlignment="1">
      <alignment vertical="center"/>
    </xf>
    <xf numFmtId="166" fontId="15" fillId="2" borderId="19" xfId="0" applyNumberFormat="1" applyFont="1" applyFill="1" applyBorder="1" applyAlignment="1">
      <alignment horizontal="left"/>
    </xf>
    <xf numFmtId="166" fontId="15" fillId="2" borderId="2" xfId="0" applyNumberFormat="1" applyFont="1" applyFill="1" applyBorder="1" applyAlignment="1">
      <alignment horizontal="right"/>
    </xf>
    <xf numFmtId="172" fontId="3" fillId="2" borderId="0" xfId="0" applyNumberFormat="1" applyFont="1" applyFill="1"/>
    <xf numFmtId="0" fontId="9" fillId="2" borderId="0" xfId="0" applyFont="1" applyFill="1" applyAlignment="1">
      <alignment horizontal="center"/>
    </xf>
    <xf numFmtId="0" fontId="9" fillId="2" borderId="0" xfId="0" applyFont="1" applyFill="1"/>
    <xf numFmtId="0" fontId="10" fillId="3" borderId="0" xfId="0" applyFont="1" applyFill="1"/>
    <xf numFmtId="166" fontId="13" fillId="2" borderId="2" xfId="0" applyNumberFormat="1" applyFont="1" applyFill="1" applyBorder="1" applyAlignment="1">
      <alignment horizontal="right"/>
    </xf>
    <xf numFmtId="166" fontId="16" fillId="12" borderId="0" xfId="0" applyNumberFormat="1" applyFont="1" applyFill="1" applyAlignment="1">
      <alignment horizontal="center" vertical="center"/>
    </xf>
    <xf numFmtId="10" fontId="16" fillId="12" borderId="0" xfId="2" applyNumberFormat="1" applyFont="1" applyFill="1" applyAlignment="1">
      <alignment horizontal="center"/>
    </xf>
    <xf numFmtId="166" fontId="5" fillId="13" borderId="1" xfId="0" applyNumberFormat="1" applyFont="1" applyFill="1" applyBorder="1" applyAlignment="1">
      <alignment horizontal="center" vertical="center"/>
    </xf>
    <xf numFmtId="166" fontId="5" fillId="13" borderId="1" xfId="0" applyNumberFormat="1" applyFont="1" applyFill="1" applyBorder="1" applyAlignment="1">
      <alignment horizontal="center" vertical="center" wrapText="1"/>
    </xf>
    <xf numFmtId="10" fontId="8" fillId="0" borderId="2" xfId="0" applyNumberFormat="1" applyFont="1" applyBorder="1" applyAlignment="1">
      <alignment horizontal="center" wrapText="1"/>
    </xf>
    <xf numFmtId="172" fontId="10" fillId="2" borderId="1" xfId="0" applyNumberFormat="1" applyFont="1" applyFill="1" applyBorder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10" fontId="5" fillId="8" borderId="2" xfId="0" applyNumberFormat="1" applyFont="1" applyFill="1" applyBorder="1" applyAlignment="1">
      <alignment horizontal="center"/>
    </xf>
    <xf numFmtId="166" fontId="5" fillId="8" borderId="2" xfId="0" applyNumberFormat="1" applyFont="1" applyFill="1" applyBorder="1" applyAlignment="1">
      <alignment horizontal="center"/>
    </xf>
    <xf numFmtId="1" fontId="5" fillId="8" borderId="2" xfId="0" applyNumberFormat="1" applyFont="1" applyFill="1" applyBorder="1" applyAlignment="1">
      <alignment horizontal="center"/>
    </xf>
    <xf numFmtId="10" fontId="3" fillId="3" borderId="0" xfId="0" applyNumberFormat="1" applyFont="1" applyFill="1"/>
    <xf numFmtId="166" fontId="13" fillId="4" borderId="0" xfId="0" applyNumberFormat="1" applyFont="1" applyFill="1" applyAlignment="1">
      <alignment wrapText="1"/>
    </xf>
    <xf numFmtId="166" fontId="14" fillId="14" borderId="0" xfId="0" applyNumberFormat="1" applyFont="1" applyFill="1" applyAlignment="1">
      <alignment horizontal="center"/>
    </xf>
    <xf numFmtId="166" fontId="13" fillId="3" borderId="0" xfId="0" applyNumberFormat="1" applyFont="1" applyFill="1"/>
    <xf numFmtId="10" fontId="13" fillId="3" borderId="0" xfId="0" applyNumberFormat="1" applyFont="1" applyFill="1"/>
    <xf numFmtId="0" fontId="5" fillId="15" borderId="2" xfId="0" applyFont="1" applyFill="1" applyBorder="1" applyAlignment="1">
      <alignment horizontal="center" wrapText="1"/>
    </xf>
    <xf numFmtId="166" fontId="5" fillId="15" borderId="2" xfId="0" applyNumberFormat="1" applyFont="1" applyFill="1" applyBorder="1" applyAlignment="1">
      <alignment horizontal="center"/>
    </xf>
    <xf numFmtId="166" fontId="5" fillId="15" borderId="2" xfId="0" applyNumberFormat="1" applyFont="1" applyFill="1" applyBorder="1" applyAlignment="1">
      <alignment horizontal="center" wrapText="1"/>
    </xf>
    <xf numFmtId="0" fontId="14" fillId="16" borderId="0" xfId="0" applyFont="1" applyFill="1"/>
    <xf numFmtId="166" fontId="14" fillId="16" borderId="0" xfId="0" applyNumberFormat="1" applyFont="1" applyFill="1" applyAlignment="1">
      <alignment horizontal="center"/>
    </xf>
    <xf numFmtId="0" fontId="8" fillId="2" borderId="0" xfId="0" applyFont="1" applyFill="1" applyAlignment="1">
      <alignment wrapText="1"/>
    </xf>
    <xf numFmtId="166" fontId="8" fillId="0" borderId="2" xfId="0" applyNumberFormat="1" applyFont="1" applyBorder="1" applyAlignment="1">
      <alignment horizontal="right"/>
    </xf>
    <xf numFmtId="166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6" fillId="16" borderId="0" xfId="0" applyFont="1" applyFill="1"/>
    <xf numFmtId="166" fontId="16" fillId="16" borderId="0" xfId="0" applyNumberFormat="1" applyFont="1" applyFill="1" applyAlignment="1">
      <alignment horizontal="center"/>
    </xf>
    <xf numFmtId="166" fontId="13" fillId="4" borderId="0" xfId="0" applyNumberFormat="1" applyFont="1" applyFill="1"/>
    <xf numFmtId="166" fontId="18" fillId="4" borderId="14" xfId="0" applyNumberFormat="1" applyFont="1" applyFill="1" applyBorder="1" applyAlignment="1">
      <alignment horizontal="center"/>
    </xf>
    <xf numFmtId="0" fontId="18" fillId="4" borderId="15" xfId="0" applyFont="1" applyFill="1" applyBorder="1"/>
    <xf numFmtId="173" fontId="8" fillId="0" borderId="2" xfId="0" applyNumberFormat="1" applyFont="1" applyBorder="1" applyAlignment="1">
      <alignment horizontal="center"/>
    </xf>
    <xf numFmtId="166" fontId="18" fillId="4" borderId="6" xfId="0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left"/>
    </xf>
    <xf numFmtId="166" fontId="3" fillId="4" borderId="0" xfId="0" applyNumberFormat="1" applyFont="1" applyFill="1"/>
    <xf numFmtId="166" fontId="18" fillId="4" borderId="1" xfId="0" applyNumberFormat="1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6" fillId="17" borderId="11" xfId="0" applyFont="1" applyFill="1" applyBorder="1" applyAlignment="1">
      <alignment horizontal="left" vertical="center"/>
    </xf>
    <xf numFmtId="166" fontId="3" fillId="17" borderId="13" xfId="0" applyNumberFormat="1" applyFont="1" applyFill="1" applyBorder="1" applyAlignment="1">
      <alignment vertical="center"/>
    </xf>
    <xf numFmtId="10" fontId="3" fillId="17" borderId="13" xfId="2" applyNumberFormat="1" applyFont="1" applyFill="1" applyBorder="1" applyAlignment="1">
      <alignment horizontal="center"/>
    </xf>
    <xf numFmtId="0" fontId="16" fillId="18" borderId="14" xfId="0" applyFont="1" applyFill="1" applyBorder="1" applyAlignment="1">
      <alignment horizontal="left" vertical="center" wrapText="1"/>
    </xf>
    <xf numFmtId="166" fontId="3" fillId="18" borderId="15" xfId="0" applyNumberFormat="1" applyFont="1" applyFill="1" applyBorder="1" applyAlignment="1">
      <alignment horizontal="right" vertical="center" wrapText="1"/>
    </xf>
    <xf numFmtId="10" fontId="3" fillId="18" borderId="15" xfId="2" applyNumberFormat="1" applyFont="1" applyFill="1" applyBorder="1" applyAlignment="1">
      <alignment horizontal="center" vertical="center"/>
    </xf>
    <xf numFmtId="0" fontId="10" fillId="2" borderId="0" xfId="0" applyFont="1" applyFill="1"/>
    <xf numFmtId="175" fontId="10" fillId="2" borderId="0" xfId="0" applyNumberFormat="1" applyFont="1" applyFill="1"/>
    <xf numFmtId="0" fontId="16" fillId="18" borderId="16" xfId="0" applyFont="1" applyFill="1" applyBorder="1" applyAlignment="1">
      <alignment horizontal="left" wrapText="1"/>
    </xf>
    <xf numFmtId="166" fontId="3" fillId="18" borderId="17" xfId="0" applyNumberFormat="1" applyFont="1" applyFill="1" applyBorder="1" applyAlignment="1">
      <alignment horizontal="right" vertical="center" wrapText="1"/>
    </xf>
    <xf numFmtId="10" fontId="3" fillId="18" borderId="17" xfId="2" applyNumberFormat="1" applyFont="1" applyFill="1" applyBorder="1" applyAlignment="1">
      <alignment horizontal="center" vertical="center"/>
    </xf>
    <xf numFmtId="166" fontId="5" fillId="2" borderId="0" xfId="0" applyNumberFormat="1" applyFont="1" applyFill="1" applyAlignment="1">
      <alignment horizontal="left"/>
    </xf>
    <xf numFmtId="0" fontId="16" fillId="19" borderId="11" xfId="0" applyFont="1" applyFill="1" applyBorder="1" applyAlignment="1">
      <alignment horizontal="left" vertical="center" wrapText="1"/>
    </xf>
    <xf numFmtId="166" fontId="3" fillId="19" borderId="13" xfId="0" applyNumberFormat="1" applyFont="1" applyFill="1" applyBorder="1" applyAlignment="1">
      <alignment horizontal="right" vertical="center" wrapText="1"/>
    </xf>
    <xf numFmtId="10" fontId="3" fillId="19" borderId="13" xfId="2" applyNumberFormat="1" applyFont="1" applyFill="1" applyBorder="1" applyAlignment="1">
      <alignment horizontal="center" vertical="center"/>
    </xf>
    <xf numFmtId="2" fontId="10" fillId="3" borderId="0" xfId="0" applyNumberFormat="1" applyFont="1" applyFill="1"/>
    <xf numFmtId="0" fontId="16" fillId="20" borderId="14" xfId="0" applyFont="1" applyFill="1" applyBorder="1" applyAlignment="1">
      <alignment horizontal="left" vertical="center" wrapText="1"/>
    </xf>
    <xf numFmtId="166" fontId="3" fillId="20" borderId="15" xfId="0" applyNumberFormat="1" applyFont="1" applyFill="1" applyBorder="1" applyAlignment="1">
      <alignment horizontal="right" vertical="center" wrapText="1"/>
    </xf>
    <xf numFmtId="0" fontId="16" fillId="20" borderId="6" xfId="0" applyFont="1" applyFill="1" applyBorder="1" applyAlignment="1">
      <alignment horizontal="left" vertical="center" wrapText="1"/>
    </xf>
    <xf numFmtId="10" fontId="3" fillId="20" borderId="8" xfId="2" applyNumberFormat="1" applyFont="1" applyFill="1" applyBorder="1" applyAlignment="1">
      <alignment horizontal="center" vertical="center"/>
    </xf>
    <xf numFmtId="0" fontId="16" fillId="20" borderId="16" xfId="0" applyFont="1" applyFill="1" applyBorder="1" applyAlignment="1">
      <alignment horizontal="left" vertical="center" wrapText="1"/>
    </xf>
    <xf numFmtId="166" fontId="3" fillId="20" borderId="17" xfId="0" applyNumberFormat="1" applyFont="1" applyFill="1" applyBorder="1" applyAlignment="1">
      <alignment horizontal="right" vertical="center" wrapText="1"/>
    </xf>
    <xf numFmtId="0" fontId="19" fillId="2" borderId="0" xfId="0" applyFont="1" applyFill="1"/>
    <xf numFmtId="0" fontId="16" fillId="21" borderId="14" xfId="0" applyFont="1" applyFill="1" applyBorder="1" applyAlignment="1">
      <alignment horizontal="left" vertical="center" wrapText="1"/>
    </xf>
    <xf numFmtId="166" fontId="3" fillId="21" borderId="15" xfId="0" applyNumberFormat="1" applyFont="1" applyFill="1" applyBorder="1" applyAlignment="1">
      <alignment horizontal="right" vertical="center" wrapText="1"/>
    </xf>
    <xf numFmtId="10" fontId="3" fillId="21" borderId="15" xfId="2" applyNumberFormat="1" applyFont="1" applyFill="1" applyBorder="1" applyAlignment="1">
      <alignment horizontal="center" vertical="center"/>
    </xf>
    <xf numFmtId="166" fontId="9" fillId="2" borderId="1" xfId="0" applyNumberFormat="1" applyFont="1" applyFill="1" applyBorder="1"/>
    <xf numFmtId="176" fontId="8" fillId="2" borderId="0" xfId="0" applyNumberFormat="1" applyFont="1" applyFill="1"/>
    <xf numFmtId="0" fontId="16" fillId="21" borderId="6" xfId="0" applyFont="1" applyFill="1" applyBorder="1" applyAlignment="1">
      <alignment horizontal="left" wrapText="1"/>
    </xf>
    <xf numFmtId="166" fontId="3" fillId="21" borderId="8" xfId="0" applyNumberFormat="1" applyFont="1" applyFill="1" applyBorder="1" applyAlignment="1">
      <alignment horizontal="right" vertical="center" wrapText="1"/>
    </xf>
    <xf numFmtId="10" fontId="3" fillId="21" borderId="8" xfId="2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wrapText="1"/>
    </xf>
    <xf numFmtId="1" fontId="9" fillId="2" borderId="1" xfId="0" applyNumberFormat="1" applyFont="1" applyFill="1" applyBorder="1" applyAlignment="1">
      <alignment horizontal="center"/>
    </xf>
    <xf numFmtId="166" fontId="9" fillId="2" borderId="0" xfId="0" applyNumberFormat="1" applyFont="1" applyFill="1"/>
    <xf numFmtId="166" fontId="8" fillId="2" borderId="0" xfId="0" applyNumberFormat="1" applyFont="1" applyFill="1"/>
    <xf numFmtId="0" fontId="16" fillId="21" borderId="16" xfId="0" applyFont="1" applyFill="1" applyBorder="1" applyAlignment="1">
      <alignment horizontal="left" wrapText="1"/>
    </xf>
    <xf numFmtId="166" fontId="3" fillId="21" borderId="17" xfId="0" applyNumberFormat="1" applyFont="1" applyFill="1" applyBorder="1" applyAlignment="1">
      <alignment horizontal="right" vertical="center" wrapText="1"/>
    </xf>
    <xf numFmtId="10" fontId="3" fillId="21" borderId="17" xfId="2" applyNumberFormat="1" applyFont="1" applyFill="1" applyBorder="1" applyAlignment="1">
      <alignment horizontal="center" vertical="center"/>
    </xf>
    <xf numFmtId="0" fontId="16" fillId="22" borderId="11" xfId="0" applyFont="1" applyFill="1" applyBorder="1" applyAlignment="1">
      <alignment horizontal="left" wrapText="1"/>
    </xf>
    <xf numFmtId="166" fontId="3" fillId="22" borderId="13" xfId="0" applyNumberFormat="1" applyFont="1" applyFill="1" applyBorder="1" applyAlignment="1">
      <alignment horizontal="right" vertical="center" wrapText="1"/>
    </xf>
    <xf numFmtId="10" fontId="3" fillId="22" borderId="13" xfId="2" applyNumberFormat="1" applyFont="1" applyFill="1" applyBorder="1" applyAlignment="1">
      <alignment horizontal="center" vertical="center"/>
    </xf>
    <xf numFmtId="0" fontId="16" fillId="17" borderId="16" xfId="0" applyFont="1" applyFill="1" applyBorder="1" applyAlignment="1">
      <alignment horizontal="center" vertical="center"/>
    </xf>
    <xf numFmtId="166" fontId="10" fillId="17" borderId="17" xfId="0" applyNumberFormat="1" applyFont="1" applyFill="1" applyBorder="1" applyAlignment="1">
      <alignment vertical="center"/>
    </xf>
    <xf numFmtId="10" fontId="10" fillId="17" borderId="17" xfId="0" applyNumberFormat="1" applyFont="1" applyFill="1" applyBorder="1" applyAlignment="1">
      <alignment horizontal="center"/>
    </xf>
    <xf numFmtId="176" fontId="9" fillId="2" borderId="0" xfId="0" applyNumberFormat="1" applyFont="1" applyFill="1"/>
    <xf numFmtId="0" fontId="9" fillId="2" borderId="0" xfId="0" applyFont="1" applyFill="1" applyAlignment="1">
      <alignment vertical="center"/>
    </xf>
    <xf numFmtId="0" fontId="14" fillId="16" borderId="14" xfId="0" applyFont="1" applyFill="1" applyBorder="1" applyAlignment="1">
      <alignment horizontal="right"/>
    </xf>
    <xf numFmtId="0" fontId="20" fillId="14" borderId="15" xfId="0" applyFont="1" applyFill="1" applyBorder="1" applyAlignment="1">
      <alignment horizontal="center"/>
    </xf>
    <xf numFmtId="9" fontId="14" fillId="14" borderId="0" xfId="0" applyNumberFormat="1" applyFont="1" applyFill="1" applyAlignment="1">
      <alignment horizontal="center" vertical="center"/>
    </xf>
    <xf numFmtId="0" fontId="21" fillId="3" borderId="0" xfId="0" applyFont="1" applyFill="1" applyAlignment="1">
      <alignment vertical="center"/>
    </xf>
    <xf numFmtId="0" fontId="14" fillId="16" borderId="6" xfId="0" applyFont="1" applyFill="1" applyBorder="1" applyAlignment="1">
      <alignment horizontal="right"/>
    </xf>
    <xf numFmtId="166" fontId="14" fillId="16" borderId="8" xfId="0" applyNumberFormat="1" applyFont="1" applyFill="1" applyBorder="1"/>
    <xf numFmtId="0" fontId="14" fillId="23" borderId="6" xfId="0" applyFont="1" applyFill="1" applyBorder="1" applyAlignment="1">
      <alignment horizontal="right"/>
    </xf>
    <xf numFmtId="166" fontId="14" fillId="14" borderId="8" xfId="0" applyNumberFormat="1" applyFont="1" applyFill="1" applyBorder="1"/>
    <xf numFmtId="173" fontId="14" fillId="14" borderId="8" xfId="0" applyNumberFormat="1" applyFont="1" applyFill="1" applyBorder="1" applyAlignment="1">
      <alignment horizontal="center" vertical="center"/>
    </xf>
    <xf numFmtId="0" fontId="24" fillId="23" borderId="6" xfId="0" applyFont="1" applyFill="1" applyBorder="1" applyAlignment="1">
      <alignment horizontal="center" wrapText="1"/>
    </xf>
    <xf numFmtId="0" fontId="14" fillId="16" borderId="16" xfId="0" applyFont="1" applyFill="1" applyBorder="1" applyAlignment="1">
      <alignment horizontal="right" wrapText="1"/>
    </xf>
    <xf numFmtId="166" fontId="14" fillId="16" borderId="17" xfId="0" applyNumberFormat="1" applyFont="1" applyFill="1" applyBorder="1"/>
    <xf numFmtId="0" fontId="14" fillId="23" borderId="6" xfId="0" applyFont="1" applyFill="1" applyBorder="1" applyAlignment="1">
      <alignment horizontal="right" wrapText="1"/>
    </xf>
    <xf numFmtId="166" fontId="14" fillId="23" borderId="8" xfId="0" applyNumberFormat="1" applyFont="1" applyFill="1" applyBorder="1"/>
    <xf numFmtId="172" fontId="10" fillId="3" borderId="0" xfId="0" applyNumberFormat="1" applyFont="1" applyFill="1"/>
    <xf numFmtId="0" fontId="8" fillId="2" borderId="0" xfId="0" applyFont="1" applyFill="1" applyAlignment="1">
      <alignment horizontal="left"/>
    </xf>
    <xf numFmtId="0" fontId="14" fillId="23" borderId="11" xfId="0" applyFont="1" applyFill="1" applyBorder="1" applyAlignment="1">
      <alignment horizontal="right" wrapText="1"/>
    </xf>
    <xf numFmtId="166" fontId="14" fillId="23" borderId="13" xfId="0" applyNumberFormat="1" applyFont="1" applyFill="1" applyBorder="1"/>
    <xf numFmtId="0" fontId="3" fillId="2" borderId="0" xfId="3" applyFont="1" applyFill="1"/>
    <xf numFmtId="166" fontId="14" fillId="24" borderId="0" xfId="0" applyNumberFormat="1" applyFont="1" applyFill="1" applyAlignment="1">
      <alignment horizontal="center" vertical="center"/>
    </xf>
    <xf numFmtId="2" fontId="14" fillId="25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4" fillId="24" borderId="0" xfId="0" applyFont="1" applyFill="1" applyAlignment="1">
      <alignment horizontal="center"/>
    </xf>
    <xf numFmtId="1" fontId="14" fillId="24" borderId="0" xfId="0" applyNumberFormat="1" applyFont="1" applyFill="1" applyAlignment="1">
      <alignment horizontal="center" vertical="center"/>
    </xf>
    <xf numFmtId="0" fontId="7" fillId="2" borderId="0" xfId="3" applyFont="1" applyFill="1"/>
    <xf numFmtId="0" fontId="16" fillId="3" borderId="14" xfId="0" applyFont="1" applyFill="1" applyBorder="1"/>
    <xf numFmtId="0" fontId="16" fillId="3" borderId="7" xfId="0" applyFont="1" applyFill="1" applyBorder="1"/>
    <xf numFmtId="172" fontId="16" fillId="3" borderId="15" xfId="0" applyNumberFormat="1" applyFont="1" applyFill="1" applyBorder="1"/>
    <xf numFmtId="0" fontId="9" fillId="3" borderId="0" xfId="0" applyFont="1" applyFill="1"/>
    <xf numFmtId="10" fontId="10" fillId="3" borderId="0" xfId="0" applyNumberFormat="1" applyFont="1" applyFill="1"/>
    <xf numFmtId="0" fontId="16" fillId="3" borderId="6" xfId="0" applyFont="1" applyFill="1" applyBorder="1"/>
    <xf numFmtId="0" fontId="16" fillId="3" borderId="0" xfId="0" applyFont="1" applyFill="1"/>
    <xf numFmtId="166" fontId="16" fillId="3" borderId="8" xfId="0" applyNumberFormat="1" applyFont="1" applyFill="1" applyBorder="1"/>
    <xf numFmtId="4" fontId="3" fillId="3" borderId="0" xfId="0" applyNumberFormat="1" applyFont="1" applyFill="1"/>
    <xf numFmtId="0" fontId="18" fillId="3" borderId="6" xfId="0" applyFont="1" applyFill="1" applyBorder="1"/>
    <xf numFmtId="166" fontId="10" fillId="3" borderId="8" xfId="0" applyNumberFormat="1" applyFont="1" applyFill="1" applyBorder="1"/>
    <xf numFmtId="0" fontId="10" fillId="3" borderId="6" xfId="0" applyFont="1" applyFill="1" applyBorder="1"/>
    <xf numFmtId="166" fontId="10" fillId="3" borderId="0" xfId="0" applyNumberFormat="1" applyFont="1" applyFill="1"/>
    <xf numFmtId="0" fontId="14" fillId="15" borderId="6" xfId="0" applyFont="1" applyFill="1" applyBorder="1"/>
    <xf numFmtId="0" fontId="14" fillId="15" borderId="0" xfId="0" applyFont="1" applyFill="1"/>
    <xf numFmtId="166" fontId="14" fillId="15" borderId="8" xfId="0" applyNumberFormat="1" applyFont="1" applyFill="1" applyBorder="1"/>
    <xf numFmtId="166" fontId="16" fillId="3" borderId="0" xfId="0" applyNumberFormat="1" applyFont="1" applyFill="1"/>
    <xf numFmtId="177" fontId="16" fillId="3" borderId="8" xfId="0" applyNumberFormat="1" applyFont="1" applyFill="1" applyBorder="1"/>
    <xf numFmtId="166" fontId="9" fillId="3" borderId="0" xfId="0" applyNumberFormat="1" applyFont="1" applyFill="1"/>
    <xf numFmtId="10" fontId="16" fillId="3" borderId="8" xfId="2" applyNumberFormat="1" applyFont="1" applyFill="1" applyBorder="1"/>
    <xf numFmtId="4" fontId="3" fillId="2" borderId="0" xfId="0" applyNumberFormat="1" applyFont="1" applyFill="1" applyAlignment="1">
      <alignment horizontal="right"/>
    </xf>
    <xf numFmtId="0" fontId="8" fillId="2" borderId="0" xfId="0" applyFont="1" applyFill="1" applyAlignment="1">
      <alignment vertical="center" wrapText="1"/>
    </xf>
    <xf numFmtId="0" fontId="16" fillId="3" borderId="16" xfId="0" applyFont="1" applyFill="1" applyBorder="1" applyAlignment="1">
      <alignment wrapText="1"/>
    </xf>
    <xf numFmtId="0" fontId="16" fillId="3" borderId="10" xfId="0" applyFont="1" applyFill="1" applyBorder="1"/>
    <xf numFmtId="166" fontId="16" fillId="3" borderId="17" xfId="0" applyNumberFormat="1" applyFont="1" applyFill="1" applyBorder="1"/>
    <xf numFmtId="43" fontId="10" fillId="3" borderId="0" xfId="1" applyFont="1" applyFill="1" applyAlignment="1">
      <alignment horizontal="center"/>
    </xf>
    <xf numFmtId="166" fontId="16" fillId="12" borderId="6" xfId="0" applyNumberFormat="1" applyFont="1" applyFill="1" applyBorder="1"/>
    <xf numFmtId="166" fontId="16" fillId="12" borderId="0" xfId="0" applyNumberFormat="1" applyFont="1" applyFill="1"/>
    <xf numFmtId="172" fontId="16" fillId="12" borderId="9" xfId="0" applyNumberFormat="1" applyFont="1" applyFill="1" applyBorder="1"/>
    <xf numFmtId="178" fontId="10" fillId="3" borderId="0" xfId="1" applyNumberFormat="1" applyFont="1" applyFill="1" applyAlignment="1">
      <alignment horizontal="center"/>
    </xf>
    <xf numFmtId="178" fontId="3" fillId="3" borderId="0" xfId="1" applyNumberFormat="1" applyFont="1" applyFill="1"/>
    <xf numFmtId="172" fontId="16" fillId="12" borderId="11" xfId="0" applyNumberFormat="1" applyFont="1" applyFill="1" applyBorder="1"/>
    <xf numFmtId="172" fontId="16" fillId="12" borderId="12" xfId="0" applyNumberFormat="1" applyFont="1" applyFill="1" applyBorder="1"/>
    <xf numFmtId="0" fontId="9" fillId="12" borderId="17" xfId="0" applyFont="1" applyFill="1" applyBorder="1"/>
    <xf numFmtId="0" fontId="26" fillId="2" borderId="0" xfId="0" applyFont="1" applyFill="1" applyAlignment="1">
      <alignment horizontal="left"/>
    </xf>
    <xf numFmtId="0" fontId="5" fillId="2" borderId="0" xfId="0" applyFont="1" applyFill="1"/>
    <xf numFmtId="0" fontId="27" fillId="2" borderId="0" xfId="0" applyFont="1" applyFill="1"/>
    <xf numFmtId="0" fontId="6" fillId="0" borderId="0" xfId="0" applyFont="1"/>
    <xf numFmtId="4" fontId="3" fillId="0" borderId="0" xfId="0" applyNumberFormat="1" applyFont="1"/>
    <xf numFmtId="0" fontId="3" fillId="3" borderId="1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10" fillId="5" borderId="1" xfId="0" applyFont="1" applyFill="1" applyBorder="1" applyAlignment="1">
      <alignment horizontal="center"/>
    </xf>
    <xf numFmtId="9" fontId="3" fillId="5" borderId="1" xfId="2" applyFont="1" applyFill="1" applyBorder="1" applyAlignment="1">
      <alignment horizontal="center"/>
    </xf>
    <xf numFmtId="166" fontId="14" fillId="7" borderId="1" xfId="0" applyNumberFormat="1" applyFont="1" applyFill="1" applyBorder="1" applyAlignment="1">
      <alignment horizontal="center" vertical="center"/>
    </xf>
    <xf numFmtId="166" fontId="14" fillId="7" borderId="4" xfId="0" applyNumberFormat="1" applyFont="1" applyFill="1" applyBorder="1" applyAlignment="1">
      <alignment horizontal="center" vertical="center"/>
    </xf>
    <xf numFmtId="10" fontId="3" fillId="2" borderId="1" xfId="0" applyNumberFormat="1" applyFont="1" applyFill="1" applyBorder="1" applyAlignment="1">
      <alignment horizontal="center" vertical="center"/>
    </xf>
    <xf numFmtId="10" fontId="3" fillId="2" borderId="4" xfId="0" applyNumberFormat="1" applyFont="1" applyFill="1" applyBorder="1" applyAlignment="1">
      <alignment horizontal="center" vertical="center"/>
    </xf>
    <xf numFmtId="4" fontId="3" fillId="2" borderId="1" xfId="0" applyNumberFormat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wrapText="1"/>
    </xf>
    <xf numFmtId="0" fontId="15" fillId="2" borderId="0" xfId="0" applyFont="1" applyFill="1" applyAlignment="1">
      <alignment horizontal="center"/>
    </xf>
    <xf numFmtId="0" fontId="14" fillId="11" borderId="14" xfId="0" applyFont="1" applyFill="1" applyBorder="1" applyAlignment="1">
      <alignment horizontal="center" vertical="center"/>
    </xf>
    <xf numFmtId="0" fontId="14" fillId="11" borderId="7" xfId="0" applyFont="1" applyFill="1" applyBorder="1" applyAlignment="1">
      <alignment horizontal="center" vertical="center"/>
    </xf>
    <xf numFmtId="0" fontId="14" fillId="11" borderId="15" xfId="0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right"/>
    </xf>
    <xf numFmtId="0" fontId="15" fillId="2" borderId="12" xfId="0" applyFont="1" applyFill="1" applyBorder="1" applyAlignment="1">
      <alignment horizontal="right"/>
    </xf>
    <xf numFmtId="0" fontId="15" fillId="2" borderId="5" xfId="0" applyFont="1" applyFill="1" applyBorder="1" applyAlignment="1">
      <alignment horizontal="right"/>
    </xf>
    <xf numFmtId="0" fontId="15" fillId="2" borderId="18" xfId="0" applyFont="1" applyFill="1" applyBorder="1" applyAlignment="1">
      <alignment horizontal="right"/>
    </xf>
    <xf numFmtId="0" fontId="13" fillId="2" borderId="5" xfId="0" applyFont="1" applyFill="1" applyBorder="1" applyAlignment="1">
      <alignment horizontal="center"/>
    </xf>
    <xf numFmtId="0" fontId="13" fillId="2" borderId="18" xfId="0" applyFont="1" applyFill="1" applyBorder="1" applyAlignment="1">
      <alignment horizontal="center"/>
    </xf>
    <xf numFmtId="0" fontId="13" fillId="2" borderId="19" xfId="0" applyFont="1" applyFill="1" applyBorder="1" applyAlignment="1">
      <alignment horizontal="center"/>
    </xf>
    <xf numFmtId="10" fontId="13" fillId="12" borderId="0" xfId="0" applyNumberFormat="1" applyFont="1" applyFill="1" applyAlignment="1">
      <alignment horizontal="center" vertical="center"/>
    </xf>
    <xf numFmtId="0" fontId="5" fillId="13" borderId="11" xfId="0" applyFont="1" applyFill="1" applyBorder="1" applyAlignment="1">
      <alignment horizontal="center" vertical="center" wrapText="1"/>
    </xf>
    <xf numFmtId="0" fontId="5" fillId="13" borderId="13" xfId="0" applyFont="1" applyFill="1" applyBorder="1" applyAlignment="1">
      <alignment horizontal="center" vertical="center" wrapText="1"/>
    </xf>
    <xf numFmtId="167" fontId="17" fillId="0" borderId="20" xfId="0" applyNumberFormat="1" applyFont="1" applyBorder="1" applyAlignment="1">
      <alignment horizontal="left" vertical="top" wrapText="1"/>
    </xf>
    <xf numFmtId="167" fontId="17" fillId="0" borderId="21" xfId="0" applyNumberFormat="1" applyFont="1" applyBorder="1" applyAlignment="1">
      <alignment horizontal="left" vertical="top" wrapText="1"/>
    </xf>
    <xf numFmtId="167" fontId="5" fillId="8" borderId="5" xfId="0" applyNumberFormat="1" applyFont="1" applyFill="1" applyBorder="1" applyAlignment="1">
      <alignment horizontal="center" vertical="center" wrapText="1"/>
    </xf>
    <xf numFmtId="167" fontId="5" fillId="8" borderId="19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5" fillId="2" borderId="22" xfId="0" applyFont="1" applyFill="1" applyBorder="1" applyAlignment="1">
      <alignment horizontal="center" vertical="center"/>
    </xf>
    <xf numFmtId="167" fontId="5" fillId="15" borderId="5" xfId="0" applyNumberFormat="1" applyFont="1" applyFill="1" applyBorder="1" applyAlignment="1">
      <alignment horizontal="center" wrapText="1"/>
    </xf>
    <xf numFmtId="167" fontId="5" fillId="15" borderId="19" xfId="0" applyNumberFormat="1" applyFont="1" applyFill="1" applyBorder="1" applyAlignment="1">
      <alignment horizontal="center" wrapText="1"/>
    </xf>
    <xf numFmtId="166" fontId="13" fillId="4" borderId="0" xfId="0" applyNumberFormat="1" applyFont="1" applyFill="1" applyAlignment="1">
      <alignment horizontal="center" wrapText="1"/>
    </xf>
    <xf numFmtId="167" fontId="8" fillId="0" borderId="5" xfId="0" applyNumberFormat="1" applyFont="1" applyBorder="1" applyAlignment="1">
      <alignment horizontal="center" wrapText="1"/>
    </xf>
    <xf numFmtId="167" fontId="8" fillId="0" borderId="19" xfId="0" applyNumberFormat="1" applyFont="1" applyBorder="1" applyAlignment="1">
      <alignment horizontal="center" wrapText="1"/>
    </xf>
    <xf numFmtId="0" fontId="18" fillId="3" borderId="1" xfId="0" applyFont="1" applyFill="1" applyBorder="1" applyAlignment="1">
      <alignment horizontal="center"/>
    </xf>
    <xf numFmtId="10" fontId="13" fillId="3" borderId="10" xfId="0" applyNumberFormat="1" applyFont="1" applyFill="1" applyBorder="1" applyAlignment="1">
      <alignment horizontal="center"/>
    </xf>
    <xf numFmtId="0" fontId="14" fillId="16" borderId="11" xfId="0" applyFont="1" applyFill="1" applyBorder="1" applyAlignment="1">
      <alignment horizontal="center"/>
    </xf>
    <xf numFmtId="0" fontId="14" fillId="16" borderId="13" xfId="0" applyFont="1" applyFill="1" applyBorder="1" applyAlignment="1">
      <alignment horizontal="center"/>
    </xf>
    <xf numFmtId="0" fontId="14" fillId="24" borderId="1" xfId="0" applyFont="1" applyFill="1" applyBorder="1" applyAlignment="1">
      <alignment horizontal="center" vertical="center"/>
    </xf>
    <xf numFmtId="166" fontId="14" fillId="26" borderId="1" xfId="0" applyNumberFormat="1" applyFont="1" applyFill="1" applyBorder="1" applyAlignment="1">
      <alignment horizontal="center" vertical="center" wrapText="1"/>
    </xf>
    <xf numFmtId="166" fontId="14" fillId="26" borderId="14" xfId="0" applyNumberFormat="1" applyFont="1" applyFill="1" applyBorder="1" applyAlignment="1">
      <alignment horizontal="center" vertical="center"/>
    </xf>
    <xf numFmtId="166" fontId="14" fillId="26" borderId="16" xfId="0" applyNumberFormat="1" applyFont="1" applyFill="1" applyBorder="1" applyAlignment="1">
      <alignment horizontal="center" vertical="center"/>
    </xf>
    <xf numFmtId="166" fontId="16" fillId="26" borderId="15" xfId="2" applyNumberFormat="1" applyFont="1" applyFill="1" applyBorder="1" applyAlignment="1">
      <alignment horizontal="right" vertical="center"/>
    </xf>
    <xf numFmtId="166" fontId="16" fillId="26" borderId="17" xfId="2" applyNumberFormat="1" applyFont="1" applyFill="1" applyBorder="1" applyAlignment="1">
      <alignment horizontal="right" vertical="center"/>
    </xf>
    <xf numFmtId="166" fontId="20" fillId="27" borderId="1" xfId="0" applyNumberFormat="1" applyFont="1" applyFill="1" applyBorder="1" applyAlignment="1">
      <alignment horizontal="center" vertical="center"/>
    </xf>
    <xf numFmtId="166" fontId="14" fillId="12" borderId="1" xfId="0" applyNumberFormat="1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</cellXfs>
  <cellStyles count="4">
    <cellStyle name="Normal" xfId="0" builtinId="0"/>
    <cellStyle name="Normal 5" xfId="3" xr:uid="{AE7201FE-1EA7-4A5E-9BE5-5354AF2F8BDE}"/>
    <cellStyle name="Porcentagem" xfId="2" builtinId="5"/>
    <cellStyle name="Vírgula" xfId="1" builtinId="3"/>
  </cellStyles>
  <dxfs count="15"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PREV SINDIFAZ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1447800</xdr:colOff>
          <xdr:row>1</xdr:row>
          <xdr:rowOff>123825</xdr:rowOff>
        </xdr:from>
        <xdr:to>
          <xdr:col>17</xdr:col>
          <xdr:colOff>3143250</xdr:colOff>
          <xdr:row>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43</xdr:row>
          <xdr:rowOff>28575</xdr:rowOff>
        </xdr:from>
        <xdr:to>
          <xdr:col>16</xdr:col>
          <xdr:colOff>1762125</xdr:colOff>
          <xdr:row>44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99</xdr:row>
      <xdr:rowOff>17319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6069444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242456</xdr:colOff>
      <xdr:row>1</xdr:row>
      <xdr:rowOff>121227</xdr:rowOff>
    </xdr:from>
    <xdr:to>
      <xdr:col>1</xdr:col>
      <xdr:colOff>1823</xdr:colOff>
      <xdr:row>4</xdr:row>
      <xdr:rowOff>260188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47909" y="425324"/>
          <a:ext cx="767611" cy="57851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225138</xdr:colOff>
      <xdr:row>3</xdr:row>
      <xdr:rowOff>103906</xdr:rowOff>
    </xdr:from>
    <xdr:to>
      <xdr:col>1</xdr:col>
      <xdr:colOff>813955</xdr:colOff>
      <xdr:row>5</xdr:row>
      <xdr:rowOff>242454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5138" y="732556"/>
          <a:ext cx="1407967" cy="643373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2020</a:t>
          </a:r>
        </a:p>
      </xdr:txBody>
    </xdr:sp>
    <xdr:clientData/>
  </xdr:twoCellAnchor>
  <xdr:twoCellAnchor>
    <xdr:from>
      <xdr:col>11</xdr:col>
      <xdr:colOff>363682</xdr:colOff>
      <xdr:row>43</xdr:row>
      <xdr:rowOff>363682</xdr:rowOff>
    </xdr:from>
    <xdr:to>
      <xdr:col>11</xdr:col>
      <xdr:colOff>1558637</xdr:colOff>
      <xdr:row>44</xdr:row>
      <xdr:rowOff>329046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347257" y="15356032"/>
          <a:ext cx="1194955" cy="59401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779318</xdr:colOff>
      <xdr:row>61</xdr:row>
      <xdr:rowOff>242454</xdr:rowOff>
    </xdr:from>
    <xdr:to>
      <xdr:col>20</xdr:col>
      <xdr:colOff>1316183</xdr:colOff>
      <xdr:row>64</xdr:row>
      <xdr:rowOff>51956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2841718" y="24178779"/>
          <a:ext cx="2384715" cy="990602"/>
        </a:xfrm>
        <a:prstGeom prst="roundRect">
          <a:avLst/>
        </a:prstGeom>
        <a:solidFill>
          <a:srgbClr val="FF7C8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kern="1200">
              <a:solidFill>
                <a:schemeClr val="tx1"/>
              </a:solidFill>
              <a:latin typeface="Cascadia Code ExtraLight" panose="020B0609020000020004" pitchFamily="49" charset="0"/>
              <a:ea typeface="Cascadia Code ExtraLight" panose="020B0609020000020004" pitchFamily="49" charset="0"/>
              <a:cs typeface="Cascadia Code ExtraLight" panose="020B0609020000020004" pitchFamily="49" charset="0"/>
            </a:rPr>
            <a:t>PARA</a:t>
          </a:r>
          <a:r>
            <a:rPr lang="pt-BR" sz="1800" kern="1200" baseline="0">
              <a:solidFill>
                <a:schemeClr val="tx1"/>
              </a:solidFill>
              <a:latin typeface="Cascadia Code ExtraLight" panose="020B0609020000020004" pitchFamily="49" charset="0"/>
              <a:ea typeface="Cascadia Code ExtraLight" panose="020B0609020000020004" pitchFamily="49" charset="0"/>
              <a:cs typeface="Cascadia Code ExtraLight" panose="020B0609020000020004" pitchFamily="49" charset="0"/>
            </a:rPr>
            <a:t> CALCULAR PREV. OUTRAS PLANILHAS</a:t>
          </a:r>
          <a:endParaRPr lang="pt-BR" sz="1800" kern="1200">
            <a:solidFill>
              <a:schemeClr val="tx1"/>
            </a:solidFill>
            <a:latin typeface="Cascadia Code ExtraLight" panose="020B0609020000020004" pitchFamily="49" charset="0"/>
            <a:ea typeface="Cascadia Code ExtraLight" panose="020B0609020000020004" pitchFamily="49" charset="0"/>
            <a:cs typeface="Cascadia Code ExtraLight" panose="020B06090200000200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  <cell r="AF18" t="e">
            <v>#VALUE!</v>
          </cell>
        </row>
        <row r="19">
          <cell r="AC19" t="e">
            <v>#N/A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B1"/>
          <cell r="C1"/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  <cell r="BJ1"/>
          <cell r="BK1"/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D3"/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  <cell r="BJ3"/>
          <cell r="BK3"/>
        </row>
        <row r="4">
          <cell r="A4" t="str">
            <v>b</v>
          </cell>
          <cell r="B4" t="str">
            <v>Fevereiro</v>
          </cell>
          <cell r="C4" t="str">
            <v>FEV</v>
          </cell>
          <cell r="D4"/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  <cell r="BJ4"/>
          <cell r="BK4"/>
        </row>
        <row r="5">
          <cell r="A5" t="str">
            <v>c</v>
          </cell>
          <cell r="B5" t="str">
            <v>Março</v>
          </cell>
          <cell r="C5" t="str">
            <v>MAR</v>
          </cell>
          <cell r="D5"/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  <cell r="BJ5"/>
          <cell r="BK5"/>
        </row>
        <row r="6">
          <cell r="A6" t="str">
            <v>d</v>
          </cell>
          <cell r="B6" t="str">
            <v>Abril</v>
          </cell>
          <cell r="C6" t="str">
            <v>ABR</v>
          </cell>
          <cell r="D6"/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  <cell r="BJ6"/>
          <cell r="BK6"/>
        </row>
        <row r="7">
          <cell r="A7" t="str">
            <v>e</v>
          </cell>
          <cell r="B7" t="str">
            <v>Maio</v>
          </cell>
          <cell r="C7" t="str">
            <v>MAI</v>
          </cell>
          <cell r="D7"/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  <cell r="BJ7"/>
          <cell r="BK7"/>
        </row>
        <row r="8">
          <cell r="A8" t="str">
            <v>f</v>
          </cell>
          <cell r="B8" t="str">
            <v>Junho</v>
          </cell>
          <cell r="C8" t="str">
            <v>JUN</v>
          </cell>
          <cell r="D8"/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  <cell r="BJ8"/>
          <cell r="BK8"/>
        </row>
        <row r="9">
          <cell r="A9" t="str">
            <v>g</v>
          </cell>
          <cell r="B9" t="str">
            <v>Julho</v>
          </cell>
          <cell r="C9" t="str">
            <v>JUL</v>
          </cell>
          <cell r="D9"/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  <cell r="BJ9"/>
          <cell r="BK9"/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D10"/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  <cell r="BJ10"/>
          <cell r="BK10"/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D11"/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  <cell r="BJ11"/>
          <cell r="BK11"/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  <cell r="BJ12"/>
          <cell r="BK12"/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  <cell r="BJ13"/>
          <cell r="BK13"/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  <cell r="BJ14"/>
          <cell r="BK14"/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  <row r="691">
          <cell r="B691"/>
        </row>
        <row r="692">
          <cell r="B692"/>
        </row>
      </sheetData>
      <sheetData sheetId="5">
        <row r="8">
          <cell r="I8">
            <v>36.200000000000003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I160"/>
  <sheetViews>
    <sheetView tabSelected="1" zoomScale="55" zoomScaleNormal="55" zoomScaleSheetLayoutView="40" workbookViewId="0">
      <selection activeCell="D2" sqref="D2"/>
    </sheetView>
  </sheetViews>
  <sheetFormatPr defaultColWidth="12.28515625" defaultRowHeight="15.6" customHeight="1" outlineLevelRow="1"/>
  <cols>
    <col min="1" max="1" width="12.28515625" style="6"/>
    <col min="2" max="2" width="12.85546875" style="6" customWidth="1"/>
    <col min="3" max="3" width="3" style="6" customWidth="1"/>
    <col min="4" max="4" width="36.28515625" style="30" customWidth="1"/>
    <col min="5" max="5" width="37.140625" style="30" customWidth="1"/>
    <col min="6" max="6" width="30.140625" style="30" customWidth="1"/>
    <col min="7" max="7" width="37.42578125" style="30" customWidth="1"/>
    <col min="8" max="8" width="30.85546875" style="30" customWidth="1"/>
    <col min="9" max="9" width="38.5703125" style="30" bestFit="1" customWidth="1"/>
    <col min="10" max="10" width="40.5703125" style="30" customWidth="1"/>
    <col min="11" max="11" width="35.5703125" style="6" customWidth="1"/>
    <col min="12" max="12" width="38.5703125" style="7" bestFit="1" customWidth="1"/>
    <col min="13" max="13" width="32.85546875" style="220" customWidth="1"/>
    <col min="14" max="14" width="34.140625" style="220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69.5703125" style="6" bestFit="1" customWidth="1"/>
    <col min="19" max="19" width="59.42578125" style="6" bestFit="1" customWidth="1"/>
    <col min="20" max="20" width="27.7109375" style="6" customWidth="1"/>
    <col min="21" max="21" width="45.5703125" style="6" customWidth="1"/>
    <col min="22" max="22" width="44.5703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3.5703125" style="6" hidden="1" customWidth="1"/>
    <col min="27" max="27" width="24.42578125" style="6" customWidth="1"/>
    <col min="28" max="28" width="10.42578125" style="6" customWidth="1"/>
    <col min="29" max="29" width="7.140625" style="6" customWidth="1"/>
    <col min="30" max="30" width="59.28515625" style="6" bestFit="1" customWidth="1"/>
    <col min="31" max="31" width="30" style="6" bestFit="1" customWidth="1"/>
    <col min="32" max="32" width="10.140625" style="6" bestFit="1" customWidth="1"/>
    <col min="33" max="33" width="5.85546875" style="6" bestFit="1" customWidth="1"/>
    <col min="34" max="257" width="11.85546875" style="6" customWidth="1"/>
    <col min="258" max="16384" width="12.28515625" style="6"/>
  </cols>
  <sheetData>
    <row r="1" spans="1:35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5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5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5" ht="17.100000000000001" customHeight="1">
      <c r="A4" s="1"/>
      <c r="B4" s="1"/>
      <c r="C4" s="222" t="s">
        <v>0</v>
      </c>
      <c r="D4" s="222"/>
      <c r="E4" s="222"/>
      <c r="F4" s="222"/>
      <c r="G4" s="222"/>
      <c r="H4" s="222"/>
      <c r="I4" s="222"/>
      <c r="J4" s="222"/>
      <c r="K4" s="222"/>
      <c r="L4" s="222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5" ht="23.25">
      <c r="A5" s="1"/>
      <c r="B5" s="1"/>
      <c r="C5" s="222" t="s">
        <v>1</v>
      </c>
      <c r="D5" s="222"/>
      <c r="E5" s="222"/>
      <c r="F5" s="222"/>
      <c r="G5" s="222"/>
      <c r="H5" s="222"/>
      <c r="I5" s="222"/>
      <c r="J5" s="222"/>
      <c r="K5" s="222"/>
      <c r="L5" s="222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5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5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5" ht="23.25">
      <c r="A8" s="1"/>
      <c r="B8" s="1"/>
      <c r="C8" s="12"/>
      <c r="D8" s="13" t="s">
        <v>3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6" t="s">
        <v>4</v>
      </c>
      <c r="R8" s="223" t="s">
        <v>5</v>
      </c>
      <c r="S8" s="223"/>
      <c r="T8" s="5"/>
      <c r="U8" s="5"/>
      <c r="V8" s="5"/>
      <c r="W8" s="5"/>
      <c r="X8" s="5"/>
      <c r="Y8" s="5"/>
      <c r="AI8" s="7"/>
    </row>
    <row r="9" spans="1:35" ht="45.75" customHeight="1">
      <c r="A9" s="1"/>
      <c r="B9" s="1"/>
      <c r="C9" s="12"/>
      <c r="D9" s="13" t="s">
        <v>6</v>
      </c>
      <c r="E9" s="17" t="str">
        <f>[1]MENU!C12</f>
        <v>Digite a Data do Protocolo</v>
      </c>
      <c r="F9" s="14"/>
      <c r="G9" s="14"/>
      <c r="H9" s="18"/>
      <c r="I9" s="19" t="s">
        <v>7</v>
      </c>
      <c r="J9" s="20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1"/>
      <c r="O9" s="1"/>
      <c r="P9" s="5"/>
      <c r="Q9" s="22" t="s">
        <v>8</v>
      </c>
      <c r="R9" s="224">
        <v>0.26</v>
      </c>
      <c r="S9" s="224"/>
      <c r="T9" s="5"/>
      <c r="U9" s="5"/>
      <c r="V9" s="5"/>
      <c r="W9" s="5"/>
      <c r="X9" s="5"/>
      <c r="Y9" s="5"/>
      <c r="AI9" s="7"/>
    </row>
    <row r="10" spans="1:35" ht="23.25">
      <c r="A10" s="1"/>
      <c r="B10" s="1"/>
      <c r="C10" s="12"/>
      <c r="D10" s="13" t="s">
        <v>9</v>
      </c>
      <c r="E10" s="13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6" t="s">
        <v>10</v>
      </c>
      <c r="R10" s="223" t="s">
        <v>5</v>
      </c>
      <c r="S10" s="223"/>
      <c r="T10" s="5"/>
      <c r="U10" s="5"/>
      <c r="V10" s="5"/>
      <c r="W10" s="5"/>
      <c r="X10" s="5"/>
      <c r="Y10" s="5"/>
      <c r="AC10" s="23"/>
      <c r="AD10" s="23"/>
      <c r="AE10" s="23"/>
      <c r="AF10" s="23"/>
      <c r="AG10" s="23"/>
      <c r="AI10" s="7"/>
    </row>
    <row r="11" spans="1:35" ht="27" customHeight="1">
      <c r="A11" s="1"/>
      <c r="B11" s="1"/>
      <c r="C11" s="12"/>
      <c r="D11" s="13" t="s">
        <v>11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6" t="s">
        <v>12</v>
      </c>
      <c r="R11" s="224">
        <v>0.01</v>
      </c>
      <c r="S11" s="224"/>
      <c r="T11" s="5"/>
      <c r="U11" s="5"/>
      <c r="V11" s="5"/>
      <c r="W11" s="5"/>
      <c r="X11" s="5"/>
      <c r="Y11" s="5"/>
      <c r="AC11" s="23"/>
      <c r="AD11" s="23"/>
      <c r="AE11" s="23"/>
      <c r="AF11" s="23"/>
      <c r="AG11" s="23"/>
      <c r="AI11" s="7"/>
    </row>
    <row r="12" spans="1:35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4"/>
      <c r="X12" s="5"/>
      <c r="Y12" s="5"/>
      <c r="AC12" s="23"/>
      <c r="AD12" s="23"/>
      <c r="AE12" s="23"/>
      <c r="AF12" s="23"/>
      <c r="AG12" s="23"/>
      <c r="AI12" s="7"/>
    </row>
    <row r="13" spans="1:35" ht="27.75" customHeight="1">
      <c r="A13" s="1"/>
      <c r="B13" s="1"/>
      <c r="C13" s="222" t="s">
        <v>13</v>
      </c>
      <c r="D13" s="222"/>
      <c r="E13" s="222"/>
      <c r="F13" s="222"/>
      <c r="G13" s="222"/>
      <c r="H13" s="222"/>
      <c r="I13" s="222"/>
      <c r="J13" s="222"/>
      <c r="K13" s="222"/>
      <c r="L13" s="222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5"/>
      <c r="AI13" s="7"/>
    </row>
    <row r="14" spans="1:35" ht="91.5" customHeight="1">
      <c r="A14" s="1"/>
      <c r="B14" s="1"/>
      <c r="C14" s="9"/>
      <c r="D14" s="26" t="s">
        <v>14</v>
      </c>
      <c r="E14" s="26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26" t="s">
        <v>15</v>
      </c>
      <c r="G14" s="26" t="s">
        <v>16</v>
      </c>
      <c r="H14" s="26" t="s">
        <v>17</v>
      </c>
      <c r="I14" s="26" t="s">
        <v>18</v>
      </c>
      <c r="J14" s="26" t="s">
        <v>19</v>
      </c>
      <c r="K14" s="26" t="s">
        <v>20</v>
      </c>
      <c r="L14" s="26" t="str">
        <f ca="1">"Valor Atualizado com Juros "&amp;UPPER(TEXT(TODAY(),"mmmm"))&amp;"/"&amp;YEAR(TODAY())</f>
        <v>Valor Atualizado com Juros FEVEREIRO/2025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I14" s="7"/>
    </row>
    <row r="15" spans="1:35" ht="36.950000000000003" customHeight="1">
      <c r="A15" s="1"/>
      <c r="B15" s="1"/>
      <c r="C15" s="9"/>
      <c r="D15" s="27" t="s">
        <v>21</v>
      </c>
      <c r="E15" s="28">
        <f>[1]MENU!C20</f>
        <v>0</v>
      </c>
      <c r="F15" s="29">
        <f>IFERROR(VLOOKUP([1]MENU!$AC$19,[1]GILBERTO!$A:$BK,[1]MENU!$AF$18), 1)</f>
        <v>1</v>
      </c>
      <c r="G15" s="28">
        <f>ROUND(E15*F15,2)</f>
        <v>0</v>
      </c>
      <c r="H15" s="30" t="s">
        <v>22</v>
      </c>
      <c r="I15" s="28">
        <v>0</v>
      </c>
      <c r="J15" s="28">
        <f>ROUND(G15+I15,2)</f>
        <v>0</v>
      </c>
      <c r="K15" s="31">
        <v>1</v>
      </c>
      <c r="L15" s="28">
        <f>ROUND(J15*K15,2)</f>
        <v>0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</row>
    <row r="16" spans="1:35" ht="32.65" customHeight="1">
      <c r="A16" s="1"/>
      <c r="B16" s="1"/>
      <c r="C16" s="9"/>
      <c r="D16" s="27" t="s">
        <v>23</v>
      </c>
      <c r="E16" s="28">
        <f>[1]MENU!C22</f>
        <v>0</v>
      </c>
      <c r="F16" s="29">
        <f>IFERROR(VLOOKUP([1]MENU!$AC$19,[1]GILBERTO!$A:$BK,[1]MENU!$AF$18), 1)</f>
        <v>1</v>
      </c>
      <c r="G16" s="28">
        <f>ROUND(E16*F16,2)</f>
        <v>0</v>
      </c>
      <c r="H16" s="32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28">
        <f>ROUND(G15*H16,2)</f>
        <v>0</v>
      </c>
      <c r="J16" s="33">
        <f>ROUND(G16+I16,2)</f>
        <v>0</v>
      </c>
      <c r="K16" s="34">
        <v>1</v>
      </c>
      <c r="L16" s="28">
        <f>ROUND(J16*K16,2)</f>
        <v>0</v>
      </c>
      <c r="M16" s="4"/>
      <c r="N16" s="4"/>
      <c r="O16" s="1"/>
      <c r="P16" s="5"/>
      <c r="Q16" s="5"/>
      <c r="R16" s="225" t="s">
        <v>24</v>
      </c>
      <c r="S16" s="225"/>
      <c r="T16" s="225"/>
      <c r="U16" s="225"/>
      <c r="V16" s="226"/>
      <c r="W16" s="225"/>
      <c r="X16" s="5"/>
      <c r="Y16" s="5"/>
    </row>
    <row r="17" spans="1:25" ht="43.15" customHeight="1">
      <c r="A17" s="1"/>
      <c r="B17" s="1"/>
      <c r="C17" s="9"/>
      <c r="D17" s="35" t="s">
        <v>25</v>
      </c>
      <c r="E17" s="36">
        <f>SUM(E15:E16)</f>
        <v>0</v>
      </c>
      <c r="F17" s="37" t="s">
        <v>22</v>
      </c>
      <c r="G17" s="36">
        <f>SUM(G15:G16)</f>
        <v>0</v>
      </c>
      <c r="H17" s="38" t="s">
        <v>22</v>
      </c>
      <c r="I17" s="39">
        <f>SUM(I15:I16)</f>
        <v>0</v>
      </c>
      <c r="J17" s="40">
        <f>SUM(J15:J16)</f>
        <v>0</v>
      </c>
      <c r="K17" s="41" t="s">
        <v>22</v>
      </c>
      <c r="L17" s="40">
        <f>SUM(L15:L16)</f>
        <v>0</v>
      </c>
      <c r="M17" s="4"/>
      <c r="N17" s="4"/>
      <c r="O17" s="1"/>
      <c r="P17" s="5"/>
      <c r="Q17" s="42"/>
      <c r="R17" s="43">
        <f>ROUND(E15,2)</f>
        <v>0</v>
      </c>
      <c r="S17" s="44">
        <f>ROUND(G15,2)</f>
        <v>0</v>
      </c>
      <c r="T17" s="44">
        <f>ROUND(I15,2)</f>
        <v>0</v>
      </c>
      <c r="U17" s="44">
        <f>ROUND(J15,2)</f>
        <v>0</v>
      </c>
      <c r="V17" s="45">
        <f>ROUND(L15,2)</f>
        <v>0</v>
      </c>
      <c r="W17" s="46">
        <f>ROUND(L17,2)</f>
        <v>0</v>
      </c>
      <c r="X17" s="5"/>
      <c r="Y17" s="5"/>
    </row>
    <row r="18" spans="1:25" ht="23.25">
      <c r="A18" s="1"/>
      <c r="B18" s="1"/>
      <c r="C18" s="9"/>
      <c r="D18" s="4"/>
      <c r="E18" s="4"/>
      <c r="F18" s="4"/>
      <c r="G18" s="4"/>
      <c r="H18" s="4"/>
      <c r="I18" s="4"/>
      <c r="J18" s="47" t="s">
        <v>26</v>
      </c>
      <c r="K18" s="227">
        <f>IFERROR('[1]Selic e IPCA'!$I$8%,0)</f>
        <v>0.36200000000000004</v>
      </c>
      <c r="L18" s="229">
        <f>ROUND(L17*K18,2)</f>
        <v>0</v>
      </c>
      <c r="M18" s="4"/>
      <c r="N18" s="4"/>
      <c r="O18" s="1"/>
      <c r="P18" s="5"/>
      <c r="Q18" s="42"/>
      <c r="R18" s="43">
        <f>ROUND(E16,2)</f>
        <v>0</v>
      </c>
      <c r="S18" s="44">
        <f>ROUND(G16,2)</f>
        <v>0</v>
      </c>
      <c r="T18" s="44">
        <f>ROUND(I16,2)</f>
        <v>0</v>
      </c>
      <c r="U18" s="44">
        <f>ROUND(J16,2)</f>
        <v>0</v>
      </c>
      <c r="V18" s="44">
        <f>ROUND(L16,2)</f>
        <v>0</v>
      </c>
      <c r="W18" s="46">
        <f>ROUND(L18,2)</f>
        <v>0</v>
      </c>
      <c r="X18" s="5"/>
      <c r="Y18" s="5"/>
    </row>
    <row r="19" spans="1:25" ht="23.25">
      <c r="A19" s="1"/>
      <c r="B19" s="1"/>
      <c r="C19" s="9"/>
      <c r="D19" s="4"/>
      <c r="E19" s="4"/>
      <c r="F19" s="4"/>
      <c r="G19" s="4"/>
      <c r="H19" s="4"/>
      <c r="I19" s="4"/>
      <c r="J19" s="48">
        <v>44531</v>
      </c>
      <c r="K19" s="227"/>
      <c r="L19" s="229"/>
      <c r="M19" s="4"/>
      <c r="N19" s="4"/>
      <c r="O19" s="1"/>
      <c r="P19" s="5"/>
      <c r="Q19" s="42"/>
      <c r="R19" s="43">
        <f t="shared" ref="R19:W19" si="0">SUM(R17:R18)</f>
        <v>0</v>
      </c>
      <c r="S19" s="44">
        <f t="shared" si="0"/>
        <v>0</v>
      </c>
      <c r="T19" s="44">
        <f t="shared" si="0"/>
        <v>0</v>
      </c>
      <c r="U19" s="44">
        <f t="shared" si="0"/>
        <v>0</v>
      </c>
      <c r="V19" s="49">
        <f t="shared" si="0"/>
        <v>0</v>
      </c>
      <c r="W19" s="46">
        <f t="shared" si="0"/>
        <v>0</v>
      </c>
      <c r="X19" s="5"/>
      <c r="Y19" s="5"/>
    </row>
    <row r="20" spans="1:25" ht="23.25">
      <c r="A20" s="1"/>
      <c r="B20" s="1"/>
      <c r="C20" s="9"/>
      <c r="D20" s="14"/>
      <c r="E20" s="14"/>
      <c r="F20" s="14"/>
      <c r="G20" s="14"/>
      <c r="H20" s="14"/>
      <c r="I20" s="50"/>
      <c r="J20" s="48">
        <f ca="1">DATE(YEAR(TODAY()), MONTH(1 &amp; TEXT(TODAY(), "mmmm")), 1)</f>
        <v>45689</v>
      </c>
      <c r="K20" s="228"/>
      <c r="L20" s="229"/>
      <c r="M20" s="4"/>
      <c r="N20" s="4"/>
      <c r="O20" s="1"/>
      <c r="P20" s="5"/>
      <c r="Q20" s="42"/>
      <c r="R20" s="51">
        <f>R19-E17</f>
        <v>0</v>
      </c>
      <c r="S20" s="52">
        <f>S19-G17</f>
        <v>0</v>
      </c>
      <c r="T20" s="52">
        <f>T19-I17</f>
        <v>0</v>
      </c>
      <c r="U20" s="52">
        <f>U19-J17</f>
        <v>0</v>
      </c>
      <c r="V20" s="53">
        <f>V19-L17</f>
        <v>0</v>
      </c>
      <c r="W20" s="54">
        <f>W19-L21</f>
        <v>0</v>
      </c>
      <c r="X20" s="5"/>
      <c r="Y20" s="5"/>
    </row>
    <row r="21" spans="1:25" ht="51.75" customHeight="1">
      <c r="A21" s="1"/>
      <c r="B21" s="1"/>
      <c r="C21" s="9"/>
      <c r="D21" s="14"/>
      <c r="E21" s="14"/>
      <c r="F21" s="14"/>
      <c r="G21" s="14"/>
      <c r="H21" s="14"/>
      <c r="I21" s="14"/>
      <c r="J21" s="230" t="str">
        <f ca="1">"Valor Total Devido em "&amp;UPPER(TEXT(TODAY(),"mmmm"))&amp;"/"&amp;YEAR(TODAY())</f>
        <v>Valor Total Devido em FEVEREIRO/2025</v>
      </c>
      <c r="K21" s="230"/>
      <c r="L21" s="55">
        <f>L17+L18</f>
        <v>0</v>
      </c>
      <c r="M21" s="4"/>
      <c r="N21" s="4"/>
      <c r="O21" s="1"/>
      <c r="P21" s="5"/>
      <c r="Q21" s="42"/>
      <c r="R21" s="56"/>
      <c r="S21" s="56"/>
      <c r="T21" s="56"/>
      <c r="U21" s="56"/>
      <c r="V21" s="56"/>
      <c r="W21" s="56"/>
      <c r="X21" s="5"/>
      <c r="Y21" s="5"/>
    </row>
    <row r="22" spans="1:25" ht="72" customHeight="1">
      <c r="A22" s="1"/>
      <c r="B22" s="1"/>
      <c r="C22" s="9"/>
      <c r="D22" s="57"/>
      <c r="E22" s="14"/>
      <c r="F22" s="14"/>
      <c r="G22" s="14"/>
      <c r="H22" s="14"/>
      <c r="I22" s="50"/>
      <c r="J22" s="11"/>
      <c r="K22" s="11"/>
      <c r="L22" s="11"/>
      <c r="M22" s="4"/>
      <c r="N22" s="4"/>
      <c r="O22" s="1"/>
      <c r="P22" s="5"/>
      <c r="Q22" s="42"/>
      <c r="R22" s="221" t="str">
        <f ca="1">"DIVISÃO "&amp;UPPER(TEXT(TODAY(),"mmmm"))&amp;"/"&amp;YEAR(TODAY())&amp;""</f>
        <v>DIVISÃO FEVEREIRO/2025</v>
      </c>
      <c r="S22" s="221"/>
      <c r="T22" s="221"/>
      <c r="U22" s="221"/>
      <c r="V22" s="221"/>
      <c r="W22" s="221"/>
      <c r="X22" s="5"/>
      <c r="Y22" s="5"/>
    </row>
    <row r="23" spans="1:25" ht="48" customHeight="1">
      <c r="A23" s="1"/>
      <c r="B23" s="1"/>
      <c r="C23" s="9"/>
      <c r="D23" s="14"/>
      <c r="E23" s="14"/>
      <c r="F23" s="14"/>
      <c r="G23" s="14"/>
      <c r="H23" s="14"/>
      <c r="I23" s="14"/>
      <c r="J23" s="11"/>
      <c r="K23" s="11"/>
      <c r="L23" s="11"/>
      <c r="M23" s="4"/>
      <c r="N23" s="4"/>
      <c r="O23" s="1"/>
      <c r="P23" s="5"/>
      <c r="Q23" s="42"/>
      <c r="R23" s="232" t="s">
        <v>27</v>
      </c>
      <c r="S23" s="233"/>
      <c r="T23" s="233" t="s">
        <v>28</v>
      </c>
      <c r="U23" s="233"/>
      <c r="V23" s="233" t="s">
        <v>29</v>
      </c>
      <c r="W23" s="234"/>
      <c r="X23" s="5"/>
      <c r="Y23" s="5"/>
    </row>
    <row r="24" spans="1:25" ht="31.5" customHeight="1">
      <c r="A24" s="1"/>
      <c r="B24" s="1"/>
      <c r="C24" s="9"/>
      <c r="D24" s="11"/>
      <c r="E24" s="11"/>
      <c r="F24" s="11"/>
      <c r="G24" s="11"/>
      <c r="H24" s="11"/>
      <c r="I24" s="11"/>
      <c r="J24" s="11"/>
      <c r="K24" s="11"/>
      <c r="L24" s="11"/>
      <c r="M24" s="4"/>
      <c r="N24" s="4"/>
      <c r="O24" s="1"/>
      <c r="P24" s="5"/>
      <c r="Q24" s="42"/>
      <c r="R24" s="58">
        <f>$L$21</f>
        <v>0</v>
      </c>
      <c r="S24" s="59">
        <v>1</v>
      </c>
      <c r="T24" s="60">
        <f>R24</f>
        <v>0</v>
      </c>
      <c r="U24" s="61">
        <f>S24</f>
        <v>1</v>
      </c>
      <c r="V24" s="60">
        <f>T24</f>
        <v>0</v>
      </c>
      <c r="W24" s="62">
        <f>U24</f>
        <v>1</v>
      </c>
      <c r="X24" s="5"/>
      <c r="Y24" s="5"/>
    </row>
    <row r="25" spans="1:25" ht="25.5" customHeight="1">
      <c r="A25" s="1"/>
      <c r="B25" s="1"/>
      <c r="C25" s="9"/>
      <c r="D25" s="14"/>
      <c r="E25" s="14"/>
      <c r="F25" s="14"/>
      <c r="G25" s="14"/>
      <c r="H25" s="14"/>
      <c r="I25" s="50"/>
      <c r="J25" s="235" t="str">
        <f>IF(R5="sim", "(-)CONTRIBUIÇÃO SINDIFAZ- (C)– "&amp;TEXT(R11,"0%")&amp;" sobre", "(-)CONTRIBUIÇÃO SINDIFAZ- (B)– "&amp;TEXT(R11,"0%")&amp;" sobre")</f>
        <v>(-)CONTRIBUIÇÃO SINDIFAZ- (B)– 1% sobre</v>
      </c>
      <c r="K25" s="236"/>
      <c r="L25" s="236"/>
      <c r="M25" s="63">
        <f>L21</f>
        <v>0</v>
      </c>
      <c r="N25" s="64">
        <f>L21*$R$11</f>
        <v>0</v>
      </c>
      <c r="O25" s="1"/>
      <c r="P25" s="5"/>
      <c r="Q25" s="42"/>
      <c r="R25" s="65">
        <f>J15</f>
        <v>0</v>
      </c>
      <c r="S25" s="66" t="e">
        <f>R25*S24/R24</f>
        <v>#DIV/0!</v>
      </c>
      <c r="T25" s="67">
        <f>G16+I16</f>
        <v>0</v>
      </c>
      <c r="U25" s="66" t="e">
        <f>T25*U24/T24</f>
        <v>#DIV/0!</v>
      </c>
      <c r="V25" s="67">
        <f>L21-L17</f>
        <v>0</v>
      </c>
      <c r="W25" s="68" t="e">
        <f>V25*W24/V24</f>
        <v>#DIV/0!</v>
      </c>
      <c r="X25" s="5"/>
      <c r="Y25" s="5"/>
    </row>
    <row r="26" spans="1:25" ht="18.600000000000001" customHeight="1">
      <c r="A26" s="1"/>
      <c r="B26" s="1"/>
      <c r="C26" s="9"/>
      <c r="D26" s="14"/>
      <c r="E26" s="14"/>
      <c r="F26" s="14"/>
      <c r="G26" s="14"/>
      <c r="H26" s="14"/>
      <c r="I26" s="50"/>
      <c r="J26" s="14"/>
      <c r="K26" s="1"/>
      <c r="L26" s="11"/>
      <c r="M26" s="4"/>
      <c r="N26" s="4"/>
      <c r="O26" s="1"/>
      <c r="P26" s="5"/>
      <c r="Q26" s="42"/>
      <c r="R26" s="56"/>
      <c r="S26" s="56"/>
      <c r="T26" s="56"/>
      <c r="U26" s="56"/>
      <c r="V26" s="56"/>
      <c r="W26" s="56"/>
      <c r="X26" s="5"/>
      <c r="Y26" s="5"/>
    </row>
    <row r="27" spans="1:25" ht="26.25" customHeight="1">
      <c r="A27" s="1"/>
      <c r="B27" s="1"/>
      <c r="C27" s="9"/>
      <c r="D27" s="14"/>
      <c r="E27" s="14"/>
      <c r="F27" s="14"/>
      <c r="G27" s="14"/>
      <c r="H27" s="2"/>
      <c r="I27" s="50"/>
      <c r="J27" s="237" t="str">
        <f>"(-)Honorários Contratuais- (" &amp; IF(AND(R5="Sim", V8="Não"), "C", IF(AND(R5="Não", V8="Sim"), "C", IF(AND(R5="Não", V8="Não"), "B", "D"))) &amp; ")– " &amp; TEXT(R9, "0%") &amp; " sobre"</f>
        <v>(-)Honorários Contratuais- (D)– 26% sobre</v>
      </c>
      <c r="K27" s="238"/>
      <c r="L27" s="238"/>
      <c r="M27" s="69">
        <f>L21</f>
        <v>0</v>
      </c>
      <c r="N27" s="70">
        <f>L21*$R$9</f>
        <v>0</v>
      </c>
      <c r="O27" s="71"/>
      <c r="P27" s="56"/>
      <c r="Q27" s="5"/>
      <c r="R27" s="5"/>
      <c r="S27" s="5"/>
      <c r="T27" s="5"/>
      <c r="U27" s="5"/>
      <c r="V27" s="5"/>
      <c r="W27" s="5"/>
      <c r="X27" s="5"/>
      <c r="Y27" s="5"/>
    </row>
    <row r="28" spans="1:25" ht="18.600000000000001" customHeight="1">
      <c r="A28" s="1"/>
      <c r="B28" s="1"/>
      <c r="C28" s="9"/>
      <c r="D28" s="2"/>
      <c r="E28" s="2"/>
      <c r="F28" s="2"/>
      <c r="G28" s="2"/>
      <c r="H28" s="14"/>
      <c r="I28" s="50"/>
      <c r="J28" s="72"/>
      <c r="K28" s="72"/>
      <c r="L28" s="72"/>
      <c r="M28" s="72"/>
      <c r="N28" s="73"/>
      <c r="O28" s="1"/>
      <c r="P28" s="5"/>
      <c r="Q28" s="5"/>
      <c r="R28" s="74"/>
      <c r="S28" s="74"/>
      <c r="T28" s="74"/>
      <c r="U28" s="74"/>
      <c r="V28" s="74"/>
      <c r="W28" s="74"/>
      <c r="X28" s="5"/>
      <c r="Y28" s="5"/>
    </row>
    <row r="29" spans="1:25" ht="26.25" customHeight="1">
      <c r="A29" s="1"/>
      <c r="B29" s="1"/>
      <c r="C29" s="9"/>
      <c r="D29" s="2"/>
      <c r="E29" s="2"/>
      <c r="F29" s="2"/>
      <c r="G29" s="2"/>
      <c r="H29" s="2"/>
      <c r="I29" s="50"/>
      <c r="J29" s="72"/>
      <c r="K29" s="239" t="str">
        <f>IF(AND(R5="Sim",R8="Sim",V8="Sim"),"TOTAL DEVIDO AO EXEQUENTE – (E) = (A + B – C - D)",
IF(AND(R5="Sim",R8="Sim"),"TOTAL DEVIDO AO EXEQUENTE – (D) = (A + "&amp;IF(R5="Sim","B","-B")&amp;" – C)",
IF(AND(R5="Sim",V8="Sim"),"TOTAL DEVIDO AO EXEQUENTE – (D) = (A + "&amp;IF(R5="Sim","B","-B")&amp;" – C)",
IF(AND(R8="Sim",V8="Sim"),"TOTAL DEVIDO AO EXEQUENTE – (D) = (A - "&amp;IF(R5="Sim","B","-B")&amp;" – C)",
IF(AND(R5="Sim",NOT(AND(R8="Sim",V8="Sim"))),"TOTAL DEVIDO AO EXEQUENTE – (C) = (A + "&amp;IF(R5="Sim","B","-B")&amp;")",
IF(AND(R8="Sim",NOT(AND(R5="Sim",V8="Sim"))),"TOTAL DEVIDO AO EXEQUENTE – (C) = (A - "&amp;IF(R5="Sim","B","-B")&amp;")",
IF(AND(V8="Sim",NOT(AND(R5="Sim",R8="Sim"))),"TOTAL DEVIDO AO EXEQUENTE – (C) = (A - "&amp;IF(R5="Sim","B","-B")&amp;")",
"TOTAL DEVIDO AO EXEQUENTE – (A) = (A)")))))))</f>
        <v>TOTAL DEVIDO AO EXEQUENTE – (C) = (A - -B)</v>
      </c>
      <c r="L29" s="240"/>
      <c r="M29" s="241"/>
      <c r="N29" s="75">
        <f>L21 - N25 - N27</f>
        <v>0</v>
      </c>
      <c r="O29" s="1"/>
      <c r="P29" s="56"/>
      <c r="Q29" s="42"/>
      <c r="R29" s="74"/>
      <c r="S29" s="242" t="s">
        <v>30</v>
      </c>
      <c r="T29" s="76">
        <f>R25+T25+V25</f>
        <v>0</v>
      </c>
      <c r="U29" s="74"/>
      <c r="V29" s="74"/>
      <c r="W29" s="74"/>
      <c r="X29" s="74"/>
      <c r="Y29" s="5"/>
    </row>
    <row r="30" spans="1:25" ht="33" customHeight="1">
      <c r="A30" s="1"/>
      <c r="B30" s="1"/>
      <c r="C30" s="9"/>
      <c r="D30" s="14"/>
      <c r="E30" s="14"/>
      <c r="F30" s="50"/>
      <c r="G30" s="2"/>
      <c r="H30" s="50"/>
      <c r="I30" s="14"/>
      <c r="J30" s="14"/>
      <c r="K30" s="1"/>
      <c r="L30" s="11"/>
      <c r="M30" s="4"/>
      <c r="N30" s="4"/>
      <c r="O30" s="1"/>
      <c r="P30" s="5"/>
      <c r="Q30" s="5"/>
      <c r="R30" s="74"/>
      <c r="S30" s="242"/>
      <c r="T30" s="77" t="e">
        <f>S25+U25+W25</f>
        <v>#DIV/0!</v>
      </c>
      <c r="U30" s="74"/>
      <c r="V30" s="74"/>
      <c r="W30" s="74"/>
      <c r="X30" s="74"/>
      <c r="Y30" s="5"/>
    </row>
    <row r="31" spans="1:25" ht="33" hidden="1" customHeight="1" outlineLevel="1">
      <c r="A31" s="1"/>
      <c r="B31" s="1"/>
      <c r="C31" s="9"/>
      <c r="D31" s="14"/>
      <c r="E31" s="14"/>
      <c r="F31" s="50"/>
      <c r="G31" s="2"/>
      <c r="H31" s="50"/>
      <c r="I31" s="14"/>
      <c r="J31" s="14"/>
      <c r="K31" s="1"/>
      <c r="L31" s="11"/>
      <c r="M31" s="4"/>
      <c r="N31" s="4"/>
      <c r="O31" s="1"/>
      <c r="P31" s="5"/>
      <c r="Q31" s="5"/>
      <c r="R31" s="74"/>
      <c r="S31" s="74"/>
      <c r="T31" s="74"/>
      <c r="U31" s="74"/>
      <c r="V31" s="74"/>
      <c r="W31" s="74"/>
      <c r="X31" s="74"/>
      <c r="Y31" s="5"/>
    </row>
    <row r="32" spans="1:25" ht="23.25" hidden="1" outlineLevel="1">
      <c r="A32" s="1"/>
      <c r="B32" s="1"/>
      <c r="C32" s="222" t="s">
        <v>31</v>
      </c>
      <c r="D32" s="222"/>
      <c r="E32" s="222"/>
      <c r="F32" s="222"/>
      <c r="G32" s="222"/>
      <c r="H32" s="222"/>
      <c r="I32" s="222"/>
      <c r="J32" s="222"/>
      <c r="K32" s="222"/>
      <c r="L32" s="222"/>
      <c r="M32" s="222"/>
      <c r="N32" s="222"/>
      <c r="O32" s="1"/>
      <c r="P32" s="5"/>
      <c r="Q32" s="5"/>
      <c r="R32" s="74"/>
      <c r="S32" s="74"/>
      <c r="T32" s="74"/>
      <c r="U32" s="74"/>
      <c r="V32" s="74"/>
      <c r="W32" s="74"/>
      <c r="X32" s="74"/>
      <c r="Y32" s="5"/>
    </row>
    <row r="33" spans="1:25" ht="70.5" hidden="1" customHeight="1" outlineLevel="1">
      <c r="A33" s="1"/>
      <c r="B33" s="1"/>
      <c r="C33" s="9"/>
      <c r="D33" s="243" t="s">
        <v>32</v>
      </c>
      <c r="E33" s="244"/>
      <c r="F33" s="78" t="s">
        <v>33</v>
      </c>
      <c r="G33" s="79" t="s">
        <v>34</v>
      </c>
      <c r="H33" s="79" t="s">
        <v>35</v>
      </c>
      <c r="I33" s="79" t="s">
        <v>36</v>
      </c>
      <c r="J33" s="79" t="s">
        <v>37</v>
      </c>
      <c r="K33" s="79" t="s">
        <v>38</v>
      </c>
      <c r="L33" s="79" t="s">
        <v>39</v>
      </c>
      <c r="M33" s="79" t="s">
        <v>40</v>
      </c>
      <c r="N33" s="4"/>
      <c r="O33" s="1"/>
      <c r="P33" s="5"/>
      <c r="Q33" s="5"/>
      <c r="R33" s="74"/>
      <c r="S33" s="74"/>
      <c r="T33" s="74"/>
      <c r="U33" s="74"/>
      <c r="V33" s="74"/>
      <c r="W33" s="74"/>
      <c r="X33" s="74"/>
      <c r="Y33" s="5"/>
    </row>
    <row r="34" spans="1:25" ht="33" hidden="1" customHeight="1" outlineLevel="1">
      <c r="A34" s="1"/>
      <c r="B34" s="1"/>
      <c r="C34" s="9"/>
      <c r="D34" s="245"/>
      <c r="E34" s="246"/>
      <c r="F34" s="80"/>
      <c r="G34" s="81">
        <f>$L$21*F34</f>
        <v>0</v>
      </c>
      <c r="H34" s="81">
        <f>G34*0.26</f>
        <v>0</v>
      </c>
      <c r="I34" s="81">
        <f>G34*0.01</f>
        <v>0</v>
      </c>
      <c r="J34" s="81">
        <f>G34-H34-I34</f>
        <v>0</v>
      </c>
      <c r="K34" s="81" t="e">
        <f>$W$63</f>
        <v>#DIV/0!</v>
      </c>
      <c r="L34" s="81" t="e">
        <f>F34*$T$84</f>
        <v>#DIV/0!</v>
      </c>
      <c r="M34" s="82" t="e">
        <f>$T$80*F34</f>
        <v>#DIV/0!</v>
      </c>
      <c r="N34" s="4"/>
      <c r="O34" s="1"/>
      <c r="P34" s="5"/>
      <c r="Q34" s="5"/>
      <c r="R34" s="74"/>
      <c r="S34" s="74"/>
      <c r="T34" s="74"/>
      <c r="U34" s="74"/>
      <c r="V34" s="74"/>
      <c r="W34" s="74"/>
      <c r="X34" s="74"/>
      <c r="Y34" s="5"/>
    </row>
    <row r="35" spans="1:25" ht="33" hidden="1" customHeight="1" outlineLevel="1">
      <c r="A35" s="1"/>
      <c r="B35" s="1"/>
      <c r="C35" s="9"/>
      <c r="D35" s="245"/>
      <c r="E35" s="246"/>
      <c r="F35" s="80"/>
      <c r="G35" s="81">
        <f>$L$21*F35</f>
        <v>0</v>
      </c>
      <c r="H35" s="81">
        <f>G35*0.26</f>
        <v>0</v>
      </c>
      <c r="I35" s="81">
        <f>G35*0.01</f>
        <v>0</v>
      </c>
      <c r="J35" s="81">
        <f>G35-H35-I35</f>
        <v>0</v>
      </c>
      <c r="K35" s="81" t="e">
        <f>$W$63</f>
        <v>#DIV/0!</v>
      </c>
      <c r="L35" s="81" t="e">
        <f>F35*$T$84</f>
        <v>#DIV/0!</v>
      </c>
      <c r="M35" s="82" t="e">
        <f>$T$80*F35</f>
        <v>#DIV/0!</v>
      </c>
      <c r="N35" s="4"/>
      <c r="O35" s="1"/>
      <c r="P35" s="5"/>
      <c r="Q35" s="5"/>
      <c r="R35" s="74"/>
      <c r="S35" s="74"/>
      <c r="T35" s="74"/>
      <c r="U35" s="74"/>
      <c r="V35" s="74"/>
      <c r="W35" s="74"/>
      <c r="X35" s="74"/>
      <c r="Y35" s="5"/>
    </row>
    <row r="36" spans="1:25" ht="33" hidden="1" customHeight="1" outlineLevel="1">
      <c r="A36" s="1"/>
      <c r="B36" s="1"/>
      <c r="C36" s="9"/>
      <c r="D36" s="247" t="s">
        <v>41</v>
      </c>
      <c r="E36" s="248"/>
      <c r="F36" s="83">
        <f>SUM(F34:F35)</f>
        <v>0</v>
      </c>
      <c r="G36" s="84">
        <f>SUM(G34:G35)</f>
        <v>0</v>
      </c>
      <c r="H36" s="84">
        <f t="shared" ref="H36:I36" si="1">SUM(H34:H35)</f>
        <v>0</v>
      </c>
      <c r="I36" s="84">
        <f t="shared" si="1"/>
        <v>0</v>
      </c>
      <c r="J36" s="84">
        <f>SUM(J34:J35)</f>
        <v>0</v>
      </c>
      <c r="K36" s="84" t="e">
        <f>SUM(K34:K35)</f>
        <v>#DIV/0!</v>
      </c>
      <c r="L36" s="84" t="e">
        <f>SUM(L34:L35)</f>
        <v>#DIV/0!</v>
      </c>
      <c r="M36" s="85" t="e">
        <f>SUM(M34:M35)</f>
        <v>#DIV/0!</v>
      </c>
      <c r="N36" s="4"/>
      <c r="O36" s="1"/>
      <c r="P36" s="5"/>
      <c r="Q36" s="5"/>
      <c r="R36" s="74"/>
      <c r="S36" s="74"/>
      <c r="T36" s="74"/>
      <c r="U36" s="74"/>
      <c r="V36" s="74"/>
      <c r="W36" s="74"/>
      <c r="X36" s="74"/>
      <c r="Y36" s="5"/>
    </row>
    <row r="37" spans="1:25" ht="33" hidden="1" customHeight="1" outlineLevel="1">
      <c r="A37" s="1"/>
      <c r="B37" s="1"/>
      <c r="C37" s="9"/>
      <c r="D37" s="14"/>
      <c r="E37" s="14"/>
      <c r="F37" s="50"/>
      <c r="G37" s="2"/>
      <c r="H37" s="50"/>
      <c r="I37" s="14"/>
      <c r="J37" s="14"/>
      <c r="K37" s="1"/>
      <c r="L37" s="11"/>
      <c r="M37" s="4"/>
      <c r="N37" s="4"/>
      <c r="O37" s="1"/>
      <c r="P37" s="5"/>
      <c r="Q37" s="5"/>
      <c r="R37" s="74"/>
      <c r="S37" s="74"/>
      <c r="T37" s="74"/>
      <c r="U37" s="74"/>
      <c r="V37" s="74"/>
      <c r="W37" s="74"/>
      <c r="X37" s="74"/>
      <c r="Y37" s="5"/>
    </row>
    <row r="38" spans="1:25" ht="33" customHeight="1" collapsed="1">
      <c r="A38" s="1"/>
      <c r="B38" s="1"/>
      <c r="C38" s="9"/>
      <c r="D38" s="14"/>
      <c r="E38" s="14"/>
      <c r="F38" s="50"/>
      <c r="G38" s="2"/>
      <c r="H38" s="50"/>
      <c r="I38" s="14"/>
      <c r="J38" s="14"/>
      <c r="K38" s="1"/>
      <c r="L38" s="11"/>
      <c r="M38" s="4"/>
      <c r="N38" s="4"/>
      <c r="O38" s="1"/>
      <c r="P38" s="5"/>
      <c r="Q38" s="5"/>
      <c r="R38" s="74"/>
      <c r="S38" s="74"/>
      <c r="T38" s="74"/>
      <c r="U38" s="74"/>
      <c r="V38" s="74"/>
      <c r="W38" s="74"/>
      <c r="X38" s="74"/>
      <c r="Y38" s="5"/>
    </row>
    <row r="39" spans="1:25" ht="33" customHeight="1">
      <c r="A39" s="1"/>
      <c r="B39" s="1"/>
      <c r="C39" s="9"/>
      <c r="D39" s="14"/>
      <c r="E39" s="14"/>
      <c r="F39" s="50"/>
      <c r="G39" s="2"/>
      <c r="H39" s="50"/>
      <c r="I39" s="14"/>
      <c r="J39" s="14"/>
      <c r="K39" s="1"/>
      <c r="L39" s="11"/>
      <c r="M39" s="4"/>
      <c r="N39" s="4"/>
      <c r="O39" s="1"/>
      <c r="P39" s="5"/>
      <c r="Q39" s="5"/>
      <c r="R39" s="74"/>
      <c r="S39" s="74"/>
      <c r="T39" s="74"/>
      <c r="U39" s="74"/>
      <c r="V39" s="74"/>
      <c r="W39" s="74"/>
      <c r="X39" s="74"/>
      <c r="Y39" s="5"/>
    </row>
    <row r="40" spans="1:25" ht="23.25" customHeight="1">
      <c r="A40" s="1"/>
      <c r="B40" s="1"/>
      <c r="C40" s="9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1"/>
      <c r="P40" s="5"/>
      <c r="Q40" s="5"/>
      <c r="R40" s="74"/>
      <c r="S40" s="74"/>
      <c r="T40" s="74"/>
      <c r="U40" s="74"/>
      <c r="V40" s="74"/>
      <c r="W40" s="74"/>
      <c r="X40" s="74"/>
      <c r="Y40" s="86"/>
    </row>
    <row r="41" spans="1:25" ht="64.5" customHeight="1">
      <c r="A41" s="1"/>
      <c r="B41" s="1"/>
      <c r="C41" s="12"/>
      <c r="D41" s="250" t="s">
        <v>42</v>
      </c>
      <c r="E41" s="250"/>
      <c r="F41" s="250"/>
      <c r="G41" s="250"/>
      <c r="H41" s="250"/>
      <c r="I41" s="250"/>
      <c r="J41" s="250"/>
      <c r="K41" s="4"/>
      <c r="L41" s="4"/>
      <c r="M41" s="4"/>
      <c r="N41" s="4"/>
      <c r="O41" s="1"/>
      <c r="P41" s="5"/>
      <c r="Q41" s="5"/>
      <c r="R41" s="87" t="s">
        <v>43</v>
      </c>
      <c r="S41" s="88">
        <f>5*5*1412</f>
        <v>35300</v>
      </c>
      <c r="T41" s="89"/>
      <c r="U41" s="90"/>
      <c r="V41" s="74"/>
      <c r="W41" s="74"/>
      <c r="X41" s="74"/>
      <c r="Y41" s="5"/>
    </row>
    <row r="42" spans="1:25" ht="48.75" customHeight="1">
      <c r="A42" s="1"/>
      <c r="B42" s="1"/>
      <c r="C42" s="9"/>
      <c r="D42" s="251" t="s">
        <v>44</v>
      </c>
      <c r="E42" s="252"/>
      <c r="F42" s="91" t="s">
        <v>45</v>
      </c>
      <c r="G42" s="92" t="s">
        <v>46</v>
      </c>
      <c r="H42" s="93" t="s">
        <v>47</v>
      </c>
      <c r="I42" s="92" t="s">
        <v>48</v>
      </c>
      <c r="J42" s="92" t="s">
        <v>49</v>
      </c>
      <c r="K42" s="4"/>
      <c r="L42" s="4"/>
      <c r="M42" s="4"/>
      <c r="N42" s="4"/>
      <c r="O42" s="1"/>
      <c r="P42" s="5"/>
      <c r="Q42" s="5"/>
      <c r="R42" s="94" t="s">
        <v>50</v>
      </c>
      <c r="S42" s="95">
        <f>IF(L21&gt;S41,S41,L21)</f>
        <v>0</v>
      </c>
      <c r="T42" s="253" t="s">
        <v>51</v>
      </c>
      <c r="U42" s="253"/>
      <c r="V42" s="253"/>
      <c r="W42" s="74"/>
      <c r="X42" s="74"/>
      <c r="Y42" s="5"/>
    </row>
    <row r="43" spans="1:25" ht="43.5" customHeight="1">
      <c r="A43" s="1"/>
      <c r="B43" s="1"/>
      <c r="C43" s="96"/>
      <c r="D43" s="254" t="str">
        <f>E10</f>
        <v>Digite Nome do Exequente</v>
      </c>
      <c r="E43" s="255"/>
      <c r="F43" s="97">
        <f>S58</f>
        <v>0</v>
      </c>
      <c r="G43" s="98" t="e">
        <f>S64</f>
        <v>#DIV/0!</v>
      </c>
      <c r="H43" s="98" t="e">
        <f>T84</f>
        <v>#DIV/0!</v>
      </c>
      <c r="I43" s="98" t="e">
        <f>F43-G43-H43</f>
        <v>#DIV/0!</v>
      </c>
      <c r="J43" s="99" t="e">
        <f>IF(U73="sim", T80, "-")</f>
        <v>#DIV/0!</v>
      </c>
      <c r="K43" s="4"/>
      <c r="L43" s="4"/>
      <c r="M43" s="4"/>
      <c r="N43" s="4"/>
      <c r="O43" s="1"/>
      <c r="P43" s="5"/>
      <c r="Q43" s="5"/>
      <c r="R43" s="100" t="s">
        <v>52</v>
      </c>
      <c r="S43" s="101" t="e">
        <f>ROUND(S42*S25,2)</f>
        <v>#DIV/0!</v>
      </c>
      <c r="T43" s="102" t="e">
        <f>ROUND($K$20*S43,2)</f>
        <v>#DIV/0!</v>
      </c>
      <c r="U43" s="103" t="e">
        <f>SUM(S43:T43)</f>
        <v>#DIV/0!</v>
      </c>
      <c r="V43" s="104" t="s">
        <v>53</v>
      </c>
      <c r="W43" s="74"/>
      <c r="X43" s="74"/>
      <c r="Y43" s="5"/>
    </row>
    <row r="44" spans="1:25" ht="49.5" customHeight="1">
      <c r="A44" s="1"/>
      <c r="B44" s="1"/>
      <c r="C44" s="96"/>
      <c r="D44" s="254" t="str">
        <f>R49</f>
        <v>FURTADO COELHO ADVOGADOS ASSOCIADOS</v>
      </c>
      <c r="E44" s="255"/>
      <c r="F44" s="97">
        <f>S49</f>
        <v>0</v>
      </c>
      <c r="G44" s="105">
        <v>0</v>
      </c>
      <c r="H44" s="98">
        <f>ROUND(F44*[1]IR!$C$10,2)</f>
        <v>0</v>
      </c>
      <c r="I44" s="98">
        <f t="shared" ref="I44:I47" si="2">F44-G44-H44</f>
        <v>0</v>
      </c>
      <c r="J44" s="99" t="s">
        <v>22</v>
      </c>
      <c r="K44" s="4"/>
      <c r="L44" s="4"/>
      <c r="M44" s="4"/>
      <c r="N44" s="4"/>
      <c r="O44" s="1"/>
      <c r="P44" s="5"/>
      <c r="Q44" s="5"/>
      <c r="R44" s="100" t="s">
        <v>54</v>
      </c>
      <c r="S44" s="101" t="e">
        <f>ROUND(U25*S42,2)</f>
        <v>#DIV/0!</v>
      </c>
      <c r="T44" s="102" t="e">
        <f>ROUND($K$20*S44,2)</f>
        <v>#DIV/0!</v>
      </c>
      <c r="U44" s="106" t="e">
        <f>SUM(S44:T44)</f>
        <v>#DIV/0!</v>
      </c>
      <c r="V44" s="107" t="s">
        <v>55</v>
      </c>
      <c r="W44" s="74"/>
      <c r="X44" s="74"/>
      <c r="Y44" s="5"/>
    </row>
    <row r="45" spans="1:25" ht="51.75" customHeight="1">
      <c r="A45" s="1"/>
      <c r="B45" s="1"/>
      <c r="C45" s="96"/>
      <c r="D45" s="254" t="str">
        <f>R51</f>
        <v xml:space="preserve">JUAREZ CHAVES DE AZEVEDO JÚNIOR, SOCIEDADE INDIVIDUAL DE ADVOCACIA </v>
      </c>
      <c r="E45" s="255"/>
      <c r="F45" s="97">
        <f>S51</f>
        <v>0</v>
      </c>
      <c r="G45" s="105">
        <v>0</v>
      </c>
      <c r="H45" s="98">
        <f>ROUND(F45*[1]IR!$C$10,2)</f>
        <v>0</v>
      </c>
      <c r="I45" s="98">
        <f t="shared" si="2"/>
        <v>0</v>
      </c>
      <c r="J45" s="99" t="s">
        <v>22</v>
      </c>
      <c r="K45" s="4"/>
      <c r="L45" s="4"/>
      <c r="M45" s="4"/>
      <c r="N45" s="4"/>
      <c r="O45" s="1"/>
      <c r="P45" s="5"/>
      <c r="Q45" s="5"/>
      <c r="R45" s="100" t="s">
        <v>56</v>
      </c>
      <c r="S45" s="101" t="e">
        <f>ROUND(S42*W25,2)</f>
        <v>#DIV/0!</v>
      </c>
      <c r="T45" s="108" t="e">
        <f>SUM(T43:T44)</f>
        <v>#DIV/0!</v>
      </c>
      <c r="U45" s="109" t="e">
        <f>SUM(U43:U44)</f>
        <v>#DIV/0!</v>
      </c>
      <c r="V45" s="110" t="s">
        <v>57</v>
      </c>
      <c r="W45" s="74"/>
      <c r="X45" s="74"/>
      <c r="Y45" s="5"/>
    </row>
    <row r="46" spans="1:25" ht="38.25" customHeight="1">
      <c r="A46" s="1"/>
      <c r="B46" s="1"/>
      <c r="C46" s="96"/>
      <c r="D46" s="254" t="str">
        <f>R52</f>
        <v>ADAUTO FORTES ADV. ASSOCIADOS</v>
      </c>
      <c r="E46" s="255"/>
      <c r="F46" s="97">
        <f>S52</f>
        <v>0</v>
      </c>
      <c r="G46" s="105">
        <v>0</v>
      </c>
      <c r="H46" s="98">
        <f>ROUND(F46*[1]IR!$C$10,2)</f>
        <v>0</v>
      </c>
      <c r="I46" s="98">
        <f t="shared" si="2"/>
        <v>0</v>
      </c>
      <c r="J46" s="99" t="s">
        <v>22</v>
      </c>
      <c r="K46" s="4"/>
      <c r="L46" s="4"/>
      <c r="M46" s="4"/>
      <c r="N46" s="4"/>
      <c r="O46" s="1"/>
      <c r="P46" s="5"/>
      <c r="Q46" s="5"/>
      <c r="R46" s="74"/>
      <c r="S46" s="74"/>
      <c r="T46" s="74"/>
      <c r="U46" s="74"/>
      <c r="V46" s="74"/>
      <c r="W46" s="74"/>
      <c r="X46" s="74"/>
      <c r="Y46" s="5"/>
    </row>
    <row r="47" spans="1:25" ht="41.25" customHeight="1">
      <c r="A47" s="1"/>
      <c r="B47" s="1"/>
      <c r="C47" s="96"/>
      <c r="D47" s="254" t="str">
        <f>R54</f>
        <v>FRANCINETTI RIBEIRO DO CARMO</v>
      </c>
      <c r="E47" s="255"/>
      <c r="F47" s="97">
        <f>S54</f>
        <v>0</v>
      </c>
      <c r="G47" s="105">
        <v>0</v>
      </c>
      <c r="H47" s="98">
        <f>ROUND(IF(F47&gt;=[1]IR!$B$4,F47*[1]IR!$C$4-[1]IR!$D$4,IF(F47&gt;=[1]IR!$B$5,F47*[1]IR!$C$5-[1]IR!$D$5,IF(F47&gt;=[1]IR!$B$6,F47*[1]IR!$C$6-[1]IR!$D$6,IF(F47&gt;=[1]IR!$B$7,F47*[1]IR!$C$7-[1]IR!$D$7,[1]IR!$D$8)))),2)</f>
        <v>0</v>
      </c>
      <c r="I47" s="98">
        <f t="shared" si="2"/>
        <v>0</v>
      </c>
      <c r="J47" s="99" t="s">
        <v>22</v>
      </c>
      <c r="K47" s="4"/>
      <c r="L47" s="4"/>
      <c r="M47" s="4"/>
      <c r="N47" s="4"/>
      <c r="O47" s="1"/>
      <c r="P47" s="5"/>
      <c r="Q47" s="5"/>
      <c r="R47" s="256" t="s">
        <v>58</v>
      </c>
      <c r="S47" s="256"/>
      <c r="T47" s="74"/>
      <c r="U47" s="257" t="s">
        <v>59</v>
      </c>
      <c r="V47" s="257"/>
      <c r="W47" s="74"/>
      <c r="X47" s="74"/>
      <c r="Y47" s="5"/>
    </row>
    <row r="48" spans="1:25" ht="35.25" customHeight="1">
      <c r="A48" s="1"/>
      <c r="B48" s="1"/>
      <c r="C48" s="96"/>
      <c r="D48" s="247" t="s">
        <v>60</v>
      </c>
      <c r="E48" s="248"/>
      <c r="F48" s="84">
        <f>SUM(F43:F47)</f>
        <v>0</v>
      </c>
      <c r="G48" s="84" t="e">
        <f>SUM(G43:G47)</f>
        <v>#DIV/0!</v>
      </c>
      <c r="H48" s="84" t="e">
        <f>SUM(H43:H47)</f>
        <v>#DIV/0!</v>
      </c>
      <c r="I48" s="84" t="e">
        <f>SUM(I43:I47)</f>
        <v>#DIV/0!</v>
      </c>
      <c r="J48" s="84" t="s">
        <v>22</v>
      </c>
      <c r="K48" s="4"/>
      <c r="L48" s="4"/>
      <c r="M48" s="4"/>
      <c r="N48" s="4"/>
      <c r="O48" s="1"/>
      <c r="P48" s="5"/>
      <c r="Q48" s="5"/>
      <c r="R48" s="111" t="s">
        <v>61</v>
      </c>
      <c r="S48" s="112">
        <f>S42</f>
        <v>0</v>
      </c>
      <c r="T48" s="74"/>
      <c r="U48" s="111" t="s">
        <v>62</v>
      </c>
      <c r="V48" s="113">
        <v>0.73</v>
      </c>
      <c r="W48" s="74"/>
      <c r="X48" s="74"/>
      <c r="Y48" s="5"/>
    </row>
    <row r="49" spans="1:25" ht="66.75" customHeight="1">
      <c r="A49" s="1"/>
      <c r="B49" s="1"/>
      <c r="C49" s="96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1"/>
      <c r="P49" s="5"/>
      <c r="Q49" s="5"/>
      <c r="R49" s="114" t="s">
        <v>63</v>
      </c>
      <c r="S49" s="115">
        <f>ROUND($S$48*V49,2)</f>
        <v>0</v>
      </c>
      <c r="T49" s="89"/>
      <c r="U49" s="114" t="s">
        <v>64</v>
      </c>
      <c r="V49" s="116">
        <v>0.14000000000000001</v>
      </c>
      <c r="W49" s="74"/>
      <c r="X49" s="74"/>
      <c r="Y49" s="5"/>
    </row>
    <row r="50" spans="1:25" ht="23.25" customHeight="1">
      <c r="A50" s="1"/>
      <c r="B50" s="1"/>
      <c r="C50" s="96"/>
      <c r="D50" s="12" t="str" cm="1">
        <f t="array" ref="D50">"Importa a presente conta o valor bruto de R$ " &amp; TEXT(ROUND($F$48,2), "#.##0,00") &amp; " (" &amp; PROPER(Converter_numero(ROUND($F$48,2))) &amp; ")"</f>
        <v>Importa a presente conta o valor bruto de R$ 0,00 ()</v>
      </c>
      <c r="E50" s="117"/>
      <c r="F50" s="118"/>
      <c r="G50" s="117"/>
      <c r="H50" s="117"/>
      <c r="I50" s="117"/>
      <c r="J50" s="117"/>
      <c r="K50" s="4"/>
      <c r="L50" s="4"/>
      <c r="M50" s="4"/>
      <c r="N50" s="4"/>
      <c r="O50" s="1"/>
      <c r="P50" s="5"/>
      <c r="Q50" s="5"/>
      <c r="R50" s="119" t="s">
        <v>65</v>
      </c>
      <c r="S50" s="120">
        <f>ROUND(S48*$V$9,2)</f>
        <v>0</v>
      </c>
      <c r="T50" s="89"/>
      <c r="U50" s="119" t="s">
        <v>66</v>
      </c>
      <c r="V50" s="121">
        <v>0.02</v>
      </c>
      <c r="W50" s="74"/>
      <c r="X50" s="74"/>
      <c r="Y50" s="5"/>
    </row>
    <row r="51" spans="1:25" ht="23.25" customHeight="1">
      <c r="A51" s="1"/>
      <c r="B51" s="1"/>
      <c r="C51" s="12"/>
      <c r="D51" s="6"/>
      <c r="E51" s="12"/>
      <c r="F51" s="122"/>
      <c r="G51" s="12"/>
      <c r="H51" s="12"/>
      <c r="I51" s="12"/>
      <c r="J51" s="14"/>
      <c r="K51" s="4"/>
      <c r="L51" s="4"/>
      <c r="M51" s="4"/>
      <c r="N51" s="4"/>
      <c r="O51" s="1"/>
      <c r="P51" s="5"/>
      <c r="Q51" s="5"/>
      <c r="R51" s="123" t="s">
        <v>67</v>
      </c>
      <c r="S51" s="124">
        <f>ROUND($S$48*V51,2)</f>
        <v>0</v>
      </c>
      <c r="T51" s="89"/>
      <c r="U51" s="123" t="s">
        <v>68</v>
      </c>
      <c r="V51" s="125">
        <f>1/3*4%</f>
        <v>1.3333333333333332E-2</v>
      </c>
      <c r="W51" s="74"/>
      <c r="X51" s="126"/>
      <c r="Y51" s="5"/>
    </row>
    <row r="52" spans="1:25" ht="18.600000000000001" customHeight="1">
      <c r="A52" s="1"/>
      <c r="B52" s="1"/>
      <c r="C52" s="12"/>
      <c r="D52" s="12"/>
      <c r="E52" s="12"/>
      <c r="F52" s="122"/>
      <c r="G52" s="12"/>
      <c r="H52" s="12"/>
      <c r="I52" s="12"/>
      <c r="J52" s="14"/>
      <c r="K52" s="14"/>
      <c r="L52" s="3"/>
      <c r="M52" s="4"/>
      <c r="N52" s="4"/>
      <c r="O52" s="1"/>
      <c r="P52" s="5"/>
      <c r="Q52" s="5"/>
      <c r="R52" s="127" t="s">
        <v>69</v>
      </c>
      <c r="S52" s="128">
        <f>ROUND($S$48*V52,2)</f>
        <v>0</v>
      </c>
      <c r="T52" s="89"/>
      <c r="U52" s="129" t="s">
        <v>69</v>
      </c>
      <c r="V52" s="130">
        <f>2/3*4%-0.63%</f>
        <v>2.0366666666666665E-2</v>
      </c>
      <c r="W52" s="74"/>
      <c r="X52" s="74"/>
      <c r="Y52" s="5"/>
    </row>
    <row r="53" spans="1:25" ht="23.25">
      <c r="A53" s="1"/>
      <c r="B53" s="1"/>
      <c r="C53" s="12"/>
      <c r="D53" s="12"/>
      <c r="E53" s="12"/>
      <c r="F53" s="12"/>
      <c r="G53" s="12"/>
      <c r="H53" s="12"/>
      <c r="I53" s="12"/>
      <c r="J53" s="12"/>
      <c r="K53" s="10"/>
      <c r="L53" s="3"/>
      <c r="M53" s="4"/>
      <c r="N53" s="4"/>
      <c r="O53" s="1"/>
      <c r="P53" s="5"/>
      <c r="Q53" s="5"/>
      <c r="R53" s="131" t="s">
        <v>66</v>
      </c>
      <c r="S53" s="132">
        <v>0</v>
      </c>
      <c r="T53" s="89"/>
      <c r="U53" s="129" t="s">
        <v>66</v>
      </c>
      <c r="V53" s="130">
        <v>6.3E-3</v>
      </c>
      <c r="W53" s="74"/>
      <c r="X53" s="74"/>
      <c r="Y53" s="5"/>
    </row>
    <row r="54" spans="1:25" ht="46.5">
      <c r="A54" s="1"/>
      <c r="B54" s="1"/>
      <c r="C54" s="133" t="s">
        <v>70</v>
      </c>
      <c r="D54" s="12"/>
      <c r="E54" s="12"/>
      <c r="F54" s="12"/>
      <c r="G54" s="12"/>
      <c r="H54" s="12"/>
      <c r="I54" s="14"/>
      <c r="J54" s="14"/>
      <c r="K54" s="10"/>
      <c r="L54" s="3"/>
      <c r="M54" s="4"/>
      <c r="N54" s="4"/>
      <c r="O54" s="1"/>
      <c r="P54" s="5"/>
      <c r="Q54" s="5"/>
      <c r="R54" s="134" t="s">
        <v>71</v>
      </c>
      <c r="S54" s="135">
        <f>ROUND($S$48*V54,2)</f>
        <v>0</v>
      </c>
      <c r="T54" s="89"/>
      <c r="U54" s="134" t="s">
        <v>71</v>
      </c>
      <c r="V54" s="136">
        <v>0.04</v>
      </c>
      <c r="W54" s="74"/>
      <c r="X54" s="74"/>
      <c r="Y54" s="5"/>
    </row>
    <row r="55" spans="1:25" ht="23.25">
      <c r="A55" s="1"/>
      <c r="B55" s="1"/>
      <c r="C55" s="73"/>
      <c r="D55" s="249" t="s">
        <v>72</v>
      </c>
      <c r="E55" s="249"/>
      <c r="F55" s="137" t="s">
        <v>73</v>
      </c>
      <c r="G55" s="73"/>
      <c r="H55" s="73"/>
      <c r="I55" s="12"/>
      <c r="J55" s="138"/>
      <c r="K55" s="10"/>
      <c r="L55" s="3"/>
      <c r="M55" s="4"/>
      <c r="N55" s="4"/>
      <c r="O55" s="1"/>
      <c r="P55" s="5"/>
      <c r="Q55" s="5"/>
      <c r="R55" s="139" t="s">
        <v>74</v>
      </c>
      <c r="S55" s="140">
        <v>0</v>
      </c>
      <c r="T55" s="89"/>
      <c r="U55" s="139" t="s">
        <v>66</v>
      </c>
      <c r="V55" s="141">
        <v>0.01</v>
      </c>
      <c r="W55" s="74"/>
      <c r="X55" s="74"/>
      <c r="Y55" s="5"/>
    </row>
    <row r="56" spans="1:25" ht="93">
      <c r="A56" s="1"/>
      <c r="B56" s="1"/>
      <c r="C56" s="73"/>
      <c r="D56" s="142" t="s">
        <v>75</v>
      </c>
      <c r="E56" s="137" t="e">
        <f>T77</f>
        <v>#DIV/0!</v>
      </c>
      <c r="F56" s="143" t="e">
        <f>J43</f>
        <v>#DIV/0!</v>
      </c>
      <c r="G56" s="73"/>
      <c r="H56" s="144"/>
      <c r="I56" s="145"/>
      <c r="J56" s="138"/>
      <c r="K56" s="10"/>
      <c r="L56" s="3"/>
      <c r="M56" s="4"/>
      <c r="N56" s="4"/>
      <c r="O56" s="1"/>
      <c r="P56" s="5"/>
      <c r="Q56" s="5"/>
      <c r="R56" s="146" t="s">
        <v>76</v>
      </c>
      <c r="S56" s="147">
        <v>0</v>
      </c>
      <c r="T56" s="89"/>
      <c r="U56" s="146" t="s">
        <v>77</v>
      </c>
      <c r="V56" s="148">
        <v>0.01</v>
      </c>
      <c r="W56" s="74"/>
      <c r="X56" s="74"/>
      <c r="Y56" s="5"/>
    </row>
    <row r="57" spans="1:25" ht="46.5">
      <c r="A57" s="1"/>
      <c r="B57" s="1"/>
      <c r="C57" s="73"/>
      <c r="D57" s="142" t="s">
        <v>78</v>
      </c>
      <c r="E57" s="137" t="e">
        <f>S58-T77</f>
        <v>#DIV/0!</v>
      </c>
      <c r="F57" s="73"/>
      <c r="G57" s="73"/>
      <c r="H57" s="73"/>
      <c r="I57" s="12"/>
      <c r="J57" s="12"/>
      <c r="K57" s="10"/>
      <c r="L57" s="3"/>
      <c r="M57" s="4"/>
      <c r="N57" s="4"/>
      <c r="O57" s="1"/>
      <c r="P57" s="5"/>
      <c r="Q57" s="5"/>
      <c r="R57" s="149" t="s">
        <v>79</v>
      </c>
      <c r="S57" s="150">
        <v>0</v>
      </c>
      <c r="T57" s="74"/>
      <c r="U57" s="149" t="s">
        <v>79</v>
      </c>
      <c r="V57" s="151">
        <v>0.01</v>
      </c>
      <c r="W57" s="74"/>
      <c r="X57" s="74"/>
      <c r="Y57" s="5"/>
    </row>
    <row r="58" spans="1:25" ht="56.25" customHeight="1">
      <c r="A58" s="1"/>
      <c r="B58" s="1"/>
      <c r="C58" s="73"/>
      <c r="D58" s="142" t="s">
        <v>80</v>
      </c>
      <c r="E58" s="137">
        <v>0</v>
      </c>
      <c r="F58" s="73"/>
      <c r="G58" s="73"/>
      <c r="H58" s="73"/>
      <c r="I58" s="12"/>
      <c r="J58" s="12"/>
      <c r="K58" s="10"/>
      <c r="L58" s="3"/>
      <c r="M58" s="4"/>
      <c r="N58" s="4"/>
      <c r="O58" s="1"/>
      <c r="P58" s="5"/>
      <c r="Q58" s="5"/>
      <c r="R58" s="152" t="s">
        <v>81</v>
      </c>
      <c r="S58" s="153">
        <f>S48-SUM(S49:S57)</f>
        <v>0</v>
      </c>
      <c r="T58" s="74"/>
      <c r="U58" s="152" t="s">
        <v>41</v>
      </c>
      <c r="V58" s="154">
        <f>SUM(V48:V57)</f>
        <v>1</v>
      </c>
      <c r="W58" s="74"/>
      <c r="X58" s="74"/>
      <c r="Y58" s="5"/>
    </row>
    <row r="59" spans="1:25" ht="21.75" customHeight="1">
      <c r="A59" s="1"/>
      <c r="B59" s="1"/>
      <c r="C59" s="73"/>
      <c r="E59" s="73"/>
      <c r="F59" s="73"/>
      <c r="G59" s="73"/>
      <c r="H59" s="73"/>
      <c r="I59" s="12"/>
      <c r="J59" s="12"/>
      <c r="K59" s="10"/>
      <c r="L59" s="3"/>
      <c r="M59" s="4"/>
      <c r="N59" s="4"/>
      <c r="O59" s="1"/>
      <c r="P59" s="5"/>
      <c r="Q59" s="5"/>
      <c r="R59" s="74"/>
      <c r="S59" s="74"/>
      <c r="T59" s="74"/>
      <c r="U59" s="74"/>
      <c r="V59" s="74"/>
      <c r="W59" s="74"/>
      <c r="X59" s="74"/>
      <c r="Y59" s="5"/>
    </row>
    <row r="60" spans="1:25" ht="23.25">
      <c r="A60" s="1"/>
      <c r="B60" s="1"/>
      <c r="C60" s="73"/>
      <c r="D60" s="73" t="s">
        <v>82</v>
      </c>
      <c r="E60" s="73"/>
      <c r="F60" s="155"/>
      <c r="G60" s="73"/>
      <c r="H60" s="73"/>
      <c r="I60" s="12"/>
      <c r="J60" s="12"/>
      <c r="K60" s="10"/>
      <c r="L60" s="3"/>
      <c r="M60" s="4"/>
      <c r="N60" s="4"/>
      <c r="O60" s="1"/>
      <c r="P60" s="5"/>
      <c r="Q60" s="5"/>
      <c r="R60" s="74"/>
      <c r="S60" s="74"/>
      <c r="T60" s="74"/>
      <c r="U60" s="74"/>
      <c r="V60" s="74"/>
      <c r="W60" s="74"/>
      <c r="X60" s="74"/>
      <c r="Y60" s="5"/>
    </row>
    <row r="61" spans="1:25" ht="23.25">
      <c r="A61" s="1"/>
      <c r="B61" s="1"/>
      <c r="C61" s="73"/>
      <c r="D61" s="156" t="s">
        <v>83</v>
      </c>
      <c r="E61" s="73"/>
      <c r="F61" s="155"/>
      <c r="G61" s="73"/>
      <c r="H61" s="73"/>
      <c r="I61" s="12"/>
      <c r="J61" s="12"/>
      <c r="K61" s="10"/>
      <c r="L61" s="3"/>
      <c r="M61" s="4"/>
      <c r="N61" s="4"/>
      <c r="O61" s="1"/>
      <c r="P61" s="5"/>
      <c r="Q61" s="5"/>
      <c r="R61" s="157" t="s">
        <v>84</v>
      </c>
      <c r="S61" s="158" t="s">
        <v>5</v>
      </c>
      <c r="T61" s="159">
        <v>0.08</v>
      </c>
      <c r="U61" s="160" t="s">
        <v>85</v>
      </c>
      <c r="V61" s="258" t="s">
        <v>86</v>
      </c>
      <c r="W61" s="259"/>
      <c r="X61" s="74"/>
      <c r="Y61" s="5"/>
    </row>
    <row r="62" spans="1:25" ht="23.25">
      <c r="A62" s="1"/>
      <c r="B62" s="1"/>
      <c r="C62" s="73"/>
      <c r="D62" s="156" t="s">
        <v>87</v>
      </c>
      <c r="E62" s="73"/>
      <c r="F62" s="155"/>
      <c r="G62" s="73"/>
      <c r="H62" s="73"/>
      <c r="I62" s="117"/>
      <c r="J62" s="117"/>
      <c r="K62" s="117"/>
      <c r="L62" s="117"/>
      <c r="M62" s="4"/>
      <c r="N62" s="4"/>
      <c r="O62" s="1"/>
      <c r="P62" s="5"/>
      <c r="Q62" s="5"/>
      <c r="R62" s="161" t="s">
        <v>88</v>
      </c>
      <c r="S62" s="162" t="e">
        <f>IF(S61="Sim", U43, "R$ 0,00")</f>
        <v>#DIV/0!</v>
      </c>
      <c r="T62" s="5"/>
      <c r="U62" s="5"/>
      <c r="V62" s="163" t="s">
        <v>89</v>
      </c>
      <c r="W62" s="164" t="e">
        <f>S64</f>
        <v>#DIV/0!</v>
      </c>
      <c r="X62" s="74"/>
      <c r="Y62" s="5"/>
    </row>
    <row r="63" spans="1:25" ht="46.5">
      <c r="A63" s="1"/>
      <c r="B63" s="1"/>
      <c r="C63" s="73"/>
      <c r="D63" s="73" t="s">
        <v>90</v>
      </c>
      <c r="E63" s="73"/>
      <c r="F63" s="155"/>
      <c r="G63" s="73"/>
      <c r="H63" s="73"/>
      <c r="I63" s="117"/>
      <c r="J63" s="117"/>
      <c r="K63" s="117"/>
      <c r="L63" s="117"/>
      <c r="M63" s="4"/>
      <c r="N63" s="4"/>
      <c r="O63" s="1"/>
      <c r="P63" s="5"/>
      <c r="Q63" s="5"/>
      <c r="R63" s="161" t="str">
        <f>CONCATENATE("Aliquota ", TEXT(T61, "0%"))</f>
        <v>Aliquota 8%</v>
      </c>
      <c r="S63" s="165" t="e">
        <f>ROUND(S62*T61,2)</f>
        <v>#DIV/0!</v>
      </c>
      <c r="T63" s="5"/>
      <c r="U63" s="5"/>
      <c r="V63" s="166" t="s">
        <v>91</v>
      </c>
      <c r="W63" s="164" t="e">
        <f>W62/2</f>
        <v>#DIV/0!</v>
      </c>
      <c r="X63" s="74"/>
      <c r="Y63" s="5"/>
    </row>
    <row r="64" spans="1:25" ht="23.25">
      <c r="A64" s="1"/>
      <c r="B64" s="1"/>
      <c r="C64" s="73"/>
      <c r="D64" s="73" t="s">
        <v>92</v>
      </c>
      <c r="E64" s="73"/>
      <c r="F64" s="155"/>
      <c r="G64" s="73"/>
      <c r="H64" s="73"/>
      <c r="I64" s="117"/>
      <c r="J64" s="117"/>
      <c r="K64" s="117"/>
      <c r="L64" s="117"/>
      <c r="M64" s="4"/>
      <c r="N64" s="4"/>
      <c r="O64" s="1"/>
      <c r="P64" s="5"/>
      <c r="Q64" s="5"/>
      <c r="R64" s="167" t="s">
        <v>45</v>
      </c>
      <c r="S64" s="168" t="e">
        <f>S63</f>
        <v>#DIV/0!</v>
      </c>
      <c r="T64" s="5"/>
      <c r="U64" s="5"/>
      <c r="V64" s="169" t="s">
        <v>93</v>
      </c>
      <c r="W64" s="170">
        <f>G34</f>
        <v>0</v>
      </c>
      <c r="X64" s="74"/>
      <c r="Y64" s="5"/>
    </row>
    <row r="65" spans="1:25" ht="46.5">
      <c r="A65" s="1"/>
      <c r="B65" s="1"/>
      <c r="C65" s="73"/>
      <c r="D65" s="73" t="s">
        <v>94</v>
      </c>
      <c r="E65" s="73"/>
      <c r="F65" s="155"/>
      <c r="G65" s="73"/>
      <c r="H65" s="73"/>
      <c r="I65" s="117"/>
      <c r="J65" s="117"/>
      <c r="K65" s="117"/>
      <c r="L65" s="117"/>
      <c r="M65" s="4"/>
      <c r="N65" s="4"/>
      <c r="O65" s="1"/>
      <c r="P65" s="5"/>
      <c r="Q65" s="5"/>
      <c r="R65" s="74"/>
      <c r="S65" s="74"/>
      <c r="T65" s="74"/>
      <c r="U65" s="171"/>
      <c r="V65" s="169" t="s">
        <v>95</v>
      </c>
      <c r="W65" s="170">
        <f>S42</f>
        <v>0</v>
      </c>
      <c r="X65" s="74"/>
      <c r="Y65" s="5"/>
    </row>
    <row r="66" spans="1:25" ht="23.25">
      <c r="A66" s="1"/>
      <c r="B66" s="1"/>
      <c r="C66" s="172"/>
      <c r="D66" s="73" t="s">
        <v>96</v>
      </c>
      <c r="E66" s="73"/>
      <c r="F66" s="73"/>
      <c r="G66" s="73"/>
      <c r="H66" s="12"/>
      <c r="I66" s="12"/>
      <c r="J66" s="12"/>
      <c r="K66" s="10"/>
      <c r="L66" s="3"/>
      <c r="M66" s="4"/>
      <c r="N66" s="4"/>
      <c r="O66" s="1"/>
      <c r="P66" s="5"/>
      <c r="Q66" s="5"/>
      <c r="R66" s="74"/>
      <c r="S66" s="74"/>
      <c r="T66" s="5"/>
      <c r="U66" s="74"/>
      <c r="V66" s="173" t="s">
        <v>97</v>
      </c>
      <c r="W66" s="174" t="e">
        <f>W65*W63/W64</f>
        <v>#DIV/0!</v>
      </c>
      <c r="X66" s="74"/>
      <c r="Y66" s="5"/>
    </row>
    <row r="67" spans="1:25" ht="23.25">
      <c r="A67" s="1"/>
      <c r="B67" s="1"/>
      <c r="C67" s="172"/>
      <c r="D67" s="73" t="s">
        <v>98</v>
      </c>
      <c r="E67" s="73"/>
      <c r="F67" s="73"/>
      <c r="G67" s="73"/>
      <c r="H67" s="12"/>
      <c r="I67" s="12"/>
      <c r="J67" s="12"/>
      <c r="K67" s="10"/>
      <c r="L67" s="3"/>
      <c r="M67" s="4"/>
      <c r="N67" s="4"/>
      <c r="O67" s="1"/>
      <c r="P67" s="5"/>
      <c r="Q67" s="5"/>
      <c r="R67" s="260" t="s">
        <v>49</v>
      </c>
      <c r="S67" s="260"/>
      <c r="T67" s="74"/>
      <c r="U67" s="74"/>
      <c r="V67" s="74"/>
      <c r="W67" s="74"/>
      <c r="X67" s="74"/>
      <c r="Y67" s="5"/>
    </row>
    <row r="68" spans="1:25" ht="23.25">
      <c r="A68" s="1"/>
      <c r="B68" s="1"/>
      <c r="C68" s="172"/>
      <c r="D68" s="175" t="s">
        <v>99</v>
      </c>
      <c r="E68" s="73"/>
      <c r="F68" s="73"/>
      <c r="G68" s="73"/>
      <c r="H68" s="12"/>
      <c r="I68" s="12"/>
      <c r="J68" s="12"/>
      <c r="K68" s="12"/>
      <c r="L68" s="3"/>
      <c r="M68" s="4"/>
      <c r="N68" s="4"/>
      <c r="O68" s="1"/>
      <c r="P68" s="5"/>
      <c r="Q68" s="5"/>
      <c r="R68" s="176">
        <f>(IF(U73="Sim",R24,0))</f>
        <v>0</v>
      </c>
      <c r="S68" s="177">
        <v>94</v>
      </c>
      <c r="T68" s="74"/>
      <c r="U68" s="74"/>
      <c r="V68" s="74"/>
      <c r="W68" s="74"/>
      <c r="X68" s="74"/>
      <c r="Y68" s="5"/>
    </row>
    <row r="69" spans="1:25" ht="23.25">
      <c r="A69" s="1"/>
      <c r="B69" s="1"/>
      <c r="C69" s="172"/>
      <c r="D69" s="175" t="s">
        <v>100</v>
      </c>
      <c r="E69" s="73"/>
      <c r="F69" s="73"/>
      <c r="G69" s="73"/>
      <c r="H69" s="12"/>
      <c r="I69" s="12"/>
      <c r="J69" s="12"/>
      <c r="K69" s="12"/>
      <c r="L69" s="3"/>
      <c r="M69" s="4"/>
      <c r="N69" s="4"/>
      <c r="O69" s="1"/>
      <c r="P69" s="5"/>
      <c r="Q69" s="5"/>
      <c r="R69" s="176">
        <f>S48</f>
        <v>0</v>
      </c>
      <c r="S69" s="178" t="s">
        <v>101</v>
      </c>
      <c r="T69" s="74"/>
      <c r="U69" s="74"/>
      <c r="V69" s="74"/>
      <c r="W69" s="74"/>
      <c r="X69" s="74"/>
      <c r="Y69" s="5"/>
    </row>
    <row r="70" spans="1:25" ht="23.25">
      <c r="A70" s="1"/>
      <c r="B70" s="1"/>
      <c r="C70" s="172"/>
      <c r="D70" s="175" t="s">
        <v>102</v>
      </c>
      <c r="E70" s="73"/>
      <c r="F70" s="73"/>
      <c r="G70" s="73"/>
      <c r="H70" s="12"/>
      <c r="I70" s="12"/>
      <c r="J70" s="12"/>
      <c r="K70" s="12"/>
      <c r="L70" s="3"/>
      <c r="M70" s="4"/>
      <c r="N70" s="4"/>
      <c r="O70" s="1"/>
      <c r="P70" s="5"/>
      <c r="Q70" s="5"/>
      <c r="R70" s="179"/>
      <c r="S70" s="180" t="e">
        <f>ROUND((R69*S68)/R68,0)</f>
        <v>#DIV/0!</v>
      </c>
      <c r="T70" s="74"/>
      <c r="U70" s="74"/>
      <c r="V70" s="74"/>
      <c r="W70" s="74"/>
      <c r="X70" s="74"/>
      <c r="Y70" s="5"/>
    </row>
    <row r="71" spans="1:25" ht="26.25" customHeight="1">
      <c r="A71" s="1"/>
      <c r="B71" s="1"/>
      <c r="C71" s="172"/>
      <c r="D71" s="181" t="s">
        <v>103</v>
      </c>
      <c r="E71" s="73"/>
      <c r="F71" s="73"/>
      <c r="G71" s="73"/>
      <c r="H71" s="12"/>
      <c r="I71" s="12"/>
      <c r="J71" s="12"/>
      <c r="K71" s="12"/>
      <c r="L71" s="3"/>
      <c r="M71" s="4"/>
      <c r="N71" s="4"/>
      <c r="O71" s="1"/>
      <c r="P71" s="5"/>
      <c r="Q71" s="5"/>
      <c r="R71" s="74"/>
      <c r="S71" s="74"/>
      <c r="T71" s="74"/>
      <c r="U71" s="74"/>
      <c r="V71" s="74"/>
      <c r="W71" s="74"/>
      <c r="X71" s="74"/>
      <c r="Y71" s="5"/>
    </row>
    <row r="72" spans="1:25" ht="21" customHeight="1">
      <c r="A72" s="1"/>
      <c r="B72" s="1"/>
      <c r="C72" s="175"/>
      <c r="D72" s="175" t="s">
        <v>104</v>
      </c>
      <c r="E72" s="73"/>
      <c r="F72" s="73"/>
      <c r="G72" s="155"/>
      <c r="H72" s="12"/>
      <c r="I72" s="12"/>
      <c r="J72" s="12"/>
      <c r="K72" s="12"/>
      <c r="L72" s="172"/>
      <c r="M72" s="4"/>
      <c r="N72" s="4"/>
      <c r="O72" s="1"/>
      <c r="P72" s="5"/>
      <c r="Q72" s="5"/>
      <c r="R72" s="89"/>
      <c r="S72" s="74"/>
      <c r="T72" s="74"/>
      <c r="U72" s="74"/>
      <c r="V72" s="74"/>
      <c r="W72" s="74"/>
      <c r="X72" s="74"/>
      <c r="Y72" s="5"/>
    </row>
    <row r="73" spans="1:25" ht="28.5" customHeight="1">
      <c r="A73" s="1"/>
      <c r="B73" s="1"/>
      <c r="C73" s="12"/>
      <c r="D73" s="175" t="s">
        <v>105</v>
      </c>
      <c r="E73" s="73"/>
      <c r="F73" s="73"/>
      <c r="G73" s="155"/>
      <c r="H73" s="12"/>
      <c r="I73" s="12"/>
      <c r="J73" s="12"/>
      <c r="K73" s="12"/>
      <c r="L73" s="172"/>
      <c r="M73" s="4"/>
      <c r="N73" s="4"/>
      <c r="O73" s="1"/>
      <c r="P73" s="5"/>
      <c r="Q73" s="5"/>
      <c r="R73" s="261" t="s">
        <v>106</v>
      </c>
      <c r="S73" s="262" t="s">
        <v>107</v>
      </c>
      <c r="T73" s="264" t="e">
        <f>U43</f>
        <v>#DIV/0!</v>
      </c>
      <c r="U73" s="266" t="s">
        <v>5</v>
      </c>
      <c r="V73" s="74"/>
      <c r="W73" s="74"/>
      <c r="X73" s="74"/>
      <c r="Y73" s="5"/>
    </row>
    <row r="74" spans="1:25" ht="24.75" customHeight="1">
      <c r="A74" s="1"/>
      <c r="B74" s="1"/>
      <c r="C74" s="12"/>
      <c r="D74" s="175" t="s">
        <v>108</v>
      </c>
      <c r="E74" s="73"/>
      <c r="F74" s="73"/>
      <c r="G74" s="155"/>
      <c r="H74" s="12"/>
      <c r="I74" s="12"/>
      <c r="J74" s="12"/>
      <c r="K74" s="12"/>
      <c r="L74" s="172"/>
      <c r="M74" s="4"/>
      <c r="N74" s="4"/>
      <c r="O74" s="1"/>
      <c r="P74" s="5"/>
      <c r="Q74" s="5"/>
      <c r="R74" s="261"/>
      <c r="S74" s="263"/>
      <c r="T74" s="265"/>
      <c r="U74" s="266"/>
      <c r="V74" s="74"/>
      <c r="W74" s="74"/>
      <c r="X74" s="74"/>
      <c r="Y74" s="5"/>
    </row>
    <row r="75" spans="1:25" ht="26.25" customHeight="1">
      <c r="A75" s="1"/>
      <c r="B75" s="1"/>
      <c r="C75" s="1"/>
      <c r="D75" s="175" t="s">
        <v>109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5"/>
      <c r="R75" s="182" t="s">
        <v>110</v>
      </c>
      <c r="S75" s="183"/>
      <c r="T75" s="184" t="e">
        <f>T73*(V49+V51+V52+V54)</f>
        <v>#DIV/0!</v>
      </c>
      <c r="U75" s="185"/>
      <c r="V75" s="186"/>
      <c r="W75" s="74"/>
      <c r="X75" s="74"/>
      <c r="Y75" s="5"/>
    </row>
    <row r="76" spans="1:25" ht="26.25" customHeight="1">
      <c r="A76" s="1"/>
      <c r="B76" s="1"/>
      <c r="C76" s="1"/>
      <c r="D76" s="175" t="s">
        <v>111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42"/>
      <c r="R76" s="187" t="s">
        <v>112</v>
      </c>
      <c r="S76" s="188"/>
      <c r="T76" s="189">
        <v>0</v>
      </c>
      <c r="U76" s="185"/>
      <c r="V76" s="74"/>
      <c r="W76" s="74"/>
      <c r="X76" s="74"/>
      <c r="Y76" s="5"/>
    </row>
    <row r="77" spans="1:25" ht="23.25">
      <c r="A77" s="1"/>
      <c r="B77" s="1"/>
      <c r="C77" s="1"/>
      <c r="D77" s="175" t="s">
        <v>113</v>
      </c>
      <c r="E77" s="2"/>
      <c r="F77" s="2"/>
      <c r="G77" s="2"/>
      <c r="H77" s="2"/>
      <c r="I77" s="2"/>
      <c r="J77" s="2"/>
      <c r="K77" s="1"/>
      <c r="L77" s="3"/>
      <c r="M77" s="4"/>
      <c r="N77" s="4"/>
      <c r="O77" s="1"/>
      <c r="P77" s="5"/>
      <c r="Q77" s="190"/>
      <c r="R77" s="191" t="s">
        <v>114</v>
      </c>
      <c r="S77" s="74"/>
      <c r="T77" s="192" t="e">
        <f>T73-T75-T76</f>
        <v>#DIV/0!</v>
      </c>
      <c r="U77" s="185"/>
      <c r="V77" s="188"/>
      <c r="W77" s="74"/>
      <c r="X77" s="74"/>
      <c r="Y77" s="5"/>
    </row>
    <row r="78" spans="1:25" ht="23.25">
      <c r="A78" s="1"/>
      <c r="B78" s="1"/>
      <c r="C78" s="1"/>
      <c r="D78" s="181" t="e">
        <f>CONCATENATE("Faixa ", IF(T84=0, "Isenta", T82*100), ". RRA Total: ", S68,". RRA do pagamento: ", Z104)</f>
        <v>#DIV/0!</v>
      </c>
      <c r="E78" s="2"/>
      <c r="F78" s="2"/>
      <c r="G78" s="2"/>
      <c r="H78" s="2"/>
      <c r="I78" s="2"/>
      <c r="J78" s="2"/>
      <c r="K78" s="1"/>
      <c r="L78" s="3"/>
      <c r="M78" s="4"/>
      <c r="N78" s="4"/>
      <c r="O78" s="1"/>
      <c r="P78" s="5"/>
      <c r="Q78" s="5"/>
      <c r="R78" s="193" t="s">
        <v>115</v>
      </c>
      <c r="S78" s="74"/>
      <c r="T78" s="192" t="e">
        <f>S64</f>
        <v>#DIV/0!</v>
      </c>
      <c r="U78" s="194"/>
      <c r="V78" s="5"/>
      <c r="W78" s="74"/>
      <c r="X78" s="74"/>
      <c r="Y78" s="5"/>
    </row>
    <row r="79" spans="1:25" ht="23.25">
      <c r="A79" s="1"/>
      <c r="B79" s="1"/>
      <c r="C79" s="12"/>
      <c r="D79" s="175" t="s">
        <v>116</v>
      </c>
      <c r="E79" s="72"/>
      <c r="F79" s="72"/>
      <c r="G79" s="72"/>
      <c r="H79" s="12"/>
      <c r="I79" s="12"/>
      <c r="J79" s="12"/>
      <c r="K79" s="10"/>
      <c r="L79" s="3"/>
      <c r="M79" s="4"/>
      <c r="N79" s="4"/>
      <c r="O79" s="1"/>
      <c r="P79" s="5"/>
      <c r="Q79" s="5"/>
      <c r="R79" s="195" t="s">
        <v>117</v>
      </c>
      <c r="S79" s="196"/>
      <c r="T79" s="197" t="e">
        <f>T77-T78</f>
        <v>#DIV/0!</v>
      </c>
      <c r="U79" s="198"/>
      <c r="V79" s="74"/>
      <c r="W79" s="74"/>
      <c r="X79" s="74"/>
      <c r="Y79" s="5"/>
    </row>
    <row r="80" spans="1:25" ht="23.25">
      <c r="A80" s="1"/>
      <c r="B80" s="1"/>
      <c r="C80" s="72"/>
      <c r="D80" s="175" t="s">
        <v>118</v>
      </c>
      <c r="E80" s="72"/>
      <c r="F80" s="72"/>
      <c r="G80" s="72"/>
      <c r="H80" s="72"/>
      <c r="I80" s="72"/>
      <c r="J80" s="72"/>
      <c r="K80" s="72"/>
      <c r="L80" s="72"/>
      <c r="M80" s="4"/>
      <c r="N80" s="4"/>
      <c r="O80" s="1"/>
      <c r="P80" s="5"/>
      <c r="Q80" s="5"/>
      <c r="R80" s="187" t="s">
        <v>49</v>
      </c>
      <c r="S80" s="188"/>
      <c r="T80" s="199" t="e">
        <f>ROUND(S70,0)</f>
        <v>#DIV/0!</v>
      </c>
      <c r="U80" s="185"/>
      <c r="V80" s="74"/>
      <c r="W80" s="74"/>
      <c r="X80" s="74"/>
      <c r="Y80" s="5"/>
    </row>
    <row r="81" spans="1:25" ht="23.25">
      <c r="A81" s="1"/>
      <c r="B81" s="1"/>
      <c r="C81" s="72"/>
      <c r="D81" s="181" t="str">
        <f>IF(R24-S48=0,"10- Conforme cálculo apresentado NÃO restará saldo a pagar neste precatório.","10- Conforme cálculo apresentado restará saldo a pagar neste precatório.")</f>
        <v>10- Conforme cálculo apresentado NÃO restará saldo a pagar neste precatório.</v>
      </c>
      <c r="E81" s="72"/>
      <c r="F81" s="72"/>
      <c r="G81" s="72"/>
      <c r="H81" s="72"/>
      <c r="I81" s="72"/>
      <c r="J81" s="72"/>
      <c r="K81" s="72"/>
      <c r="L81" s="72"/>
      <c r="M81" s="4"/>
      <c r="N81" s="4"/>
      <c r="O81" s="1"/>
      <c r="P81" s="5"/>
      <c r="Q81" s="5"/>
      <c r="R81" s="187" t="s">
        <v>119</v>
      </c>
      <c r="S81" s="188"/>
      <c r="T81" s="189" t="e">
        <f>T79/T80</f>
        <v>#DIV/0!</v>
      </c>
      <c r="U81" s="200"/>
      <c r="V81" s="74"/>
      <c r="W81" s="74"/>
      <c r="X81" s="74"/>
      <c r="Y81" s="5"/>
    </row>
    <row r="82" spans="1:25" ht="23.25">
      <c r="A82" s="1"/>
      <c r="B82" s="1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4"/>
      <c r="N82" s="4"/>
      <c r="O82" s="1"/>
      <c r="P82" s="5"/>
      <c r="Q82" s="5"/>
      <c r="R82" s="187" t="s">
        <v>120</v>
      </c>
      <c r="S82" s="188"/>
      <c r="T82" s="201" t="e">
        <f>IF(T81&gt;=[1]IR!$B$4, [1]IR!$C$4, IF(T81&gt;=[1]IR!$B$5, [1]IR!$C$5, IF(T81&gt;=[1]IR!$B$6, [1]IR!$C$6, IF(T81&gt;=[1]IR!$B$7, [1]IR!$C$7, [1]IR!$C$8))))</f>
        <v>#DIV/0!</v>
      </c>
      <c r="U82" s="185"/>
      <c r="V82" s="74"/>
      <c r="W82" s="74"/>
      <c r="X82" s="5"/>
      <c r="Y82" s="5"/>
    </row>
    <row r="83" spans="1:25" ht="29.25" customHeight="1">
      <c r="A83" s="1"/>
      <c r="B83" s="1"/>
      <c r="C83" s="2"/>
      <c r="D83" s="2"/>
      <c r="E83" s="2"/>
      <c r="F83" s="2"/>
      <c r="G83" s="2"/>
      <c r="H83" s="2"/>
      <c r="I83" s="2"/>
      <c r="J83" s="2"/>
      <c r="K83" s="2"/>
      <c r="L83" s="2"/>
      <c r="M83" s="202"/>
      <c r="N83" s="4"/>
      <c r="O83" s="1"/>
      <c r="P83" s="5"/>
      <c r="Q83" s="5"/>
      <c r="R83" s="187" t="s">
        <v>121</v>
      </c>
      <c r="S83" s="188"/>
      <c r="T83" s="189" t="e">
        <f>IF(T82=[1]IR!$C$7, T81*T82-[1]IR!$D$7, IF(T82=[1]IR!$C$6, T81*T82-[1]IR!$D$6, IF(T82=[1]IR!$C$5, T81*T82-[1]IR!$D$5, IF(T82=[1]IR!$C$4, T81*T82-[1]IR!$D$4, [1]IR!$D$8))))</f>
        <v>#DIV/0!</v>
      </c>
      <c r="U83" s="185"/>
      <c r="V83" s="74"/>
      <c r="W83" s="74"/>
      <c r="X83" s="5"/>
      <c r="Y83" s="5"/>
    </row>
    <row r="84" spans="1:25" ht="23.25" customHeight="1">
      <c r="A84" s="1"/>
      <c r="B84" s="1"/>
      <c r="C84" s="2"/>
      <c r="D84" s="2"/>
      <c r="E84" s="2"/>
      <c r="F84" s="2"/>
      <c r="G84" s="2"/>
      <c r="H84" s="2"/>
      <c r="I84" s="2"/>
      <c r="J84" s="2"/>
      <c r="K84" s="2"/>
      <c r="L84" s="2"/>
      <c r="M84" s="203"/>
      <c r="N84" s="203"/>
      <c r="O84" s="1"/>
      <c r="P84" s="5"/>
      <c r="Q84" s="5"/>
      <c r="R84" s="204" t="s">
        <v>122</v>
      </c>
      <c r="S84" s="205" t="e">
        <f>"(" &amp; T80 &amp; " meses)"</f>
        <v>#DIV/0!</v>
      </c>
      <c r="T84" s="206" t="e">
        <f>IF(U73="sim", ROUND(T83*T80,2), 0)</f>
        <v>#DIV/0!</v>
      </c>
      <c r="U84" s="185"/>
      <c r="V84" s="5"/>
      <c r="W84" s="5"/>
      <c r="X84" s="5"/>
      <c r="Y84" s="5"/>
    </row>
    <row r="85" spans="1:25" ht="23.25">
      <c r="A85" s="1"/>
      <c r="B85" s="1"/>
      <c r="C85" s="2"/>
      <c r="D85" s="2"/>
      <c r="E85" s="2"/>
      <c r="F85" s="2"/>
      <c r="G85" s="2"/>
      <c r="H85" s="2"/>
      <c r="I85" s="2"/>
      <c r="J85" s="2"/>
      <c r="K85" s="2"/>
      <c r="L85" s="2"/>
      <c r="M85" s="3"/>
      <c r="N85" s="4"/>
      <c r="O85" s="1"/>
      <c r="P85" s="5"/>
      <c r="Q85" s="5"/>
      <c r="R85" s="198"/>
      <c r="S85" s="198"/>
      <c r="T85" s="198"/>
      <c r="U85" s="185"/>
      <c r="V85" s="5"/>
      <c r="W85" s="5"/>
      <c r="X85" s="5"/>
      <c r="Y85" s="5"/>
    </row>
    <row r="86" spans="1:25" ht="23.25">
      <c r="A86" s="1"/>
      <c r="B86" s="1"/>
      <c r="C86" s="2"/>
      <c r="D86" s="2"/>
      <c r="E86" s="2"/>
      <c r="F86" s="2"/>
      <c r="G86" s="2"/>
      <c r="H86" s="2"/>
      <c r="I86" s="2"/>
      <c r="J86" s="2"/>
      <c r="K86" s="2"/>
      <c r="L86" s="2"/>
      <c r="M86" s="3"/>
      <c r="N86" s="4"/>
      <c r="O86" s="1"/>
      <c r="P86" s="5"/>
      <c r="Q86" s="5"/>
      <c r="R86" s="198"/>
      <c r="S86" s="198"/>
      <c r="T86" s="198"/>
      <c r="U86" s="185"/>
      <c r="V86" s="5"/>
      <c r="W86" s="5"/>
      <c r="X86" s="5"/>
      <c r="Y86" s="5"/>
    </row>
    <row r="87" spans="1:25" ht="23.25">
      <c r="A87" s="1"/>
      <c r="B87" s="1"/>
      <c r="C87" s="2"/>
      <c r="D87" s="2"/>
      <c r="E87" s="2"/>
      <c r="F87" s="2"/>
      <c r="G87" s="2"/>
      <c r="H87" s="2"/>
      <c r="I87" s="2"/>
      <c r="J87" s="2"/>
      <c r="K87" s="2"/>
      <c r="L87" s="2"/>
      <c r="M87" s="4"/>
      <c r="N87" s="4"/>
      <c r="O87" s="1"/>
      <c r="P87" s="5"/>
      <c r="Q87" s="207"/>
      <c r="R87" s="267" t="s">
        <v>123</v>
      </c>
      <c r="S87" s="267"/>
      <c r="T87" s="267"/>
      <c r="U87" s="267"/>
      <c r="V87" s="267"/>
      <c r="W87" s="5"/>
      <c r="X87" s="5"/>
      <c r="Y87" s="5"/>
    </row>
    <row r="88" spans="1:25" ht="23.25">
      <c r="A88" s="1"/>
      <c r="B88" s="1"/>
      <c r="C88" s="268" t="str">
        <f ca="1">"Teresina, " &amp; TEXT(TODAY(), "dd") &amp; " de " &amp; TEXT(TODAY(), "mmmm") &amp; " de " &amp; TEXT(TODAY(), "aaaa")</f>
        <v>Teresina, 22 de fevereiro de 2025</v>
      </c>
      <c r="D88" s="268"/>
      <c r="E88" s="268"/>
      <c r="F88" s="268"/>
      <c r="G88" s="268"/>
      <c r="H88" s="268"/>
      <c r="I88" s="268"/>
      <c r="J88" s="268"/>
      <c r="K88" s="268"/>
      <c r="L88" s="268"/>
      <c r="M88" s="4"/>
      <c r="N88" s="4"/>
      <c r="O88" s="1"/>
      <c r="P88" s="5"/>
      <c r="Q88" s="207"/>
      <c r="R88" s="208">
        <f t="shared" ref="R88:U92" si="3">ROUND(F43,2)</f>
        <v>0</v>
      </c>
      <c r="S88" s="209" t="e">
        <f t="shared" si="3"/>
        <v>#DIV/0!</v>
      </c>
      <c r="T88" s="209" t="e">
        <f t="shared" si="3"/>
        <v>#DIV/0!</v>
      </c>
      <c r="U88" s="209" t="e">
        <f t="shared" si="3"/>
        <v>#DIV/0!</v>
      </c>
      <c r="V88" s="210" t="e">
        <f>F43-S88-T88-U88</f>
        <v>#DIV/0!</v>
      </c>
      <c r="W88" s="5"/>
      <c r="X88" s="5"/>
      <c r="Y88" s="5"/>
    </row>
    <row r="89" spans="1:25" ht="23.25">
      <c r="A89" s="1"/>
      <c r="B89" s="1"/>
      <c r="C89" s="268" t="str">
        <f>[1]MENU!$AD$24</f>
        <v>Gabriel de Jesus Silva</v>
      </c>
      <c r="D89" s="268"/>
      <c r="E89" s="268"/>
      <c r="F89" s="268"/>
      <c r="G89" s="268"/>
      <c r="H89" s="268"/>
      <c r="I89" s="268"/>
      <c r="J89" s="268"/>
      <c r="K89" s="268"/>
      <c r="L89" s="268"/>
      <c r="M89" s="4"/>
      <c r="N89" s="4"/>
      <c r="O89" s="1"/>
      <c r="P89" s="5"/>
      <c r="Q89" s="211"/>
      <c r="R89" s="208">
        <f t="shared" si="3"/>
        <v>0</v>
      </c>
      <c r="S89" s="209">
        <f t="shared" si="3"/>
        <v>0</v>
      </c>
      <c r="T89" s="209">
        <f t="shared" si="3"/>
        <v>0</v>
      </c>
      <c r="U89" s="209">
        <f t="shared" si="3"/>
        <v>0</v>
      </c>
      <c r="V89" s="210">
        <f>F44-S89-T89-U89</f>
        <v>0</v>
      </c>
      <c r="W89" s="5"/>
      <c r="X89" s="5"/>
      <c r="Y89" s="5"/>
    </row>
    <row r="90" spans="1:25" ht="23.25">
      <c r="A90" s="1"/>
      <c r="B90" s="1"/>
      <c r="C90" s="268" t="str">
        <f>[1]MENU!$AD$25</f>
        <v>Servidor TJ/PI - Coordenadoria de Precatórios</v>
      </c>
      <c r="D90" s="268"/>
      <c r="E90" s="268"/>
      <c r="F90" s="268"/>
      <c r="G90" s="268"/>
      <c r="H90" s="268"/>
      <c r="I90" s="268"/>
      <c r="J90" s="268"/>
      <c r="K90" s="268"/>
      <c r="L90" s="268"/>
      <c r="M90" s="4"/>
      <c r="N90" s="4"/>
      <c r="O90" s="1"/>
      <c r="P90" s="5"/>
      <c r="Q90" s="212"/>
      <c r="R90" s="208">
        <f t="shared" si="3"/>
        <v>0</v>
      </c>
      <c r="S90" s="209">
        <f t="shared" si="3"/>
        <v>0</v>
      </c>
      <c r="T90" s="209">
        <f t="shared" si="3"/>
        <v>0</v>
      </c>
      <c r="U90" s="209">
        <f t="shared" si="3"/>
        <v>0</v>
      </c>
      <c r="V90" s="210">
        <f>F45-S90-T90-U90</f>
        <v>0</v>
      </c>
      <c r="W90" s="5"/>
      <c r="X90" s="5"/>
      <c r="Y90" s="5"/>
    </row>
    <row r="91" spans="1:25" ht="23.25">
      <c r="A91" s="1"/>
      <c r="B91" s="1"/>
      <c r="C91" s="268"/>
      <c r="D91" s="268"/>
      <c r="E91" s="268"/>
      <c r="F91" s="268"/>
      <c r="G91" s="268"/>
      <c r="H91" s="268"/>
      <c r="I91" s="268"/>
      <c r="J91" s="268"/>
      <c r="K91" s="268"/>
      <c r="L91" s="268"/>
      <c r="M91" s="4"/>
      <c r="N91" s="4"/>
      <c r="O91" s="1"/>
      <c r="P91" s="5"/>
      <c r="Q91" s="5"/>
      <c r="R91" s="208">
        <f t="shared" si="3"/>
        <v>0</v>
      </c>
      <c r="S91" s="209">
        <f t="shared" si="3"/>
        <v>0</v>
      </c>
      <c r="T91" s="209">
        <f t="shared" si="3"/>
        <v>0</v>
      </c>
      <c r="U91" s="209">
        <f t="shared" si="3"/>
        <v>0</v>
      </c>
      <c r="V91" s="210">
        <f>F46-S91-T91-U91</f>
        <v>0</v>
      </c>
      <c r="W91" s="5"/>
      <c r="X91" s="5"/>
      <c r="Y91" s="5"/>
    </row>
    <row r="92" spans="1:25" ht="26.25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4"/>
      <c r="N92" s="4"/>
      <c r="O92" s="1"/>
      <c r="P92" s="5"/>
      <c r="Q92" s="5"/>
      <c r="R92" s="208">
        <f t="shared" si="3"/>
        <v>0</v>
      </c>
      <c r="S92" s="209">
        <f t="shared" si="3"/>
        <v>0</v>
      </c>
      <c r="T92" s="209">
        <f t="shared" si="3"/>
        <v>0</v>
      </c>
      <c r="U92" s="209">
        <f t="shared" si="3"/>
        <v>0</v>
      </c>
      <c r="V92" s="210">
        <f>F47-S92-T92-U92</f>
        <v>0</v>
      </c>
      <c r="W92" s="5"/>
      <c r="X92" s="5"/>
      <c r="Y92" s="5"/>
    </row>
    <row r="93" spans="1:25" ht="27" customHeight="1">
      <c r="A93" s="1"/>
      <c r="B93" s="1"/>
      <c r="C93" s="1"/>
      <c r="D93" s="2"/>
      <c r="E93" s="2"/>
      <c r="F93" s="2"/>
      <c r="G93" s="2"/>
      <c r="H93" s="2"/>
      <c r="I93" s="2"/>
      <c r="J93" s="2"/>
      <c r="K93" s="1"/>
      <c r="L93" s="3"/>
      <c r="M93" s="4"/>
      <c r="N93" s="4"/>
      <c r="O93" s="1"/>
      <c r="P93" s="5"/>
      <c r="Q93" s="5"/>
      <c r="R93" s="213">
        <f>SUM(R88:R92)-F48</f>
        <v>0</v>
      </c>
      <c r="S93" s="214" t="e">
        <f>SUM(S88:S92)-G48</f>
        <v>#DIV/0!</v>
      </c>
      <c r="T93" s="214" t="e">
        <f>SUM(T88:T92)-H48</f>
        <v>#DIV/0!</v>
      </c>
      <c r="U93" s="214" t="e">
        <f>SUM(U88:U92)-I48</f>
        <v>#DIV/0!</v>
      </c>
      <c r="V93" s="215"/>
      <c r="W93" s="5"/>
      <c r="X93" s="5"/>
      <c r="Y93" s="5"/>
    </row>
    <row r="94" spans="1:25" ht="21" customHeight="1">
      <c r="A94" s="1"/>
      <c r="B94" s="1"/>
      <c r="C94" s="1"/>
      <c r="D94" s="2"/>
      <c r="E94" s="2"/>
      <c r="F94" s="2"/>
      <c r="G94" s="2"/>
      <c r="H94" s="2"/>
      <c r="I94" s="2"/>
      <c r="J94" s="2"/>
      <c r="K94" s="1"/>
      <c r="L94" s="3"/>
      <c r="M94" s="4"/>
      <c r="N94" s="4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3.25">
      <c r="A95" s="1"/>
      <c r="B95" s="1"/>
      <c r="C95" s="1"/>
      <c r="D95" s="2"/>
      <c r="E95" s="2"/>
      <c r="F95" s="2"/>
      <c r="G95" s="2"/>
      <c r="H95" s="2"/>
      <c r="I95" s="2"/>
      <c r="J95" s="2"/>
      <c r="K95" s="1"/>
      <c r="L95" s="3"/>
      <c r="M95" s="4"/>
      <c r="N95" s="4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3.25">
      <c r="A96" s="1"/>
      <c r="B96" s="1"/>
      <c r="C96" s="1"/>
      <c r="D96" s="2"/>
      <c r="E96" s="2"/>
      <c r="F96" s="2"/>
      <c r="G96" s="2"/>
      <c r="H96" s="2"/>
      <c r="I96" s="2"/>
      <c r="J96" s="2"/>
      <c r="K96" s="1"/>
      <c r="L96" s="3"/>
      <c r="M96" s="4"/>
      <c r="N96" s="4"/>
      <c r="O96" s="1"/>
      <c r="P96" s="5"/>
      <c r="Q96" s="5"/>
      <c r="R96" s="5"/>
      <c r="S96" s="5"/>
      <c r="T96" s="5"/>
      <c r="U96" s="5"/>
      <c r="V96" s="5"/>
      <c r="W96" s="185"/>
      <c r="X96" s="185"/>
      <c r="Y96" s="5"/>
    </row>
    <row r="97" spans="1:26" ht="23.25">
      <c r="A97" s="1"/>
      <c r="B97" s="1"/>
      <c r="C97" s="1"/>
      <c r="D97" s="2"/>
      <c r="E97" s="2"/>
      <c r="F97" s="2"/>
      <c r="G97" s="2"/>
      <c r="H97" s="2"/>
      <c r="I97" s="2"/>
      <c r="J97" s="2"/>
      <c r="K97" s="1"/>
      <c r="L97" s="3"/>
      <c r="M97" s="4"/>
      <c r="N97" s="4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6" ht="23.25">
      <c r="A98" s="1"/>
      <c r="B98" s="1"/>
      <c r="C98" s="1"/>
      <c r="D98" s="2"/>
      <c r="E98" s="2"/>
      <c r="F98" s="2"/>
      <c r="G98" s="2"/>
      <c r="H98" s="2"/>
      <c r="I98" s="2"/>
      <c r="J98" s="2"/>
      <c r="K98" s="1"/>
      <c r="L98" s="3"/>
      <c r="M98" s="4"/>
      <c r="N98" s="4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6" ht="23.25">
      <c r="A99" s="1"/>
      <c r="B99" s="1"/>
      <c r="C99" s="1"/>
      <c r="D99" s="2"/>
      <c r="E99" s="2"/>
      <c r="F99" s="2"/>
      <c r="G99" s="2"/>
      <c r="H99" s="2"/>
      <c r="I99" s="2"/>
      <c r="J99" s="2"/>
      <c r="K99" s="1"/>
      <c r="L99" s="3"/>
      <c r="M99" s="4"/>
      <c r="N99" s="4"/>
      <c r="O99" s="1"/>
      <c r="P99" s="5"/>
      <c r="Q99" s="5"/>
      <c r="R99" s="5"/>
      <c r="S99" s="5"/>
      <c r="T99" s="5"/>
      <c r="U99" s="5"/>
      <c r="V99" s="5"/>
      <c r="W99" s="5"/>
      <c r="X99" s="5"/>
      <c r="Y99" s="5"/>
    </row>
    <row r="100" spans="1:26" ht="23.25">
      <c r="A100" s="1"/>
      <c r="B100" s="1"/>
      <c r="C100" s="1"/>
      <c r="D100" s="2"/>
      <c r="E100" s="2"/>
      <c r="F100" s="2"/>
      <c r="G100" s="2"/>
      <c r="H100" s="2"/>
      <c r="I100" s="2"/>
      <c r="J100" s="2"/>
      <c r="K100" s="1"/>
      <c r="L100" s="3"/>
      <c r="M100" s="4"/>
      <c r="N100" s="4"/>
      <c r="O100" s="1"/>
      <c r="P100" s="5"/>
      <c r="Q100" s="5"/>
      <c r="R100" s="5"/>
      <c r="S100" s="5"/>
      <c r="T100" s="5"/>
      <c r="U100" s="5"/>
      <c r="V100" s="5"/>
      <c r="W100" s="5"/>
      <c r="X100" s="5"/>
      <c r="Y100" s="5"/>
    </row>
    <row r="101" spans="1:26" ht="23.25">
      <c r="A101" s="1"/>
      <c r="B101" s="1"/>
      <c r="C101" s="1"/>
      <c r="D101" s="2"/>
      <c r="E101" s="2"/>
      <c r="F101" s="2"/>
      <c r="G101" s="2"/>
      <c r="H101" s="2"/>
      <c r="I101" s="2"/>
      <c r="J101" s="2"/>
      <c r="K101" s="1"/>
      <c r="L101" s="3"/>
      <c r="M101" s="4"/>
      <c r="N101" s="4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1"/>
      <c r="D102" s="2"/>
      <c r="E102" s="2"/>
      <c r="F102" s="2"/>
      <c r="G102" s="2"/>
      <c r="H102" s="2"/>
      <c r="I102" s="2"/>
      <c r="J102" s="2"/>
      <c r="K102" s="1"/>
      <c r="L102" s="3"/>
      <c r="M102" s="4"/>
      <c r="N102" s="4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6" ht="23.25">
      <c r="A103" s="1"/>
      <c r="B103" s="1"/>
      <c r="C103" s="1"/>
      <c r="D103" s="2"/>
      <c r="E103" s="2"/>
      <c r="F103" s="2"/>
      <c r="G103" s="2"/>
      <c r="H103" s="2"/>
      <c r="I103" s="2"/>
      <c r="J103" s="2"/>
      <c r="K103" s="1"/>
      <c r="L103" s="3"/>
      <c r="M103" s="4"/>
      <c r="N103" s="4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1"/>
      <c r="D104" s="2"/>
      <c r="E104" s="2"/>
      <c r="F104" s="2"/>
      <c r="G104" s="2"/>
      <c r="H104" s="2"/>
      <c r="I104" s="2"/>
      <c r="J104" s="2"/>
      <c r="K104" s="1"/>
      <c r="L104" s="3"/>
      <c r="M104" s="4"/>
      <c r="N104" s="4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6" t="e">
        <f>ROUND(S70,0)</f>
        <v>#DIV/0!</v>
      </c>
    </row>
    <row r="105" spans="1:26" ht="23.25">
      <c r="A105" s="1"/>
      <c r="B105" s="1"/>
      <c r="C105" s="1"/>
      <c r="D105" s="2"/>
      <c r="E105" s="2"/>
      <c r="F105" s="2"/>
      <c r="G105" s="2"/>
      <c r="H105" s="2"/>
      <c r="I105" s="2"/>
      <c r="J105" s="2"/>
      <c r="K105" s="1"/>
      <c r="L105" s="3"/>
      <c r="M105" s="4"/>
      <c r="N105" s="4"/>
      <c r="O105" s="1"/>
      <c r="P105" s="5"/>
      <c r="Q105" s="185"/>
      <c r="R105" s="185"/>
      <c r="S105" s="185"/>
      <c r="T105" s="185"/>
      <c r="U105" s="185"/>
      <c r="V105" s="185"/>
      <c r="W105" s="5"/>
      <c r="X105" s="5"/>
      <c r="Y105" s="5"/>
    </row>
    <row r="106" spans="1:26" ht="23.25">
      <c r="A106" s="1"/>
      <c r="B106" s="1"/>
      <c r="C106" s="1"/>
      <c r="D106" s="2"/>
      <c r="E106" s="2"/>
      <c r="F106" s="2"/>
      <c r="G106" s="2"/>
      <c r="H106" s="2"/>
      <c r="I106" s="2"/>
      <c r="J106" s="2"/>
      <c r="K106" s="1"/>
      <c r="L106" s="3"/>
      <c r="M106" s="4"/>
      <c r="N106" s="4"/>
      <c r="O106" s="1"/>
      <c r="P106" s="5"/>
      <c r="Q106" s="185"/>
      <c r="R106" s="185"/>
      <c r="S106" s="185"/>
      <c r="T106" s="185"/>
      <c r="U106" s="185"/>
      <c r="V106" s="185"/>
      <c r="W106" s="185"/>
      <c r="X106" s="185"/>
      <c r="Y106" s="5"/>
    </row>
    <row r="107" spans="1:26" ht="18.95" customHeight="1">
      <c r="A107" s="1"/>
      <c r="B107" s="1"/>
      <c r="C107" s="1"/>
      <c r="D107" s="2"/>
      <c r="E107" s="2"/>
      <c r="F107" s="2"/>
      <c r="G107" s="2"/>
      <c r="H107" s="2"/>
      <c r="I107" s="2"/>
      <c r="J107" s="2"/>
      <c r="K107" s="1"/>
      <c r="L107" s="3"/>
      <c r="M107" s="4"/>
      <c r="N107" s="4"/>
      <c r="O107" s="1"/>
      <c r="P107" s="5"/>
      <c r="Q107" s="185"/>
      <c r="R107" s="185"/>
      <c r="S107" s="185"/>
      <c r="T107" s="185"/>
      <c r="U107" s="185"/>
      <c r="V107" s="185"/>
      <c r="W107" s="185"/>
      <c r="X107" s="185"/>
      <c r="Y107" s="5"/>
    </row>
    <row r="108" spans="1:26" ht="23.25">
      <c r="A108" s="1"/>
      <c r="B108" s="1"/>
      <c r="C108" s="1"/>
      <c r="D108" s="2"/>
      <c r="E108" s="2"/>
      <c r="F108" s="2"/>
      <c r="G108" s="2"/>
      <c r="H108" s="2"/>
      <c r="I108" s="2"/>
      <c r="J108" s="2"/>
      <c r="K108" s="1"/>
      <c r="L108" s="3"/>
      <c r="M108" s="4"/>
      <c r="N108" s="4"/>
      <c r="O108" s="1"/>
      <c r="P108" s="5"/>
      <c r="Q108" s="5"/>
      <c r="R108" s="185"/>
      <c r="S108" s="185"/>
      <c r="T108" s="185"/>
      <c r="U108" s="185"/>
      <c r="V108" s="185"/>
      <c r="W108" s="185"/>
      <c r="X108" s="185"/>
      <c r="Y108" s="5"/>
    </row>
    <row r="109" spans="1:26" ht="23.25">
      <c r="A109" s="1"/>
      <c r="B109" s="1"/>
      <c r="C109" s="1"/>
      <c r="D109" s="2"/>
      <c r="E109" s="2"/>
      <c r="F109" s="2"/>
      <c r="G109" s="2"/>
      <c r="H109" s="2"/>
      <c r="I109" s="2"/>
      <c r="J109" s="2"/>
      <c r="K109" s="1"/>
      <c r="L109" s="3"/>
      <c r="M109" s="4"/>
      <c r="N109" s="4"/>
      <c r="O109" s="1"/>
      <c r="P109" s="5"/>
      <c r="Q109" s="5"/>
      <c r="R109" s="185"/>
      <c r="S109" s="185"/>
      <c r="T109" s="185"/>
      <c r="U109" s="185"/>
      <c r="V109" s="185"/>
      <c r="W109" s="185"/>
      <c r="X109" s="185"/>
      <c r="Y109" s="5"/>
    </row>
    <row r="110" spans="1:26" ht="23.25">
      <c r="A110" s="1"/>
      <c r="B110" s="1"/>
      <c r="C110" s="1"/>
      <c r="D110" s="2"/>
      <c r="E110" s="2"/>
      <c r="F110" s="2"/>
      <c r="G110" s="2"/>
      <c r="H110" s="2"/>
      <c r="I110" s="2"/>
      <c r="J110" s="2"/>
      <c r="K110" s="1"/>
      <c r="L110" s="3"/>
      <c r="M110" s="4"/>
      <c r="N110" s="4"/>
      <c r="O110" s="1"/>
      <c r="P110" s="5"/>
      <c r="Q110" s="5"/>
      <c r="R110" s="185"/>
      <c r="S110" s="185"/>
      <c r="T110" s="185"/>
      <c r="U110" s="185"/>
      <c r="V110" s="185"/>
      <c r="W110" s="185"/>
      <c r="X110" s="185"/>
      <c r="Y110" s="5"/>
    </row>
    <row r="111" spans="1:26" ht="36.950000000000003" customHeight="1">
      <c r="A111" s="1"/>
      <c r="B111" s="1"/>
      <c r="C111" s="1"/>
      <c r="D111" s="2"/>
      <c r="E111" s="2"/>
      <c r="F111" s="2"/>
      <c r="G111" s="2"/>
      <c r="H111" s="2"/>
      <c r="I111" s="2"/>
      <c r="J111" s="2"/>
      <c r="K111" s="1"/>
      <c r="L111" s="3"/>
      <c r="M111" s="4"/>
      <c r="N111" s="4"/>
      <c r="O111" s="1"/>
      <c r="P111" s="5"/>
      <c r="Q111" s="5"/>
      <c r="R111" s="185"/>
      <c r="S111" s="185"/>
      <c r="T111" s="185"/>
      <c r="U111" s="185"/>
      <c r="V111" s="185"/>
      <c r="W111" s="185"/>
      <c r="X111" s="185"/>
      <c r="Y111" s="5"/>
    </row>
    <row r="112" spans="1:26" ht="33.4" customHeight="1">
      <c r="A112" s="1"/>
      <c r="B112" s="1"/>
      <c r="C112" s="1"/>
      <c r="D112" s="2"/>
      <c r="E112" s="2"/>
      <c r="F112" s="2"/>
      <c r="G112" s="2"/>
      <c r="H112" s="2"/>
      <c r="I112" s="2"/>
      <c r="J112" s="2"/>
      <c r="K112" s="1"/>
      <c r="L112" s="3"/>
      <c r="M112" s="72"/>
      <c r="N112" s="4"/>
      <c r="O112" s="1"/>
      <c r="P112" s="5"/>
      <c r="Q112" s="5"/>
      <c r="R112" s="5"/>
      <c r="S112" s="5"/>
      <c r="T112" s="5"/>
      <c r="U112" s="5"/>
      <c r="V112" s="5"/>
      <c r="W112" s="74"/>
      <c r="X112" s="74"/>
      <c r="Y112" s="5"/>
    </row>
    <row r="113" spans="1:25" ht="23.25">
      <c r="A113" s="1"/>
      <c r="B113" s="1"/>
      <c r="C113" s="1"/>
      <c r="D113" s="2"/>
      <c r="E113" s="2"/>
      <c r="F113" s="2"/>
      <c r="G113" s="2"/>
      <c r="H113" s="2"/>
      <c r="I113" s="2"/>
      <c r="J113" s="2"/>
      <c r="K113" s="1"/>
      <c r="L113" s="3"/>
      <c r="M113" s="72"/>
      <c r="N113" s="4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25">
      <c r="A114" s="1"/>
      <c r="B114" s="1"/>
      <c r="C114" s="1"/>
      <c r="D114" s="2"/>
      <c r="E114" s="2"/>
      <c r="F114" s="2"/>
      <c r="G114" s="2"/>
      <c r="H114" s="2"/>
      <c r="I114" s="2"/>
      <c r="J114" s="2"/>
      <c r="K114" s="1"/>
      <c r="L114" s="3"/>
      <c r="M114" s="4"/>
      <c r="N114" s="4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23.45" customHeight="1">
      <c r="A115" s="1"/>
      <c r="B115" s="1"/>
      <c r="C115" s="1"/>
      <c r="D115" s="2"/>
      <c r="E115" s="2"/>
      <c r="F115" s="2"/>
      <c r="G115" s="2"/>
      <c r="H115" s="2"/>
      <c r="I115" s="2"/>
      <c r="J115" s="2"/>
      <c r="K115" s="1"/>
      <c r="L115" s="3"/>
      <c r="M115" s="4"/>
      <c r="N115" s="4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33.6" customHeight="1">
      <c r="A116" s="1"/>
      <c r="B116" s="1"/>
      <c r="C116" s="1"/>
      <c r="D116" s="2"/>
      <c r="E116" s="2"/>
      <c r="F116" s="2"/>
      <c r="G116" s="2"/>
      <c r="H116" s="2"/>
      <c r="I116" s="2"/>
      <c r="J116" s="2"/>
      <c r="K116" s="1"/>
      <c r="L116" s="3"/>
      <c r="M116" s="4"/>
      <c r="N116" s="4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.6" customHeight="1">
      <c r="A117" s="1"/>
      <c r="B117" s="1"/>
      <c r="C117" s="1"/>
      <c r="D117" s="2"/>
      <c r="E117" s="2"/>
      <c r="F117" s="2"/>
      <c r="G117" s="2"/>
      <c r="H117" s="2"/>
      <c r="I117" s="2"/>
      <c r="J117" s="2"/>
      <c r="K117" s="1"/>
      <c r="L117" s="3"/>
      <c r="M117" s="4"/>
      <c r="N117" s="4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23.25">
      <c r="A119" s="1"/>
      <c r="B119" s="1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23.25">
      <c r="A120" s="1"/>
      <c r="B120" s="1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216"/>
      <c r="D124" s="14"/>
      <c r="E124" s="14"/>
      <c r="F124" s="14"/>
      <c r="G124" s="14"/>
      <c r="H124" s="14"/>
      <c r="I124" s="14"/>
      <c r="J124" s="14"/>
      <c r="K124" s="10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0"/>
      <c r="D125" s="14"/>
      <c r="E125" s="14"/>
      <c r="F125" s="14"/>
      <c r="G125" s="14"/>
      <c r="H125" s="14"/>
      <c r="I125" s="14"/>
      <c r="J125" s="14"/>
      <c r="K125" s="10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217"/>
      <c r="D126" s="14"/>
      <c r="E126" s="14"/>
      <c r="F126" s="14"/>
      <c r="G126" s="14"/>
      <c r="H126" s="14"/>
      <c r="I126" s="14"/>
      <c r="J126" s="14"/>
      <c r="K126" s="10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218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0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0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0"/>
      <c r="D138" s="14"/>
      <c r="E138" s="14"/>
      <c r="F138" s="14"/>
      <c r="G138" s="14"/>
      <c r="H138" s="14"/>
      <c r="I138" s="14"/>
      <c r="J138" s="14"/>
      <c r="K138" s="10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0"/>
      <c r="D139" s="14"/>
      <c r="E139" s="14"/>
      <c r="F139" s="14"/>
      <c r="G139" s="14"/>
      <c r="H139" s="14"/>
      <c r="I139" s="14"/>
      <c r="J139" s="14"/>
      <c r="K139" s="10"/>
      <c r="L139" s="3"/>
      <c r="M139" s="4"/>
      <c r="N139" s="4"/>
      <c r="O139" s="1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A140" s="1"/>
      <c r="B140" s="1"/>
      <c r="C140" s="219"/>
      <c r="D140" s="23"/>
      <c r="E140" s="23"/>
      <c r="F140" s="23"/>
      <c r="G140" s="23"/>
      <c r="H140" s="23"/>
      <c r="I140" s="23"/>
      <c r="J140" s="23"/>
      <c r="K140" s="219"/>
    </row>
    <row r="141" spans="1:25" ht="15.6" customHeight="1">
      <c r="C141" s="219"/>
      <c r="D141" s="23"/>
      <c r="E141" s="23"/>
      <c r="F141" s="23"/>
      <c r="G141" s="23"/>
      <c r="H141" s="23"/>
      <c r="I141" s="23"/>
      <c r="J141" s="23"/>
      <c r="K141" s="219"/>
    </row>
    <row r="142" spans="1:25" ht="15.6" customHeight="1">
      <c r="C142" s="219"/>
      <c r="D142" s="23"/>
      <c r="E142" s="23"/>
      <c r="F142" s="23"/>
      <c r="G142" s="23"/>
      <c r="H142" s="23"/>
      <c r="I142" s="23"/>
      <c r="J142" s="23"/>
      <c r="K142" s="219"/>
    </row>
    <row r="143" spans="1:25" ht="15.6" customHeight="1">
      <c r="C143" s="219"/>
      <c r="D143" s="23"/>
      <c r="E143" s="23"/>
      <c r="F143" s="23"/>
      <c r="G143" s="23"/>
      <c r="H143" s="23"/>
      <c r="I143" s="23"/>
      <c r="J143" s="23"/>
      <c r="K143" s="219"/>
    </row>
    <row r="144" spans="1:25" ht="15.6" customHeight="1">
      <c r="C144" s="219"/>
      <c r="D144" s="23"/>
      <c r="E144" s="23"/>
      <c r="F144" s="23"/>
      <c r="G144" s="23"/>
      <c r="H144" s="23"/>
      <c r="I144" s="23"/>
      <c r="J144" s="23"/>
      <c r="K144" s="219"/>
    </row>
    <row r="145" spans="3:11" ht="15.6" customHeight="1">
      <c r="C145" s="219"/>
      <c r="D145" s="23"/>
      <c r="E145" s="23"/>
      <c r="F145" s="23"/>
      <c r="G145" s="23"/>
      <c r="H145" s="23"/>
      <c r="I145" s="23"/>
      <c r="J145" s="23"/>
      <c r="K145" s="219"/>
    </row>
    <row r="146" spans="3:11" ht="15.6" customHeight="1">
      <c r="C146" s="219"/>
      <c r="D146" s="23"/>
      <c r="E146" s="23"/>
      <c r="F146" s="23"/>
      <c r="G146" s="23"/>
      <c r="H146" s="23"/>
      <c r="I146" s="23"/>
      <c r="J146" s="23"/>
      <c r="K146" s="219"/>
    </row>
    <row r="147" spans="3:11" ht="15.6" customHeight="1">
      <c r="C147" s="219"/>
      <c r="D147" s="23"/>
      <c r="E147" s="23"/>
      <c r="F147" s="23"/>
      <c r="G147" s="23"/>
      <c r="H147" s="23"/>
      <c r="I147" s="23"/>
      <c r="J147" s="23"/>
      <c r="K147" s="219"/>
    </row>
    <row r="148" spans="3:11" ht="15.6" customHeight="1">
      <c r="C148" s="219"/>
      <c r="D148" s="23"/>
      <c r="E148" s="23"/>
      <c r="F148" s="23"/>
      <c r="G148" s="23"/>
      <c r="H148" s="23"/>
      <c r="I148" s="23"/>
      <c r="J148" s="23"/>
      <c r="K148" s="219"/>
    </row>
    <row r="149" spans="3:11" ht="15.6" customHeight="1">
      <c r="C149" s="219"/>
      <c r="D149" s="23"/>
      <c r="E149" s="23"/>
      <c r="F149" s="23"/>
      <c r="G149" s="23"/>
      <c r="H149" s="23"/>
      <c r="I149" s="23"/>
      <c r="J149" s="23"/>
      <c r="K149" s="219"/>
    </row>
    <row r="150" spans="3:11" ht="15.6" customHeight="1">
      <c r="C150" s="219"/>
      <c r="D150" s="23"/>
      <c r="E150" s="23"/>
      <c r="F150" s="23"/>
      <c r="G150" s="23"/>
      <c r="H150" s="23"/>
      <c r="I150" s="23"/>
      <c r="J150" s="23"/>
      <c r="K150" s="219"/>
    </row>
    <row r="151" spans="3:11" ht="15.6" customHeight="1">
      <c r="C151" s="219"/>
      <c r="D151" s="23"/>
      <c r="E151" s="23"/>
      <c r="F151" s="23"/>
      <c r="G151" s="23"/>
      <c r="H151" s="23"/>
      <c r="I151" s="23"/>
      <c r="J151" s="23"/>
      <c r="K151" s="219"/>
    </row>
    <row r="152" spans="3:11" ht="15.6" customHeight="1">
      <c r="C152" s="219"/>
      <c r="D152" s="23"/>
      <c r="E152" s="23"/>
      <c r="F152" s="23"/>
      <c r="G152" s="23"/>
      <c r="H152" s="23"/>
      <c r="I152" s="23"/>
      <c r="J152" s="23"/>
      <c r="K152" s="219"/>
    </row>
    <row r="153" spans="3:11" ht="15.6" customHeight="1">
      <c r="C153" s="219"/>
      <c r="D153" s="23"/>
      <c r="E153" s="23"/>
      <c r="F153" s="23"/>
      <c r="G153" s="23"/>
      <c r="H153" s="23"/>
      <c r="I153" s="23"/>
      <c r="J153" s="23"/>
      <c r="K153" s="219"/>
    </row>
    <row r="154" spans="3:11" ht="15.6" customHeight="1">
      <c r="C154" s="219"/>
      <c r="D154" s="23"/>
      <c r="E154" s="23"/>
      <c r="F154" s="23"/>
      <c r="G154" s="23"/>
      <c r="H154" s="23"/>
      <c r="I154" s="23"/>
      <c r="J154" s="23"/>
      <c r="K154" s="219"/>
    </row>
    <row r="155" spans="3:11" ht="15.6" customHeight="1">
      <c r="C155" s="219"/>
      <c r="D155" s="23"/>
      <c r="E155" s="23"/>
      <c r="F155" s="23"/>
      <c r="G155" s="23"/>
      <c r="H155" s="23"/>
      <c r="I155" s="23"/>
      <c r="J155" s="23"/>
      <c r="K155" s="219"/>
    </row>
    <row r="156" spans="3:11" ht="15.6" customHeight="1">
      <c r="C156" s="219"/>
      <c r="D156" s="23"/>
      <c r="E156" s="23"/>
      <c r="F156" s="23"/>
      <c r="G156" s="23"/>
      <c r="H156" s="23"/>
      <c r="I156" s="23"/>
      <c r="J156" s="23"/>
      <c r="K156" s="219"/>
    </row>
    <row r="157" spans="3:11" ht="15.6" customHeight="1">
      <c r="C157" s="219"/>
      <c r="D157" s="23"/>
      <c r="E157" s="23"/>
      <c r="F157" s="23"/>
      <c r="G157" s="23"/>
      <c r="H157" s="23"/>
      <c r="I157" s="23"/>
      <c r="J157" s="23"/>
      <c r="K157" s="219"/>
    </row>
    <row r="158" spans="3:11" ht="15.6" customHeight="1">
      <c r="C158" s="219"/>
      <c r="D158" s="23"/>
      <c r="E158" s="23"/>
      <c r="F158" s="23"/>
      <c r="G158" s="23"/>
      <c r="H158" s="23"/>
      <c r="I158" s="23"/>
      <c r="J158" s="23"/>
      <c r="K158" s="219"/>
    </row>
    <row r="159" spans="3:11" ht="15.6" customHeight="1">
      <c r="C159" s="219"/>
      <c r="D159" s="23"/>
      <c r="E159" s="23"/>
      <c r="F159" s="23"/>
      <c r="G159" s="23"/>
      <c r="H159" s="23"/>
      <c r="I159" s="23"/>
      <c r="J159" s="23"/>
      <c r="K159" s="219"/>
    </row>
    <row r="160" spans="3:11" ht="15.6" customHeight="1">
      <c r="C160" s="219"/>
      <c r="D160" s="23"/>
      <c r="E160" s="23"/>
      <c r="F160" s="23"/>
      <c r="G160" s="23"/>
      <c r="H160" s="23"/>
      <c r="I160" s="23"/>
      <c r="J160" s="23"/>
      <c r="K160" s="219"/>
    </row>
  </sheetData>
  <mergeCells count="48">
    <mergeCell ref="R87:V87"/>
    <mergeCell ref="C88:L88"/>
    <mergeCell ref="C89:L89"/>
    <mergeCell ref="C90:L90"/>
    <mergeCell ref="C91:L91"/>
    <mergeCell ref="V61:W61"/>
    <mergeCell ref="R67:S67"/>
    <mergeCell ref="R73:R74"/>
    <mergeCell ref="S73:S74"/>
    <mergeCell ref="T73:T74"/>
    <mergeCell ref="U73:U74"/>
    <mergeCell ref="D55:E55"/>
    <mergeCell ref="D41:J41"/>
    <mergeCell ref="D42:E42"/>
    <mergeCell ref="T42:V42"/>
    <mergeCell ref="D43:E43"/>
    <mergeCell ref="D44:E44"/>
    <mergeCell ref="D45:E45"/>
    <mergeCell ref="D46:E46"/>
    <mergeCell ref="D47:E47"/>
    <mergeCell ref="R47:S47"/>
    <mergeCell ref="U47:V47"/>
    <mergeCell ref="D48:E48"/>
    <mergeCell ref="D40:N40"/>
    <mergeCell ref="R23:S23"/>
    <mergeCell ref="T23:U23"/>
    <mergeCell ref="V23:W23"/>
    <mergeCell ref="J25:L25"/>
    <mergeCell ref="J27:L27"/>
    <mergeCell ref="K29:M29"/>
    <mergeCell ref="S29:S30"/>
    <mergeCell ref="C32:N32"/>
    <mergeCell ref="D33:E33"/>
    <mergeCell ref="D34:E34"/>
    <mergeCell ref="D35:E35"/>
    <mergeCell ref="D36:E36"/>
    <mergeCell ref="R22:W22"/>
    <mergeCell ref="C4:L4"/>
    <mergeCell ref="C5:L5"/>
    <mergeCell ref="R8:S8"/>
    <mergeCell ref="R9:S9"/>
    <mergeCell ref="R10:S10"/>
    <mergeCell ref="R11:S11"/>
    <mergeCell ref="C13:L13"/>
    <mergeCell ref="R16:W16"/>
    <mergeCell ref="K18:K20"/>
    <mergeCell ref="L18:L20"/>
    <mergeCell ref="J21:K21"/>
  </mergeCells>
  <conditionalFormatting sqref="D44:D48 F44:J47">
    <cfRule type="expression" dxfId="14" priority="14">
      <formula>$R$8="Não"</formula>
    </cfRule>
  </conditionalFormatting>
  <conditionalFormatting sqref="D45">
    <cfRule type="expression" dxfId="13" priority="10">
      <formula>$V$8="Não"</formula>
    </cfRule>
    <cfRule type="expression" dxfId="12" priority="11">
      <formula>$V$8="Não"</formula>
    </cfRule>
  </conditionalFormatting>
  <conditionalFormatting sqref="D40:N40 K41:N41 D41:D48 F42:N48 D49:N50 E51:N51 D52:N71 E72:N73 D72:D75 M95:O95">
    <cfRule type="expression" dxfId="11" priority="1">
      <formula>$R$6="Não"</formula>
    </cfRule>
  </conditionalFormatting>
  <conditionalFormatting sqref="F44:J47 D44:D48">
    <cfRule type="expression" dxfId="10" priority="15">
      <formula>$R$8="Não"</formula>
    </cfRule>
  </conditionalFormatting>
  <conditionalFormatting sqref="J25:N25">
    <cfRule type="expression" dxfId="9" priority="7">
      <formula>$R$4="Honorários sucumbenciais"</formula>
    </cfRule>
    <cfRule type="expression" dxfId="8" priority="12">
      <formula>$V$8="Não"</formula>
    </cfRule>
  </conditionalFormatting>
  <conditionalFormatting sqref="J27:N27">
    <cfRule type="expression" dxfId="7" priority="4">
      <formula>$R$4="Honorários contratuais"</formula>
    </cfRule>
  </conditionalFormatting>
  <conditionalFormatting sqref="J27:N29">
    <cfRule type="expression" dxfId="6" priority="13">
      <formula>$R$8="Não"</formula>
    </cfRule>
  </conditionalFormatting>
  <conditionalFormatting sqref="K29:N29">
    <cfRule type="expression" dxfId="5" priority="8">
      <formula>$R$5="Sim"</formula>
    </cfRule>
    <cfRule type="expression" dxfId="4" priority="9">
      <formula>$V$8="Sim"</formula>
    </cfRule>
  </conditionalFormatting>
  <conditionalFormatting sqref="M25">
    <cfRule type="expression" dxfId="3" priority="6">
      <formula>$R$4="Honorários sucumbenciais"</formula>
    </cfRule>
  </conditionalFormatting>
  <conditionalFormatting sqref="M27">
    <cfRule type="expression" dxfId="2" priority="3">
      <formula>$R$4="Honorários contratuais"</formula>
    </cfRule>
  </conditionalFormatting>
  <conditionalFormatting sqref="N25">
    <cfRule type="expression" dxfId="1" priority="5">
      <formula>$R$4="Honorários sucumbenciais"</formula>
    </cfRule>
  </conditionalFormatting>
  <conditionalFormatting sqref="N27">
    <cfRule type="expression" dxfId="0" priority="2">
      <formula>$R$4="Honorários contratuais"</formula>
    </cfRule>
  </conditionalFormatting>
  <dataValidations count="3">
    <dataValidation type="list" allowBlank="1" showInputMessage="1" showErrorMessage="1" sqref="S61 U73" xr:uid="{EBABB9F8-93E1-4B10-9B19-8BF54F6BF7C4}">
      <formula1>"Sim,Não"</formula1>
    </dataValidation>
    <dataValidation type="list" allowBlank="1" showInputMessage="1" showErrorMessage="1" sqref="V11:W12 R12:S12" xr:uid="{D1F6A58A-43E7-46B5-BD17-0DF798CA76C5}">
      <formula1>"CNPJ,CPF,NÃO"</formula1>
    </dataValidation>
    <dataValidation type="list" allowBlank="1" showInputMessage="1" showErrorMessage="1" sqref="R8 V8 R5:R6 R10" xr:uid="{5024DD23-EA98-40F3-8B71-D29A5FE7D139}">
      <formula1>"Sim,Não,"</formula1>
    </dataValidation>
  </dataValidations>
  <pageMargins left="0.7" right="0.7" top="0.75" bottom="0.75" header="0.3" footer="0.3"/>
  <pageSetup paperSize="9" scale="20" orientation="portrait" r:id="rId1"/>
  <colBreaks count="1" manualBreakCount="1">
    <brk id="14" max="1048575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  <mc:AlternateContent xmlns:mc="http://schemas.openxmlformats.org/markup-compatibility/2006">
      <mc:Choice Requires="x14">
        <oleObject progId="Word.Picture.8" shapeId="1026" r:id="rId6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6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1]!LimparCálculos">
                <anchor moveWithCells="1" sizeWithCells="1">
                  <from>
                    <xdr:col>17</xdr:col>
                    <xdr:colOff>1447800</xdr:colOff>
                    <xdr:row>1</xdr:row>
                    <xdr:rowOff>123825</xdr:rowOff>
                  </from>
                  <to>
                    <xdr:col>17</xdr:col>
                    <xdr:colOff>3143250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LimparCálculos">
                <anchor moveWithCells="1" sizeWithCells="1">
                  <from>
                    <xdr:col>16</xdr:col>
                    <xdr:colOff>66675</xdr:colOff>
                    <xdr:row>43</xdr:row>
                    <xdr:rowOff>28575</xdr:rowOff>
                  </from>
                  <to>
                    <xdr:col>16</xdr:col>
                    <xdr:colOff>1762125</xdr:colOff>
                    <xdr:row>44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PREFERENCIA SINDIFAZ</vt:lpstr>
      <vt:lpstr>aliquotaprevidencia</vt:lpstr>
      <vt:lpstr>'PREFERENCIA SINDIFAZ'!Area_de_impressao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2025-02-22T10:11:38Z</dcterms:modified>
</cp:coreProperties>
</file>