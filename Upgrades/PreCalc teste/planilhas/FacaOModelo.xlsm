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abriel\Downloads\PreCalc\planilhas\"/>
    </mc:Choice>
  </mc:AlternateContent>
  <xr:revisionPtr revIDLastSave="0" documentId="13_ncr:1_{C9BCF1DB-FF1B-4635-9A9D-54F5F018C85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FAÇA O MODELO" sheetId="1" r:id="rId1"/>
  </sheets>
  <functionGroups builtInGroupCount="19"/>
  <externalReferences>
    <externalReference r:id="rId2"/>
  </externalReferences>
  <definedNames>
    <definedName name="_xlnm.Print_Area" localSheetId="0">'FAÇA O MODELO'!$A$1:$O$128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20" i="1" l="1"/>
  <c r="AC20" i="1"/>
  <c r="E16" i="1"/>
  <c r="R18" i="1" s="1"/>
  <c r="E15" i="1"/>
  <c r="R17" i="1" s="1"/>
  <c r="E14" i="1"/>
  <c r="AE10" i="1" s="1"/>
  <c r="E11" i="1"/>
  <c r="E10" i="1"/>
  <c r="E9" i="1"/>
  <c r="E8" i="1"/>
  <c r="J9" i="1" s="1"/>
  <c r="E7" i="1"/>
  <c r="S54" i="1"/>
  <c r="U30" i="1"/>
  <c r="W30" i="1" s="1"/>
  <c r="R28" i="1"/>
  <c r="AE20" i="1"/>
  <c r="AF21" i="1" s="1"/>
  <c r="AD20" i="1"/>
  <c r="AD21" i="1" s="1"/>
  <c r="T17" i="1"/>
  <c r="AD13" i="1"/>
  <c r="AD14" i="1" s="1"/>
  <c r="R19" i="1" l="1"/>
  <c r="AC21" i="1"/>
  <c r="G16" i="1"/>
  <c r="S18" i="1" s="1"/>
  <c r="AF10" i="1"/>
  <c r="AF11" i="1" s="1"/>
  <c r="AG10" i="1" s="1"/>
  <c r="AD10" i="1"/>
  <c r="E17" i="1"/>
  <c r="R20" i="1" s="1"/>
  <c r="G15" i="1"/>
  <c r="AC10" i="1" l="1"/>
  <c r="AC11" i="1" s="1"/>
  <c r="I16" i="1"/>
  <c r="R31" i="1"/>
  <c r="S17" i="1"/>
  <c r="S19" i="1" s="1"/>
  <c r="J15" i="1"/>
  <c r="G17" i="1"/>
  <c r="S20" i="1" l="1"/>
  <c r="U17" i="1"/>
  <c r="L15" i="1"/>
  <c r="T18" i="1"/>
  <c r="T19" i="1" s="1"/>
  <c r="I17" i="1"/>
  <c r="J16" i="1"/>
  <c r="T31" i="1"/>
  <c r="T20" i="1" l="1"/>
  <c r="L16" i="1"/>
  <c r="V18" i="1" s="1"/>
  <c r="U18" i="1"/>
  <c r="J17" i="1"/>
  <c r="V17" i="1"/>
  <c r="V19" i="1" s="1"/>
  <c r="L17" i="1"/>
  <c r="U19" i="1"/>
  <c r="U20" i="1" s="1"/>
  <c r="W17" i="1" l="1"/>
  <c r="L18" i="1"/>
  <c r="W18" i="1" s="1"/>
  <c r="V20" i="1"/>
  <c r="L19" i="1" l="1"/>
  <c r="W19" i="1"/>
  <c r="W20" i="1" l="1"/>
  <c r="R30" i="1"/>
  <c r="V31" i="1"/>
  <c r="T33" i="1" l="1"/>
  <c r="S59" i="1"/>
  <c r="S38" i="1"/>
  <c r="T30" i="1"/>
  <c r="S31" i="1"/>
  <c r="V30" i="1" l="1"/>
  <c r="W31" i="1" s="1"/>
  <c r="U31" i="1"/>
  <c r="S40" i="1" s="1"/>
  <c r="S39" i="1"/>
  <c r="T45" i="1"/>
  <c r="T34" i="1" l="1"/>
  <c r="S41" i="1"/>
  <c r="S60" i="1"/>
  <c r="T61" i="1" s="1"/>
  <c r="T49" i="1"/>
  <c r="T39" i="1"/>
  <c r="T40" i="1"/>
  <c r="U40" i="1"/>
  <c r="T41" i="1" l="1"/>
  <c r="U39" i="1"/>
  <c r="Z93" i="1"/>
  <c r="U71" i="1"/>
  <c r="T75" i="1" s="1"/>
  <c r="T53" i="1" l="1"/>
  <c r="T54" i="1" s="1"/>
  <c r="T55" i="1" s="1"/>
  <c r="U69" i="1" s="1"/>
  <c r="U64" i="1"/>
  <c r="U68" i="1" s="1"/>
  <c r="U41" i="1"/>
  <c r="U70" i="1" l="1"/>
  <c r="U72" i="1" s="1"/>
  <c r="U73" i="1" l="1"/>
  <c r="U74" i="1" s="1"/>
  <c r="U75" i="1" s="1"/>
</calcChain>
</file>

<file path=xl/sharedStrings.xml><?xml version="1.0" encoding="utf-8"?>
<sst xmlns="http://schemas.openxmlformats.org/spreadsheetml/2006/main" count="66" uniqueCount="61">
  <si>
    <t>TRIBUNAL DE JUSTIÇA DO ESTADO DO PIAUÍ</t>
  </si>
  <si>
    <t xml:space="preserve">COORDENADORIA DE PRECATÓRIOS  </t>
  </si>
  <si>
    <t>PRECATÓRIO Nº:</t>
  </si>
  <si>
    <t>P. ORÇAMENTO</t>
  </si>
  <si>
    <t>PROTOCOLO:</t>
  </si>
  <si>
    <t>Período de graça constitucional</t>
  </si>
  <si>
    <t>EXEQUENTE:</t>
  </si>
  <si>
    <t>EXECUTADO:</t>
  </si>
  <si>
    <t>MEMÓRIA DE CÁLCULO</t>
  </si>
  <si>
    <t>Mês/Ano:</t>
  </si>
  <si>
    <t>Índice de Correção</t>
  </si>
  <si>
    <t>Valor Atualizado em Dezembro/2021</t>
  </si>
  <si>
    <t>Juros (%)</t>
  </si>
  <si>
    <t>Valor Juros</t>
  </si>
  <si>
    <t>Valor Atualizado com Juros  Dezembro/2021</t>
  </si>
  <si>
    <t xml:space="preserve">Índice de Atualização </t>
  </si>
  <si>
    <t>Valor Atualizado com Juros NOVEMBRO/2024</t>
  </si>
  <si>
    <t>PRINCIPAL</t>
  </si>
  <si>
    <t>-</t>
  </si>
  <si>
    <t>JUROS</t>
  </si>
  <si>
    <t xml:space="preserve">*verificação </t>
  </si>
  <si>
    <t>TOTAL (a)</t>
  </si>
  <si>
    <t>Selic acumulada- Dezembro/2021 até Novembro/2024</t>
  </si>
  <si>
    <t>Valor Total Devido em NOVEMBRO/2024</t>
  </si>
  <si>
    <t>valor atualizado</t>
  </si>
  <si>
    <t>juros</t>
  </si>
  <si>
    <t>SELIC</t>
  </si>
  <si>
    <t>VERIFICAÇÃO:</t>
  </si>
  <si>
    <t>Para Pagamento</t>
  </si>
  <si>
    <t>INCORPORANDO A SELIC</t>
  </si>
  <si>
    <t>Principal atualizado</t>
  </si>
  <si>
    <t>Principal com Selic</t>
  </si>
  <si>
    <t>Juros atualizado</t>
  </si>
  <si>
    <t>Juros com Selic</t>
  </si>
  <si>
    <t>Selic</t>
  </si>
  <si>
    <t>Total com Selic</t>
  </si>
  <si>
    <t>DIVISÃO PAGAMENTO</t>
  </si>
  <si>
    <t>VALOR A PAGAR.</t>
  </si>
  <si>
    <t>(-) HONORÁRIOS CONTRATUAIS</t>
  </si>
  <si>
    <t>(-) HONORÁRIOS Sucumbencia</t>
  </si>
  <si>
    <t>(-) Pagamento</t>
  </si>
  <si>
    <t>VALOR EXEQUENTE</t>
  </si>
  <si>
    <t>PREVIDENCIA</t>
  </si>
  <si>
    <t>Sim</t>
  </si>
  <si>
    <t>*informar aliquota</t>
  </si>
  <si>
    <t>BC</t>
  </si>
  <si>
    <t>Valor Devido</t>
  </si>
  <si>
    <t>RRA</t>
  </si>
  <si>
    <t>x</t>
  </si>
  <si>
    <t>Imposto de renda</t>
  </si>
  <si>
    <t>VALOR A PAGAR</t>
  </si>
  <si>
    <t>(-) PARCEL. PREF paga atualizada</t>
  </si>
  <si>
    <t>(-) PARCE. HONORÁRIOS CONTRATUAIS</t>
  </si>
  <si>
    <t>(-) OUTRAS DEDUÇÕES</t>
  </si>
  <si>
    <t>BC SEM HONORÁRIOS E OUTRAS DEDUÇÕES</t>
  </si>
  <si>
    <t>(-) Prev.</t>
  </si>
  <si>
    <t>BC SEM PREVIDÊNCIA</t>
  </si>
  <si>
    <t>BC/MÊS</t>
  </si>
  <si>
    <t>ALIQOTA</t>
  </si>
  <si>
    <t>IR MENSAL</t>
  </si>
  <si>
    <t xml:space="preserve">TOTAL A SER RECOLHIDO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</si>
</sst>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0.000000%"/>
    <numFmt numFmtId="165" formatCode="#,##0.0000000"/>
    <numFmt numFmtId="166" formatCode="[$R$-416]&quot; &quot;#,##0.00;[Red]&quot;-&quot;[$R$-416]&quot; &quot;#,##0.00"/>
    <numFmt numFmtId="167" formatCode="mm/yy"/>
    <numFmt numFmtId="168" formatCode="0.00000"/>
    <numFmt numFmtId="169" formatCode="0.0000"/>
    <numFmt numFmtId="170" formatCode="0.0000000"/>
    <numFmt numFmtId="171" formatCode="&quot;R$&quot;\ #,##0.00"/>
    <numFmt numFmtId="172" formatCode="[$R$-416]\ #,##0.00;[Red][$R$-416]\ #,##0.00"/>
    <numFmt numFmtId="173" formatCode="[$-416]0.00%"/>
    <numFmt numFmtId="174" formatCode="_-[$R$-416]\ * #,##0.00_-;\-[$R$-416]\ * #,##0.00_-;_-[$R$-416]\ * &quot;-&quot;??_-;_-@_-"/>
    <numFmt numFmtId="175" formatCode="[$-416]General"/>
    <numFmt numFmtId="176" formatCode="#,##0.000&quot; &quot;;&quot;-&quot;#,##0.000&quot; &quot;;&quot;-&quot;00.0&quot; &quot;;@&quot; &quot;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6"/>
      <color rgb="FF000000"/>
      <name val="Verdana"/>
      <family val="2"/>
    </font>
    <font>
      <b/>
      <sz val="18"/>
      <color rgb="FF000000"/>
      <name val="Verdana3"/>
    </font>
    <font>
      <b/>
      <sz val="18"/>
      <color rgb="FF000000"/>
      <name val="Verdana11"/>
    </font>
    <font>
      <sz val="18"/>
      <color rgb="FF000000"/>
      <name val="Calibri"/>
      <family val="2"/>
    </font>
    <font>
      <b/>
      <sz val="18"/>
      <color rgb="FFFF0000"/>
      <name val="Verdana3"/>
    </font>
    <font>
      <sz val="18"/>
      <color rgb="FF000000"/>
      <name val="Verdana11"/>
    </font>
    <font>
      <b/>
      <sz val="18"/>
      <color rgb="FF000000"/>
      <name val="Calibri"/>
      <family val="2"/>
    </font>
    <font>
      <b/>
      <sz val="18"/>
      <color rgb="FFFFFFCC"/>
      <name val="Verdana11"/>
    </font>
    <font>
      <sz val="18"/>
      <color rgb="FFFF0000"/>
      <name val="Verdana11"/>
    </font>
    <font>
      <sz val="18"/>
      <color rgb="FFFFFFCC"/>
      <name val="Calibri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  <fill>
      <patternFill patternType="solid">
        <fgColor rgb="FFFFFF00"/>
        <bgColor rgb="FFFFFF0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0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4" fontId="3" fillId="2" borderId="0" xfId="0" applyNumberFormat="1" applyFont="1" applyFill="1" applyAlignment="1">
      <alignment horizontal="center"/>
    </xf>
    <xf numFmtId="4" fontId="3" fillId="2" borderId="0" xfId="0" applyNumberFormat="1" applyFont="1" applyFill="1"/>
    <xf numFmtId="0" fontId="3" fillId="3" borderId="0" xfId="0" applyFont="1" applyFill="1"/>
    <xf numFmtId="0" fontId="3" fillId="0" borderId="0" xfId="0" applyFont="1"/>
    <xf numFmtId="4" fontId="3" fillId="0" borderId="0" xfId="0" applyNumberFormat="1" applyFont="1" applyAlignment="1">
      <alignment horizontal="center"/>
    </xf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0" xfId="0" applyFont="1" applyFill="1"/>
    <xf numFmtId="4" fontId="7" fillId="2" borderId="0" xfId="0" applyNumberFormat="1" applyFont="1" applyFill="1" applyAlignment="1">
      <alignment horizontal="center"/>
    </xf>
    <xf numFmtId="0" fontId="8" fillId="2" borderId="0" xfId="0" applyFont="1" applyFill="1"/>
    <xf numFmtId="0" fontId="9" fillId="2" borderId="0" xfId="0" applyFont="1" applyFill="1" applyAlignment="1">
      <alignment horizontal="left" vertical="center"/>
    </xf>
    <xf numFmtId="0" fontId="8" fillId="2" borderId="0" xfId="0" applyFont="1" applyFill="1" applyAlignment="1">
      <alignment horizontal="center"/>
    </xf>
    <xf numFmtId="0" fontId="5" fillId="2" borderId="0" xfId="0" applyFont="1" applyFill="1" applyAlignment="1">
      <alignment wrapText="1"/>
    </xf>
    <xf numFmtId="14" fontId="9" fillId="0" borderId="0" xfId="0" applyNumberFormat="1" applyFont="1" applyAlignment="1">
      <alignment horizontal="left" vertical="center"/>
    </xf>
    <xf numFmtId="14" fontId="8" fillId="2" borderId="0" xfId="0" applyNumberFormat="1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10" fillId="2" borderId="1" xfId="0" applyFont="1" applyFill="1" applyBorder="1" applyAlignment="1">
      <alignment horizontal="left" wrapText="1"/>
    </xf>
    <xf numFmtId="164" fontId="10" fillId="2" borderId="1" xfId="0" applyNumberFormat="1" applyFont="1" applyFill="1" applyBorder="1" applyAlignment="1">
      <alignment horizontal="left" vertical="center" wrapText="1"/>
    </xf>
    <xf numFmtId="165" fontId="3" fillId="2" borderId="0" xfId="0" applyNumberFormat="1" applyFont="1" applyFill="1"/>
    <xf numFmtId="0" fontId="8" fillId="2" borderId="0" xfId="0" applyFont="1" applyFill="1" applyAlignment="1">
      <alignment horizontal="left" vertical="center"/>
    </xf>
    <xf numFmtId="0" fontId="8" fillId="0" borderId="0" xfId="0" applyFont="1" applyAlignment="1">
      <alignment horizontal="center"/>
    </xf>
    <xf numFmtId="166" fontId="3" fillId="0" borderId="0" xfId="0" applyNumberFormat="1" applyFont="1"/>
    <xf numFmtId="0" fontId="11" fillId="4" borderId="2" xfId="0" applyFont="1" applyFill="1" applyBorder="1" applyAlignment="1">
      <alignment horizontal="center" wrapText="1"/>
    </xf>
    <xf numFmtId="167" fontId="11" fillId="0" borderId="2" xfId="0" applyNumberFormat="1" applyFont="1" applyBorder="1" applyAlignment="1">
      <alignment horizontal="center" wrapText="1"/>
    </xf>
    <xf numFmtId="4" fontId="9" fillId="0" borderId="2" xfId="0" applyNumberFormat="1" applyFont="1" applyBorder="1" applyAlignment="1">
      <alignment horizontal="right"/>
    </xf>
    <xf numFmtId="168" fontId="9" fillId="0" borderId="2" xfId="0" applyNumberFormat="1" applyFont="1" applyBorder="1"/>
    <xf numFmtId="0" fontId="3" fillId="0" borderId="0" xfId="0" applyFont="1" applyAlignment="1">
      <alignment horizontal="center"/>
    </xf>
    <xf numFmtId="169" fontId="9" fillId="0" borderId="2" xfId="0" applyNumberFormat="1" applyFont="1" applyBorder="1" applyAlignment="1">
      <alignment horizontal="center" wrapText="1"/>
    </xf>
    <xf numFmtId="164" fontId="9" fillId="0" borderId="2" xfId="0" applyNumberFormat="1" applyFont="1" applyBorder="1"/>
    <xf numFmtId="0" fontId="11" fillId="6" borderId="2" xfId="0" applyFont="1" applyFill="1" applyBorder="1" applyAlignment="1">
      <alignment horizontal="center" wrapText="1"/>
    </xf>
    <xf numFmtId="166" fontId="11" fillId="6" borderId="2" xfId="0" applyNumberFormat="1" applyFont="1" applyFill="1" applyBorder="1" applyAlignment="1">
      <alignment horizontal="right"/>
    </xf>
    <xf numFmtId="170" fontId="11" fillId="6" borderId="2" xfId="0" applyNumberFormat="1" applyFont="1" applyFill="1" applyBorder="1" applyAlignment="1">
      <alignment horizontal="center" wrapText="1"/>
    </xf>
    <xf numFmtId="166" fontId="11" fillId="6" borderId="2" xfId="0" applyNumberFormat="1" applyFont="1" applyFill="1" applyBorder="1" applyAlignment="1">
      <alignment horizontal="center"/>
    </xf>
    <xf numFmtId="166" fontId="11" fillId="6" borderId="4" xfId="0" applyNumberFormat="1" applyFont="1" applyFill="1" applyBorder="1" applyAlignment="1">
      <alignment horizontal="right"/>
    </xf>
    <xf numFmtId="170" fontId="11" fillId="6" borderId="4" xfId="0" applyNumberFormat="1" applyFont="1" applyFill="1" applyBorder="1" applyAlignment="1">
      <alignment horizontal="center" wrapText="1"/>
    </xf>
    <xf numFmtId="166" fontId="3" fillId="3" borderId="0" xfId="0" applyNumberFormat="1" applyFont="1" applyFill="1"/>
    <xf numFmtId="4" fontId="3" fillId="5" borderId="5" xfId="0" applyNumberFormat="1" applyFont="1" applyFill="1" applyBorder="1" applyAlignment="1">
      <alignment horizontal="center"/>
    </xf>
    <xf numFmtId="4" fontId="3" fillId="5" borderId="0" xfId="0" applyNumberFormat="1" applyFont="1" applyFill="1" applyAlignment="1">
      <alignment horizontal="center"/>
    </xf>
    <xf numFmtId="4" fontId="3" fillId="5" borderId="6" xfId="0" applyNumberFormat="1" applyFont="1" applyFill="1" applyBorder="1" applyAlignment="1">
      <alignment horizontal="center"/>
    </xf>
    <xf numFmtId="4" fontId="3" fillId="5" borderId="7" xfId="0" applyNumberFormat="1" applyFont="1" applyFill="1" applyBorder="1" applyAlignment="1">
      <alignment horizontal="center"/>
    </xf>
    <xf numFmtId="166" fontId="8" fillId="2" borderId="0" xfId="0" applyNumberFormat="1" applyFont="1" applyFill="1" applyAlignment="1">
      <alignment horizontal="center"/>
    </xf>
    <xf numFmtId="0" fontId="8" fillId="2" borderId="1" xfId="0" applyFont="1" applyFill="1" applyBorder="1" applyAlignment="1">
      <alignment horizontal="center" wrapText="1"/>
    </xf>
    <xf numFmtId="10" fontId="3" fillId="2" borderId="1" xfId="0" applyNumberFormat="1" applyFont="1" applyFill="1" applyBorder="1"/>
    <xf numFmtId="4" fontId="3" fillId="2" borderId="1" xfId="0" applyNumberFormat="1" applyFont="1" applyFill="1" applyBorder="1" applyAlignment="1">
      <alignment horizontal="center"/>
    </xf>
    <xf numFmtId="171" fontId="7" fillId="7" borderId="1" xfId="0" applyNumberFormat="1" applyFont="1" applyFill="1" applyBorder="1" applyAlignment="1">
      <alignment horizontal="right"/>
    </xf>
    <xf numFmtId="4" fontId="3" fillId="5" borderId="8" xfId="0" applyNumberFormat="1" applyFont="1" applyFill="1" applyBorder="1" applyAlignment="1">
      <alignment horizontal="center"/>
    </xf>
    <xf numFmtId="0" fontId="11" fillId="2" borderId="0" xfId="0" applyFont="1" applyFill="1"/>
    <xf numFmtId="172" fontId="3" fillId="5" borderId="9" xfId="0" applyNumberFormat="1" applyFont="1" applyFill="1" applyBorder="1" applyAlignment="1">
      <alignment horizontal="center" vertical="center"/>
    </xf>
    <xf numFmtId="172" fontId="3" fillId="5" borderId="10" xfId="0" applyNumberFormat="1" applyFont="1" applyFill="1" applyBorder="1" applyAlignment="1">
      <alignment horizontal="center" vertical="center"/>
    </xf>
    <xf numFmtId="172" fontId="3" fillId="5" borderId="8" xfId="0" applyNumberFormat="1" applyFont="1" applyFill="1" applyBorder="1" applyAlignment="1">
      <alignment horizontal="center" vertical="center"/>
    </xf>
    <xf numFmtId="172" fontId="3" fillId="5" borderId="11" xfId="0" applyNumberFormat="1" applyFont="1" applyFill="1" applyBorder="1" applyAlignment="1">
      <alignment horizontal="center" vertical="center"/>
    </xf>
    <xf numFmtId="172" fontId="3" fillId="3" borderId="0" xfId="0" applyNumberFormat="1" applyFont="1" applyFill="1"/>
    <xf numFmtId="172" fontId="3" fillId="2" borderId="0" xfId="0" applyNumberFormat="1" applyFont="1" applyFill="1"/>
    <xf numFmtId="0" fontId="13" fillId="3" borderId="0" xfId="0" applyFont="1" applyFill="1"/>
    <xf numFmtId="166" fontId="11" fillId="8" borderId="5" xfId="0" applyNumberFormat="1" applyFont="1" applyFill="1" applyBorder="1"/>
    <xf numFmtId="173" fontId="11" fillId="8" borderId="0" xfId="0" applyNumberFormat="1" applyFont="1" applyFill="1"/>
    <xf numFmtId="166" fontId="11" fillId="8" borderId="0" xfId="0" applyNumberFormat="1" applyFont="1" applyFill="1"/>
    <xf numFmtId="10" fontId="11" fillId="8" borderId="0" xfId="0" applyNumberFormat="1" applyFont="1" applyFill="1"/>
    <xf numFmtId="10" fontId="11" fillId="8" borderId="7" xfId="0" applyNumberFormat="1" applyFont="1" applyFill="1" applyBorder="1"/>
    <xf numFmtId="166" fontId="11" fillId="3" borderId="14" xfId="0" applyNumberFormat="1" applyFont="1" applyFill="1" applyBorder="1"/>
    <xf numFmtId="10" fontId="11" fillId="3" borderId="8" xfId="0" applyNumberFormat="1" applyFont="1" applyFill="1" applyBorder="1"/>
    <xf numFmtId="166" fontId="11" fillId="3" borderId="8" xfId="0" applyNumberFormat="1" applyFont="1" applyFill="1" applyBorder="1"/>
    <xf numFmtId="10" fontId="11" fillId="3" borderId="15" xfId="0" applyNumberFormat="1" applyFont="1" applyFill="1" applyBorder="1" applyAlignment="1">
      <alignment vertical="center"/>
    </xf>
    <xf numFmtId="10" fontId="3" fillId="3" borderId="0" xfId="0" applyNumberFormat="1" applyFont="1" applyFill="1"/>
    <xf numFmtId="166" fontId="11" fillId="3" borderId="0" xfId="0" applyNumberFormat="1" applyFont="1" applyFill="1"/>
    <xf numFmtId="10" fontId="11" fillId="3" borderId="0" xfId="0" applyNumberFormat="1" applyFont="1" applyFill="1"/>
    <xf numFmtId="166" fontId="15" fillId="9" borderId="0" xfId="0" applyNumberFormat="1" applyFont="1" applyFill="1" applyAlignment="1">
      <alignment horizontal="center" vertical="center"/>
    </xf>
    <xf numFmtId="10" fontId="15" fillId="9" borderId="0" xfId="2" applyNumberFormat="1" applyFont="1" applyFill="1" applyAlignment="1">
      <alignment horizontal="center"/>
    </xf>
    <xf numFmtId="166" fontId="11" fillId="3" borderId="0" xfId="0" applyNumberFormat="1" applyFont="1" applyFill="1" applyAlignment="1">
      <alignment wrapText="1"/>
    </xf>
    <xf numFmtId="174" fontId="11" fillId="3" borderId="0" xfId="0" applyNumberFormat="1" applyFont="1" applyFill="1"/>
    <xf numFmtId="0" fontId="12" fillId="10" borderId="0" xfId="0" applyFont="1" applyFill="1"/>
    <xf numFmtId="166" fontId="12" fillId="10" borderId="0" xfId="0" applyNumberFormat="1" applyFont="1" applyFill="1" applyAlignment="1">
      <alignment horizontal="center"/>
    </xf>
    <xf numFmtId="0" fontId="15" fillId="10" borderId="0" xfId="0" applyFont="1" applyFill="1"/>
    <xf numFmtId="166" fontId="15" fillId="10" borderId="0" xfId="0" applyNumberFormat="1" applyFont="1" applyFill="1" applyAlignment="1">
      <alignment horizontal="center"/>
    </xf>
    <xf numFmtId="166" fontId="11" fillId="11" borderId="0" xfId="0" applyNumberFormat="1" applyFont="1" applyFill="1"/>
    <xf numFmtId="166" fontId="16" fillId="11" borderId="12" xfId="0" applyNumberFormat="1" applyFont="1" applyFill="1" applyBorder="1" applyAlignment="1">
      <alignment horizontal="center"/>
    </xf>
    <xf numFmtId="0" fontId="16" fillId="11" borderId="13" xfId="0" applyFont="1" applyFill="1" applyBorder="1"/>
    <xf numFmtId="2" fontId="13" fillId="3" borderId="0" xfId="0" applyNumberFormat="1" applyFont="1" applyFill="1"/>
    <xf numFmtId="166" fontId="5" fillId="2" borderId="0" xfId="0" applyNumberFormat="1" applyFont="1" applyFill="1" applyAlignment="1">
      <alignment horizontal="left"/>
    </xf>
    <xf numFmtId="166" fontId="16" fillId="11" borderId="5" xfId="0" applyNumberFormat="1" applyFont="1" applyFill="1" applyBorder="1" applyAlignment="1">
      <alignment horizontal="center"/>
    </xf>
    <xf numFmtId="0" fontId="16" fillId="11" borderId="7" xfId="0" applyFont="1" applyFill="1" applyBorder="1" applyAlignment="1">
      <alignment horizontal="left"/>
    </xf>
    <xf numFmtId="166" fontId="3" fillId="11" borderId="0" xfId="0" applyNumberFormat="1" applyFont="1" applyFill="1"/>
    <xf numFmtId="166" fontId="16" fillId="11" borderId="1" xfId="0" applyNumberFormat="1" applyFont="1" applyFill="1" applyBorder="1" applyAlignment="1">
      <alignment horizontal="center" vertical="center"/>
    </xf>
    <xf numFmtId="0" fontId="16" fillId="11" borderId="1" xfId="0" applyFont="1" applyFill="1" applyBorder="1" applyAlignment="1">
      <alignment horizontal="center" vertical="center"/>
    </xf>
    <xf numFmtId="0" fontId="15" fillId="11" borderId="12" xfId="0" applyFont="1" applyFill="1" applyBorder="1" applyAlignment="1">
      <alignment horizontal="left" vertical="center"/>
    </xf>
    <xf numFmtId="166" fontId="3" fillId="11" borderId="13" xfId="0" applyNumberFormat="1" applyFont="1" applyFill="1" applyBorder="1" applyAlignment="1">
      <alignment vertical="center"/>
    </xf>
    <xf numFmtId="0" fontId="15" fillId="11" borderId="5" xfId="0" applyFont="1" applyFill="1" applyBorder="1" applyAlignment="1">
      <alignment horizontal="left" vertical="center" wrapText="1"/>
    </xf>
    <xf numFmtId="166" fontId="3" fillId="11" borderId="7" xfId="0" applyNumberFormat="1" applyFont="1" applyFill="1" applyBorder="1" applyAlignment="1">
      <alignment horizontal="center" vertical="center" wrapText="1"/>
    </xf>
    <xf numFmtId="0" fontId="15" fillId="11" borderId="5" xfId="0" applyFont="1" applyFill="1" applyBorder="1" applyAlignment="1">
      <alignment horizontal="left" wrapText="1"/>
    </xf>
    <xf numFmtId="0" fontId="15" fillId="11" borderId="14" xfId="0" applyFont="1" applyFill="1" applyBorder="1" applyAlignment="1">
      <alignment horizontal="left" vertical="center"/>
    </xf>
    <xf numFmtId="166" fontId="13" fillId="11" borderId="15" xfId="0" applyNumberFormat="1" applyFont="1" applyFill="1" applyBorder="1" applyAlignment="1">
      <alignment vertical="center"/>
    </xf>
    <xf numFmtId="0" fontId="13" fillId="2" borderId="0" xfId="0" applyFont="1" applyFill="1"/>
    <xf numFmtId="0" fontId="12" fillId="10" borderId="12" xfId="0" applyFont="1" applyFill="1" applyBorder="1" applyAlignment="1">
      <alignment horizontal="right"/>
    </xf>
    <xf numFmtId="0" fontId="17" fillId="12" borderId="13" xfId="0" applyFont="1" applyFill="1" applyBorder="1" applyAlignment="1">
      <alignment horizontal="center"/>
    </xf>
    <xf numFmtId="9" fontId="12" fillId="12" borderId="0" xfId="0" applyNumberFormat="1" applyFont="1" applyFill="1" applyAlignment="1">
      <alignment horizontal="center" vertical="center"/>
    </xf>
    <xf numFmtId="0" fontId="18" fillId="3" borderId="0" xfId="0" applyFont="1" applyFill="1" applyAlignment="1">
      <alignment vertical="center"/>
    </xf>
    <xf numFmtId="0" fontId="12" fillId="10" borderId="5" xfId="0" applyFont="1" applyFill="1" applyBorder="1" applyAlignment="1">
      <alignment horizontal="right"/>
    </xf>
    <xf numFmtId="166" fontId="12" fillId="10" borderId="7" xfId="0" applyNumberFormat="1" applyFont="1" applyFill="1" applyBorder="1"/>
    <xf numFmtId="0" fontId="12" fillId="10" borderId="14" xfId="0" applyFont="1" applyFill="1" applyBorder="1" applyAlignment="1">
      <alignment horizontal="right" wrapText="1"/>
    </xf>
    <xf numFmtId="166" fontId="12" fillId="10" borderId="15" xfId="0" applyNumberFormat="1" applyFont="1" applyFill="1" applyBorder="1"/>
    <xf numFmtId="0" fontId="15" fillId="3" borderId="0" xfId="0" applyFont="1" applyFill="1"/>
    <xf numFmtId="166" fontId="12" fillId="13" borderId="0" xfId="0" applyNumberFormat="1" applyFont="1" applyFill="1" applyAlignment="1">
      <alignment horizontal="center" vertical="center"/>
    </xf>
    <xf numFmtId="2" fontId="12" fillId="14" borderId="0" xfId="0" applyNumberFormat="1" applyFont="1" applyFill="1" applyAlignment="1">
      <alignment horizontal="center" vertical="center"/>
    </xf>
    <xf numFmtId="0" fontId="12" fillId="13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/>
    </xf>
    <xf numFmtId="0" fontId="12" fillId="13" borderId="0" xfId="0" applyFont="1" applyFill="1" applyAlignment="1">
      <alignment horizontal="center"/>
    </xf>
    <xf numFmtId="2" fontId="12" fillId="13" borderId="0" xfId="0" applyNumberFormat="1" applyFont="1" applyFill="1" applyAlignment="1">
      <alignment horizontal="center" vertical="center"/>
    </xf>
    <xf numFmtId="166" fontId="12" fillId="15" borderId="12" xfId="0" applyNumberFormat="1" applyFont="1" applyFill="1" applyBorder="1" applyAlignment="1">
      <alignment horizontal="center" vertical="center"/>
    </xf>
    <xf numFmtId="166" fontId="15" fillId="15" borderId="13" xfId="2" applyNumberFormat="1" applyFont="1" applyFill="1" applyBorder="1"/>
    <xf numFmtId="0" fontId="19" fillId="3" borderId="0" xfId="0" applyFont="1" applyFill="1"/>
    <xf numFmtId="166" fontId="12" fillId="15" borderId="14" xfId="0" applyNumberFormat="1" applyFont="1" applyFill="1" applyBorder="1" applyAlignment="1">
      <alignment horizontal="center" vertical="center" wrapText="1"/>
    </xf>
    <xf numFmtId="166" fontId="15" fillId="15" borderId="15" xfId="2" applyNumberFormat="1" applyFont="1" applyFill="1" applyBorder="1" applyAlignment="1">
      <alignment horizontal="right"/>
    </xf>
    <xf numFmtId="4" fontId="3" fillId="3" borderId="0" xfId="0" applyNumberFormat="1" applyFont="1" applyFill="1"/>
    <xf numFmtId="0" fontId="15" fillId="3" borderId="12" xfId="0" applyFont="1" applyFill="1" applyBorder="1"/>
    <xf numFmtId="0" fontId="15" fillId="3" borderId="6" xfId="0" applyFont="1" applyFill="1" applyBorder="1"/>
    <xf numFmtId="172" fontId="15" fillId="3" borderId="13" xfId="0" applyNumberFormat="1" applyFont="1" applyFill="1" applyBorder="1"/>
    <xf numFmtId="0" fontId="9" fillId="3" borderId="0" xfId="0" applyFont="1" applyFill="1"/>
    <xf numFmtId="0" fontId="15" fillId="3" borderId="5" xfId="0" applyFont="1" applyFill="1" applyBorder="1"/>
    <xf numFmtId="166" fontId="15" fillId="3" borderId="7" xfId="0" applyNumberFormat="1" applyFont="1" applyFill="1" applyBorder="1"/>
    <xf numFmtId="0" fontId="16" fillId="3" borderId="5" xfId="0" applyFont="1" applyFill="1" applyBorder="1"/>
    <xf numFmtId="166" fontId="13" fillId="3" borderId="7" xfId="0" applyNumberFormat="1" applyFont="1" applyFill="1" applyBorder="1"/>
    <xf numFmtId="0" fontId="13" fillId="3" borderId="5" xfId="0" applyFont="1" applyFill="1" applyBorder="1"/>
    <xf numFmtId="166" fontId="13" fillId="3" borderId="0" xfId="0" applyNumberFormat="1" applyFont="1" applyFill="1"/>
    <xf numFmtId="0" fontId="12" fillId="17" borderId="5" xfId="0" applyFont="1" applyFill="1" applyBorder="1"/>
    <xf numFmtId="0" fontId="12" fillId="17" borderId="0" xfId="0" applyFont="1" applyFill="1"/>
    <xf numFmtId="166" fontId="12" fillId="17" borderId="7" xfId="0" applyNumberFormat="1" applyFont="1" applyFill="1" applyBorder="1"/>
    <xf numFmtId="166" fontId="15" fillId="3" borderId="0" xfId="0" applyNumberFormat="1" applyFont="1" applyFill="1"/>
    <xf numFmtId="175" fontId="15" fillId="3" borderId="7" xfId="0" applyNumberFormat="1" applyFont="1" applyFill="1" applyBorder="1"/>
    <xf numFmtId="4" fontId="3" fillId="2" borderId="0" xfId="0" applyNumberFormat="1" applyFont="1" applyFill="1" applyAlignment="1">
      <alignment horizontal="right"/>
    </xf>
    <xf numFmtId="166" fontId="9" fillId="3" borderId="0" xfId="0" applyNumberFormat="1" applyFont="1" applyFill="1"/>
    <xf numFmtId="10" fontId="15" fillId="3" borderId="7" xfId="2" applyNumberFormat="1" applyFont="1" applyFill="1" applyBorder="1"/>
    <xf numFmtId="0" fontId="15" fillId="3" borderId="14" xfId="0" applyFont="1" applyFill="1" applyBorder="1" applyAlignment="1">
      <alignment wrapText="1"/>
    </xf>
    <xf numFmtId="0" fontId="15" fillId="3" borderId="8" xfId="0" applyFont="1" applyFill="1" applyBorder="1"/>
    <xf numFmtId="166" fontId="15" fillId="3" borderId="15" xfId="0" applyNumberFormat="1" applyFont="1" applyFill="1" applyBorder="1"/>
    <xf numFmtId="43" fontId="13" fillId="3" borderId="0" xfId="1" applyFont="1" applyFill="1" applyAlignment="1">
      <alignment horizontal="center"/>
    </xf>
    <xf numFmtId="176" fontId="13" fillId="3" borderId="0" xfId="1" applyNumberFormat="1" applyFont="1" applyFill="1" applyAlignment="1">
      <alignment horizontal="center"/>
    </xf>
    <xf numFmtId="176" fontId="3" fillId="3" borderId="0" xfId="1" applyNumberFormat="1" applyFont="1" applyFill="1"/>
    <xf numFmtId="0" fontId="20" fillId="2" borderId="0" xfId="0" applyFont="1" applyFill="1" applyAlignment="1">
      <alignment horizontal="left"/>
    </xf>
    <xf numFmtId="0" fontId="5" fillId="2" borderId="0" xfId="0" applyFont="1" applyFill="1"/>
    <xf numFmtId="0" fontId="21" fillId="2" borderId="0" xfId="0" applyFont="1" applyFill="1"/>
    <xf numFmtId="0" fontId="6" fillId="0" borderId="0" xfId="0" applyFont="1"/>
    <xf numFmtId="4" fontId="3" fillId="0" borderId="0" xfId="0" applyNumberFormat="1" applyFont="1"/>
    <xf numFmtId="0" fontId="14" fillId="2" borderId="0" xfId="0" applyFont="1" applyFill="1" applyAlignment="1">
      <alignment horizontal="center"/>
    </xf>
    <xf numFmtId="10" fontId="11" fillId="9" borderId="0" xfId="0" applyNumberFormat="1" applyFont="1" applyFill="1" applyAlignment="1">
      <alignment horizontal="center" vertical="center"/>
    </xf>
    <xf numFmtId="166" fontId="11" fillId="11" borderId="0" xfId="0" applyNumberFormat="1" applyFont="1" applyFill="1" applyAlignment="1">
      <alignment horizontal="center" wrapText="1"/>
    </xf>
    <xf numFmtId="0" fontId="5" fillId="2" borderId="0" xfId="0" applyFont="1" applyFill="1" applyAlignment="1">
      <alignment horizontal="center" vertical="center"/>
    </xf>
    <xf numFmtId="166" fontId="12" fillId="5" borderId="1" xfId="0" applyNumberFormat="1" applyFont="1" applyFill="1" applyBorder="1" applyAlignment="1">
      <alignment horizontal="center" vertical="center"/>
    </xf>
    <xf numFmtId="166" fontId="12" fillId="5" borderId="3" xfId="0" applyNumberFormat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wrapText="1"/>
    </xf>
    <xf numFmtId="0" fontId="3" fillId="3" borderId="1" xfId="0" applyFont="1" applyFill="1" applyBorder="1" applyAlignment="1">
      <alignment horizontal="center"/>
    </xf>
    <xf numFmtId="10" fontId="11" fillId="3" borderId="1" xfId="0" applyNumberFormat="1" applyFont="1" applyFill="1" applyBorder="1" applyAlignment="1">
      <alignment horizontal="center"/>
    </xf>
    <xf numFmtId="0" fontId="12" fillId="13" borderId="1" xfId="0" applyFont="1" applyFill="1" applyBorder="1" applyAlignment="1">
      <alignment horizontal="center" vertical="center"/>
    </xf>
    <xf numFmtId="166" fontId="12" fillId="15" borderId="1" xfId="0" applyNumberFormat="1" applyFont="1" applyFill="1" applyBorder="1" applyAlignment="1">
      <alignment horizontal="center" vertical="center" wrapText="1"/>
    </xf>
    <xf numFmtId="166" fontId="17" fillId="16" borderId="1" xfId="0" applyNumberFormat="1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center" vertical="center"/>
    </xf>
    <xf numFmtId="0" fontId="12" fillId="8" borderId="6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</cellXfs>
  <cellStyles count="3">
    <cellStyle name="Normal" xfId="0" builtinId="0"/>
    <cellStyle name="Porcentagem" xfId="2" builtinId="5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1133475</xdr:colOff>
          <xdr:row>5</xdr:row>
          <xdr:rowOff>247650</xdr:rowOff>
        </xdr:from>
        <xdr:to>
          <xdr:col>16</xdr:col>
          <xdr:colOff>2828925</xdr:colOff>
          <xdr:row>8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reCalc.xlsm" TargetMode="External"/><Relationship Id="rId1" Type="http://schemas.openxmlformats.org/officeDocument/2006/relationships/externalLinkPath" Target="/Users/Gabriel/Downloads/PreCalc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  <sheetName val="PreCalc"/>
    </sheetNames>
    <definedNames>
      <definedName name="LimparCálculos"/>
    </definedNames>
    <sheetDataSet>
      <sheetData sheetId="0"/>
      <sheetData sheetId="1"/>
      <sheetData sheetId="2">
        <row r="8">
          <cell r="C8"/>
        </row>
        <row r="10">
          <cell r="C10" t="str">
            <v>Digite o orçamento</v>
          </cell>
        </row>
        <row r="12">
          <cell r="C12" t="str">
            <v>Digite a Data do Protocolo</v>
          </cell>
        </row>
        <row r="14">
          <cell r="C14" t="str">
            <v>Digite Nome do Exequente</v>
          </cell>
        </row>
        <row r="16">
          <cell r="C16" t="str">
            <v>Digite Nome do Executado</v>
          </cell>
        </row>
        <row r="18">
          <cell r="AD18" t="str">
            <v>Digite a Data do Cálculo Homologado</v>
          </cell>
          <cell r="AE18" t="str">
            <v>Digite a Data do Cálculo Homologado</v>
          </cell>
        </row>
        <row r="20">
          <cell r="C20"/>
        </row>
        <row r="22">
          <cell r="C22"/>
        </row>
      </sheetData>
      <sheetData sheetId="3">
        <row r="1">
          <cell r="D1">
            <v>1964</v>
          </cell>
          <cell r="E1">
            <v>1965</v>
          </cell>
          <cell r="F1">
            <v>1966</v>
          </cell>
          <cell r="G1">
            <v>1967</v>
          </cell>
          <cell r="H1">
            <v>1968</v>
          </cell>
          <cell r="I1">
            <v>1969</v>
          </cell>
          <cell r="J1">
            <v>1970</v>
          </cell>
          <cell r="K1">
            <v>1971</v>
          </cell>
          <cell r="L1">
            <v>1972</v>
          </cell>
          <cell r="M1">
            <v>1973</v>
          </cell>
          <cell r="N1">
            <v>1974</v>
          </cell>
          <cell r="O1">
            <v>1975</v>
          </cell>
          <cell r="P1">
            <v>1976</v>
          </cell>
          <cell r="Q1">
            <v>1977</v>
          </cell>
          <cell r="R1">
            <v>1978</v>
          </cell>
          <cell r="S1">
            <v>1979</v>
          </cell>
          <cell r="T1">
            <v>1980</v>
          </cell>
          <cell r="U1">
            <v>1981</v>
          </cell>
          <cell r="V1">
            <v>1982</v>
          </cell>
          <cell r="W1">
            <v>1983</v>
          </cell>
          <cell r="X1">
            <v>1984</v>
          </cell>
          <cell r="Y1">
            <v>1985</v>
          </cell>
          <cell r="Z1">
            <v>1986</v>
          </cell>
          <cell r="AA1">
            <v>1987</v>
          </cell>
          <cell r="AB1">
            <v>1988</v>
          </cell>
          <cell r="AC1">
            <v>1989</v>
          </cell>
          <cell r="AD1">
            <v>1990</v>
          </cell>
          <cell r="AE1">
            <v>1991</v>
          </cell>
          <cell r="AF1">
            <v>1992</v>
          </cell>
          <cell r="AG1">
            <v>1993</v>
          </cell>
          <cell r="AH1">
            <v>1994</v>
          </cell>
          <cell r="AI1">
            <v>1995</v>
          </cell>
          <cell r="AJ1">
            <v>1996</v>
          </cell>
          <cell r="AK1">
            <v>1997</v>
          </cell>
          <cell r="AL1">
            <v>1998</v>
          </cell>
          <cell r="AM1">
            <v>1999</v>
          </cell>
          <cell r="AN1">
            <v>2000</v>
          </cell>
          <cell r="AO1">
            <v>2001</v>
          </cell>
          <cell r="AP1">
            <v>2002</v>
          </cell>
          <cell r="AQ1">
            <v>2003</v>
          </cell>
          <cell r="AR1">
            <v>2004</v>
          </cell>
          <cell r="AS1">
            <v>2005</v>
          </cell>
          <cell r="AT1">
            <v>2006</v>
          </cell>
          <cell r="AU1">
            <v>2007</v>
          </cell>
          <cell r="AV1">
            <v>2008</v>
          </cell>
          <cell r="AW1">
            <v>2009</v>
          </cell>
          <cell r="AX1">
            <v>2010</v>
          </cell>
          <cell r="AY1">
            <v>2011</v>
          </cell>
          <cell r="AZ1">
            <v>2012</v>
          </cell>
          <cell r="BA1">
            <v>2013</v>
          </cell>
          <cell r="BB1">
            <v>2014</v>
          </cell>
          <cell r="BC1">
            <v>2015</v>
          </cell>
          <cell r="BD1">
            <v>2016</v>
          </cell>
          <cell r="BE1">
            <v>2017</v>
          </cell>
          <cell r="BF1">
            <v>2018</v>
          </cell>
          <cell r="BG1">
            <v>2019</v>
          </cell>
          <cell r="BH1">
            <v>2020</v>
          </cell>
          <cell r="BI1">
            <v>2021</v>
          </cell>
          <cell r="BJ1"/>
          <cell r="BK1"/>
        </row>
        <row r="2"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  <cell r="AV2">
            <v>48</v>
          </cell>
          <cell r="AW2">
            <v>49</v>
          </cell>
          <cell r="AX2">
            <v>50</v>
          </cell>
          <cell r="AY2">
            <v>51</v>
          </cell>
          <cell r="AZ2">
            <v>52</v>
          </cell>
          <cell r="BA2">
            <v>53</v>
          </cell>
          <cell r="BB2">
            <v>54</v>
          </cell>
          <cell r="BC2">
            <v>55</v>
          </cell>
          <cell r="BD2">
            <v>56</v>
          </cell>
          <cell r="BE2">
            <v>57</v>
          </cell>
          <cell r="BF2">
            <v>58</v>
          </cell>
          <cell r="BG2">
            <v>59</v>
          </cell>
          <cell r="BH2">
            <v>60</v>
          </cell>
          <cell r="BI2">
            <v>61</v>
          </cell>
          <cell r="BJ2">
            <v>62</v>
          </cell>
          <cell r="BK2">
            <v>63</v>
          </cell>
        </row>
        <row r="3">
          <cell r="A3" t="str">
            <v>a</v>
          </cell>
          <cell r="B3" t="str">
            <v>Janeiro</v>
          </cell>
        </row>
        <row r="4">
          <cell r="A4" t="str">
            <v>b</v>
          </cell>
          <cell r="B4" t="str">
            <v>Fevereiro</v>
          </cell>
        </row>
        <row r="5">
          <cell r="A5" t="str">
            <v>c</v>
          </cell>
          <cell r="B5" t="str">
            <v>Março</v>
          </cell>
        </row>
        <row r="6">
          <cell r="A6" t="str">
            <v>d</v>
          </cell>
          <cell r="B6" t="str">
            <v>Abril</v>
          </cell>
        </row>
        <row r="7">
          <cell r="A7" t="str">
            <v>e</v>
          </cell>
          <cell r="B7" t="str">
            <v>Maio</v>
          </cell>
        </row>
        <row r="8">
          <cell r="A8" t="str">
            <v>f</v>
          </cell>
          <cell r="B8" t="str">
            <v>Junho</v>
          </cell>
        </row>
        <row r="9">
          <cell r="A9" t="str">
            <v>g</v>
          </cell>
          <cell r="B9" t="str">
            <v>Julho</v>
          </cell>
        </row>
        <row r="10">
          <cell r="A10" t="str">
            <v>h</v>
          </cell>
          <cell r="B10" t="str">
            <v>Agosto</v>
          </cell>
        </row>
        <row r="11">
          <cell r="A11" t="str">
            <v>i</v>
          </cell>
          <cell r="B11" t="str">
            <v>Setembro</v>
          </cell>
        </row>
        <row r="12">
          <cell r="A12" t="str">
            <v>j</v>
          </cell>
          <cell r="B12" t="str">
            <v>Outubro</v>
          </cell>
        </row>
        <row r="13">
          <cell r="A13" t="str">
            <v>k</v>
          </cell>
          <cell r="B13" t="str">
            <v>Novembro</v>
          </cell>
        </row>
        <row r="14">
          <cell r="A14" t="str">
            <v>l</v>
          </cell>
          <cell r="B14" t="str">
            <v>Dezembro</v>
          </cell>
        </row>
      </sheetData>
      <sheetData sheetId="4"/>
      <sheetData sheetId="5"/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</sheetData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I149"/>
  <sheetViews>
    <sheetView tabSelected="1" zoomScale="55" zoomScaleNormal="55" zoomScaleSheetLayoutView="70" workbookViewId="0">
      <selection activeCell="D1" sqref="D1"/>
    </sheetView>
  </sheetViews>
  <sheetFormatPr defaultColWidth="12.28515625" defaultRowHeight="15.6" customHeight="1"/>
  <cols>
    <col min="1" max="1" width="12.28515625" style="6"/>
    <col min="2" max="2" width="9.140625" style="6" customWidth="1"/>
    <col min="3" max="3" width="3" style="6" customWidth="1"/>
    <col min="4" max="4" width="36.28515625" style="29" customWidth="1"/>
    <col min="5" max="5" width="37.140625" style="29" customWidth="1"/>
    <col min="6" max="6" width="30.140625" style="29" customWidth="1"/>
    <col min="7" max="7" width="37.42578125" style="29" customWidth="1"/>
    <col min="8" max="8" width="30.85546875" style="29" customWidth="1"/>
    <col min="9" max="9" width="38.5703125" style="29" bestFit="1" customWidth="1"/>
    <col min="10" max="10" width="40.5703125" style="29" customWidth="1"/>
    <col min="11" max="11" width="35.5703125" style="6" customWidth="1"/>
    <col min="12" max="12" width="38.5703125" style="7" bestFit="1" customWidth="1"/>
    <col min="13" max="13" width="32.5703125" style="144" customWidth="1"/>
    <col min="14" max="14" width="34.7109375" style="144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5.5703125" style="6" bestFit="1" customWidth="1"/>
    <col min="24" max="24" width="24.140625" style="6" bestFit="1" customWidth="1"/>
    <col min="25" max="25" width="11.7109375" style="6" customWidth="1"/>
    <col min="26" max="26" width="0.5703125" style="6" customWidth="1"/>
    <col min="27" max="27" width="24.42578125" style="6" customWidth="1"/>
    <col min="28" max="28" width="5.85546875" style="6" customWidth="1"/>
    <col min="29" max="29" width="10.140625" style="6" hidden="1" customWidth="1"/>
    <col min="30" max="30" width="26.42578125" style="6" hidden="1" customWidth="1"/>
    <col min="31" max="31" width="36.140625" style="6" hidden="1" customWidth="1"/>
    <col min="32" max="32" width="36.85546875" style="6" hidden="1" customWidth="1"/>
    <col min="33" max="33" width="34.28515625" style="6" hidden="1" customWidth="1"/>
    <col min="34" max="257" width="11.85546875" style="6" customWidth="1"/>
    <col min="258" max="16384" width="12.28515625" style="6"/>
  </cols>
  <sheetData>
    <row r="1" spans="1:35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5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5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5" ht="17.100000000000001" customHeight="1">
      <c r="A4" s="1"/>
      <c r="B4" s="1"/>
      <c r="C4" s="148" t="s">
        <v>0</v>
      </c>
      <c r="D4" s="148"/>
      <c r="E4" s="148"/>
      <c r="F4" s="148"/>
      <c r="G4" s="148"/>
      <c r="H4" s="148"/>
      <c r="I4" s="148"/>
      <c r="J4" s="148"/>
      <c r="K4" s="148"/>
      <c r="L4" s="148"/>
      <c r="M4" s="8"/>
      <c r="N4" s="4"/>
      <c r="O4" s="1"/>
      <c r="P4" s="5"/>
      <c r="Q4" s="5"/>
      <c r="R4" s="5"/>
      <c r="S4" s="5"/>
      <c r="T4" s="5"/>
      <c r="U4" s="5"/>
      <c r="V4" s="5"/>
      <c r="W4" s="5"/>
      <c r="X4" s="5"/>
      <c r="Y4" s="5"/>
      <c r="AI4" s="7"/>
    </row>
    <row r="5" spans="1:35" ht="23.25">
      <c r="A5" s="1"/>
      <c r="B5" s="1"/>
      <c r="C5" s="148" t="s">
        <v>1</v>
      </c>
      <c r="D5" s="148"/>
      <c r="E5" s="148"/>
      <c r="F5" s="148"/>
      <c r="G5" s="148"/>
      <c r="H5" s="148"/>
      <c r="I5" s="148"/>
      <c r="J5" s="148"/>
      <c r="K5" s="148"/>
      <c r="L5" s="148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5" ht="24.75" customHeight="1">
      <c r="A6" s="1"/>
      <c r="B6" s="1"/>
      <c r="C6" s="9"/>
      <c r="D6" s="9"/>
      <c r="E6" s="9"/>
      <c r="F6" s="9"/>
      <c r="G6" s="9"/>
      <c r="H6" s="9"/>
      <c r="I6" s="9"/>
      <c r="J6" s="9"/>
      <c r="K6" s="10"/>
      <c r="L6" s="11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5" ht="23.25">
      <c r="A7" s="1"/>
      <c r="B7" s="1"/>
      <c r="C7" s="12"/>
      <c r="D7" s="13" t="s">
        <v>2</v>
      </c>
      <c r="E7" s="13">
        <f>[1]MENU!C8</f>
        <v>0</v>
      </c>
      <c r="F7" s="14"/>
      <c r="G7" s="14"/>
      <c r="H7" s="14"/>
      <c r="I7" s="15"/>
      <c r="J7" s="14"/>
      <c r="K7" s="12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5" ht="23.25">
      <c r="A8" s="1"/>
      <c r="B8" s="1"/>
      <c r="C8" s="12"/>
      <c r="D8" s="13" t="s">
        <v>3</v>
      </c>
      <c r="E8" s="13" t="str">
        <f>[1]MENU!C10</f>
        <v>Digite o orçamento</v>
      </c>
      <c r="F8" s="14"/>
      <c r="G8" s="14"/>
      <c r="H8" s="14"/>
      <c r="I8" s="15"/>
      <c r="J8" s="14"/>
      <c r="K8" s="12"/>
      <c r="L8" s="3"/>
      <c r="M8" s="4"/>
      <c r="N8" s="4"/>
      <c r="O8" s="1"/>
      <c r="P8" s="5"/>
      <c r="Q8" s="5"/>
      <c r="R8" s="5"/>
      <c r="S8" s="5"/>
      <c r="T8" s="5"/>
      <c r="U8" s="5"/>
      <c r="V8" s="5"/>
      <c r="W8" s="5"/>
      <c r="X8" s="5"/>
      <c r="Y8" s="5"/>
      <c r="AI8" s="7"/>
    </row>
    <row r="9" spans="1:35" ht="48.75" customHeight="1">
      <c r="A9" s="1"/>
      <c r="B9" s="1"/>
      <c r="C9" s="12"/>
      <c r="D9" s="13" t="s">
        <v>4</v>
      </c>
      <c r="E9" s="16" t="str">
        <f>[1]MENU!C12</f>
        <v>Digite a Data do Protocolo</v>
      </c>
      <c r="F9" s="14"/>
      <c r="G9" s="17"/>
      <c r="H9" s="18"/>
      <c r="I9" s="19" t="s">
        <v>5</v>
      </c>
      <c r="J9" s="20" t="e">
        <f>IF(E8&lt;=2022,TEXT(DATE(E8-1,7,2),"dd/mm/aaaa") &amp; " até " &amp; TEXT(DATE(E8,12,31),"dd/mm/aaaa"),TEXT(DATE(E8-1,4,3),"dd/mm/aaaa") &amp; " até " &amp; TEXT(DATE(E8,12,31),"dd/mm/aaaa"))</f>
        <v>#VALUE!</v>
      </c>
      <c r="K9" s="10"/>
      <c r="L9" s="3"/>
      <c r="M9" s="4"/>
      <c r="N9" s="21"/>
      <c r="O9" s="1"/>
      <c r="P9" s="5"/>
      <c r="Q9" s="5"/>
      <c r="R9" s="5"/>
      <c r="S9" s="5"/>
      <c r="T9" s="5"/>
      <c r="U9" s="5"/>
      <c r="V9" s="5"/>
      <c r="W9" s="5"/>
      <c r="X9" s="5"/>
      <c r="Y9" s="5"/>
      <c r="AI9" s="7"/>
    </row>
    <row r="10" spans="1:35" ht="23.25">
      <c r="A10" s="1"/>
      <c r="B10" s="1"/>
      <c r="C10" s="12"/>
      <c r="D10" s="13" t="s">
        <v>6</v>
      </c>
      <c r="E10" s="22" t="str">
        <f>[1]MENU!C14</f>
        <v>Digite Nome do Exequente</v>
      </c>
      <c r="F10" s="14"/>
      <c r="G10" s="14"/>
      <c r="H10" s="14"/>
      <c r="I10" s="14"/>
      <c r="J10" s="14"/>
      <c r="K10" s="10"/>
      <c r="L10" s="3"/>
      <c r="M10" s="4"/>
      <c r="N10" s="4"/>
      <c r="O10" s="1"/>
      <c r="P10" s="5"/>
      <c r="Q10" s="5"/>
      <c r="R10" s="5"/>
      <c r="S10" s="5"/>
      <c r="T10" s="5"/>
      <c r="U10" s="5"/>
      <c r="V10" s="5"/>
      <c r="W10" s="5"/>
      <c r="X10" s="5"/>
      <c r="Y10" s="5"/>
      <c r="AC10" s="23" t="e">
        <f>INDEX([1]GILBERTO!A3:A14,MATCH($AD$10,[1]GILBERTO!$B$3:$B$14,0))</f>
        <v>#VALUE!</v>
      </c>
      <c r="AD10" s="23" t="e">
        <f>MID(AE10,1,FIND("/",AE10)-1)</f>
        <v>#VALUE!</v>
      </c>
      <c r="AE10" s="23" t="str">
        <f>MID($E$14,39,15)</f>
        <v>Digite A Data D</v>
      </c>
      <c r="AF10" s="23" t="e">
        <f>RIGHT(AE10, LEN(AE10) - SEARCH("/", AE10))</f>
        <v>#VALUE!</v>
      </c>
      <c r="AG10" s="23" t="e">
        <f>HLOOKUP(AF11,[1]GILBERTO!$D$1:$BK$2,2,0)</f>
        <v>#VALUE!</v>
      </c>
      <c r="AI10" s="7"/>
    </row>
    <row r="11" spans="1:35" ht="27" customHeight="1">
      <c r="A11" s="1"/>
      <c r="B11" s="1"/>
      <c r="C11" s="12"/>
      <c r="D11" s="13" t="s">
        <v>7</v>
      </c>
      <c r="E11" s="13" t="str">
        <f>[1]MENU!C16</f>
        <v>Digite Nome do Executado</v>
      </c>
      <c r="F11" s="14"/>
      <c r="G11" s="14"/>
      <c r="H11" s="14"/>
      <c r="I11" s="14"/>
      <c r="J11" s="14"/>
      <c r="K11" s="10"/>
      <c r="L11" s="3"/>
      <c r="M11" s="4"/>
      <c r="N11" s="4"/>
      <c r="O11" s="1"/>
      <c r="P11" s="5"/>
      <c r="Q11" s="5"/>
      <c r="R11" s="5"/>
      <c r="S11" s="5"/>
      <c r="T11" s="5"/>
      <c r="U11" s="5"/>
      <c r="V11" s="5"/>
      <c r="W11" s="5"/>
      <c r="X11" s="5"/>
      <c r="Y11" s="5"/>
      <c r="AC11" s="23" t="e">
        <f>TEXT(AC10,"")</f>
        <v>#VALUE!</v>
      </c>
      <c r="AD11" s="23"/>
      <c r="AE11" s="23"/>
      <c r="AF11" s="23" t="e">
        <f>VALUE(AF10)</f>
        <v>#VALUE!</v>
      </c>
      <c r="AG11" s="23"/>
      <c r="AI11" s="7"/>
    </row>
    <row r="12" spans="1:35" ht="27" customHeight="1">
      <c r="A12" s="1"/>
      <c r="B12" s="1"/>
      <c r="C12" s="12"/>
      <c r="D12" s="14"/>
      <c r="E12" s="14"/>
      <c r="F12" s="14"/>
      <c r="G12" s="14"/>
      <c r="H12" s="14"/>
      <c r="I12" s="14"/>
      <c r="J12" s="14"/>
      <c r="K12" s="10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5"/>
      <c r="X12" s="5"/>
      <c r="Y12" s="5"/>
      <c r="AC12" s="23"/>
      <c r="AD12" s="23"/>
      <c r="AE12" s="23"/>
      <c r="AF12" s="23"/>
      <c r="AG12" s="23"/>
      <c r="AI12" s="7"/>
    </row>
    <row r="13" spans="1:35" ht="27.75" customHeight="1">
      <c r="A13" s="1"/>
      <c r="B13" s="1"/>
      <c r="C13" s="148" t="s">
        <v>8</v>
      </c>
      <c r="D13" s="148"/>
      <c r="E13" s="148"/>
      <c r="F13" s="148"/>
      <c r="G13" s="148"/>
      <c r="H13" s="148"/>
      <c r="I13" s="148"/>
      <c r="J13" s="148"/>
      <c r="K13" s="148"/>
      <c r="L13" s="148"/>
      <c r="M13" s="4"/>
      <c r="N13" s="4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D13" s="24" t="e">
        <f>LEFT(J27,FIND("sobre",J27)-1)</f>
        <v>#VALUE!</v>
      </c>
      <c r="AI13" s="7"/>
    </row>
    <row r="14" spans="1:35" ht="80.25" customHeight="1">
      <c r="A14" s="1"/>
      <c r="B14" s="1"/>
      <c r="C14" s="9"/>
      <c r="D14" s="25" t="s">
        <v>9</v>
      </c>
      <c r="E14" s="25" t="str">
        <f>"Valor Devido Atualizado com juros até " &amp; PROPER(TEXT([1]MENU!AD18, "mmmm")) &amp; "/" &amp; [1]MENU!AE18</f>
        <v>Valor Devido Atualizado com juros até Digite A Data Do Cálculo Homologado/Digite a Data do Cálculo Homologado</v>
      </c>
      <c r="F14" s="25" t="s">
        <v>10</v>
      </c>
      <c r="G14" s="25" t="s">
        <v>11</v>
      </c>
      <c r="H14" s="25" t="s">
        <v>12</v>
      </c>
      <c r="I14" s="25" t="s">
        <v>13</v>
      </c>
      <c r="J14" s="25" t="s">
        <v>14</v>
      </c>
      <c r="K14" s="25" t="s">
        <v>15</v>
      </c>
      <c r="L14" s="25" t="s">
        <v>16</v>
      </c>
      <c r="M14" s="4"/>
      <c r="N14" s="4"/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D14" s="6" t="e">
        <f>MID(AD13,FIND("– ",AD13)+2,LEN(AD13))</f>
        <v>#VALUE!</v>
      </c>
      <c r="AI14" s="7"/>
    </row>
    <row r="15" spans="1:35" ht="36.950000000000003" customHeight="1">
      <c r="A15" s="1"/>
      <c r="B15" s="1"/>
      <c r="C15" s="9"/>
      <c r="D15" s="26" t="s">
        <v>17</v>
      </c>
      <c r="E15" s="27">
        <f>[1]MENU!C20</f>
        <v>0</v>
      </c>
      <c r="F15" s="28">
        <v>1</v>
      </c>
      <c r="G15" s="27">
        <f>E15*F15</f>
        <v>0</v>
      </c>
      <c r="H15" s="29" t="s">
        <v>18</v>
      </c>
      <c r="I15" s="27">
        <v>0</v>
      </c>
      <c r="J15" s="27">
        <f>G15+I15</f>
        <v>0</v>
      </c>
      <c r="K15" s="30">
        <v>1</v>
      </c>
      <c r="L15" s="27">
        <f>J15*K15</f>
        <v>0</v>
      </c>
      <c r="M15" s="4"/>
      <c r="N15" s="4"/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</row>
    <row r="16" spans="1:35" ht="32.65" customHeight="1">
      <c r="A16" s="1"/>
      <c r="B16" s="1"/>
      <c r="C16" s="9"/>
      <c r="D16" s="26" t="s">
        <v>19</v>
      </c>
      <c r="E16" s="27">
        <f>[1]MENU!C22</f>
        <v>0</v>
      </c>
      <c r="F16" s="28">
        <v>1</v>
      </c>
      <c r="G16" s="27">
        <f>E16*F16</f>
        <v>0</v>
      </c>
      <c r="H16" s="31">
        <v>0</v>
      </c>
      <c r="I16" s="27">
        <f>G15*H16</f>
        <v>0</v>
      </c>
      <c r="J16" s="27">
        <f>G16+I16</f>
        <v>0</v>
      </c>
      <c r="K16" s="30">
        <v>1</v>
      </c>
      <c r="L16" s="27">
        <f>J16*K16</f>
        <v>0</v>
      </c>
      <c r="M16" s="4"/>
      <c r="N16" s="4"/>
      <c r="O16" s="1"/>
      <c r="P16" s="5"/>
      <c r="Q16" s="5"/>
      <c r="R16" s="149" t="s">
        <v>20</v>
      </c>
      <c r="S16" s="149"/>
      <c r="T16" s="149"/>
      <c r="U16" s="149"/>
      <c r="V16" s="150"/>
      <c r="W16" s="149"/>
      <c r="X16" s="5"/>
      <c r="Y16" s="5"/>
    </row>
    <row r="17" spans="1:33" ht="43.15" customHeight="1">
      <c r="A17" s="1"/>
      <c r="B17" s="1"/>
      <c r="C17" s="9"/>
      <c r="D17" s="32" t="s">
        <v>21</v>
      </c>
      <c r="E17" s="33">
        <f>SUM(E15:E16)</f>
        <v>0</v>
      </c>
      <c r="F17" s="34" t="s">
        <v>18</v>
      </c>
      <c r="G17" s="33">
        <f>SUM(G15:G16)</f>
        <v>0</v>
      </c>
      <c r="H17" s="35" t="s">
        <v>18</v>
      </c>
      <c r="I17" s="33">
        <f>SUM(I15:I16)</f>
        <v>0</v>
      </c>
      <c r="J17" s="36">
        <f>SUM(J15:J16)</f>
        <v>0</v>
      </c>
      <c r="K17" s="37" t="s">
        <v>18</v>
      </c>
      <c r="L17" s="36">
        <f>SUM(L15:L16)</f>
        <v>0</v>
      </c>
      <c r="M17" s="4"/>
      <c r="N17" s="4"/>
      <c r="O17" s="1"/>
      <c r="P17" s="5"/>
      <c r="Q17" s="38"/>
      <c r="R17" s="39">
        <f>ROUND(E15,2)</f>
        <v>0</v>
      </c>
      <c r="S17" s="40">
        <f>ROUND(G15,2)</f>
        <v>0</v>
      </c>
      <c r="T17" s="40">
        <f>ROUND(I15,2)</f>
        <v>0</v>
      </c>
      <c r="U17" s="40">
        <f>ROUND(J15,2)</f>
        <v>0</v>
      </c>
      <c r="V17" s="41">
        <f>ROUND(L15,2)</f>
        <v>0</v>
      </c>
      <c r="W17" s="42">
        <f>ROUND(L17,2)</f>
        <v>0</v>
      </c>
      <c r="X17" s="5"/>
      <c r="Y17" s="5"/>
    </row>
    <row r="18" spans="1:33" ht="84.75" customHeight="1">
      <c r="A18" s="1"/>
      <c r="B18" s="1"/>
      <c r="C18" s="9"/>
      <c r="D18" s="14"/>
      <c r="E18" s="14"/>
      <c r="F18" s="14"/>
      <c r="G18" s="14"/>
      <c r="H18" s="14"/>
      <c r="I18" s="43"/>
      <c r="J18" s="44" t="s">
        <v>22</v>
      </c>
      <c r="K18" s="45">
        <v>0.3347</v>
      </c>
      <c r="L18" s="46">
        <f>L17*K18</f>
        <v>0</v>
      </c>
      <c r="M18" s="4"/>
      <c r="N18" s="4"/>
      <c r="O18" s="1"/>
      <c r="P18" s="5"/>
      <c r="Q18" s="38"/>
      <c r="R18" s="39">
        <f>ROUND(E16,2)</f>
        <v>0</v>
      </c>
      <c r="S18" s="40">
        <f>ROUND(G16,2)</f>
        <v>0</v>
      </c>
      <c r="T18" s="40">
        <f>ROUND(I16,2)</f>
        <v>0</v>
      </c>
      <c r="U18" s="40">
        <f>ROUND(J16,2)</f>
        <v>0</v>
      </c>
      <c r="V18" s="40">
        <f>ROUND(L16,2)</f>
        <v>0</v>
      </c>
      <c r="W18" s="42">
        <f>ROUND(L18,2)</f>
        <v>0</v>
      </c>
      <c r="X18" s="5"/>
      <c r="Y18" s="5"/>
    </row>
    <row r="19" spans="1:33" ht="51.75" customHeight="1">
      <c r="A19" s="1"/>
      <c r="B19" s="1"/>
      <c r="C19" s="9"/>
      <c r="D19" s="14"/>
      <c r="E19" s="14"/>
      <c r="F19" s="14"/>
      <c r="G19" s="14"/>
      <c r="H19" s="14"/>
      <c r="I19" s="14"/>
      <c r="J19" s="151" t="s">
        <v>23</v>
      </c>
      <c r="K19" s="151"/>
      <c r="L19" s="47">
        <f>L17+L18</f>
        <v>0</v>
      </c>
      <c r="M19" s="4"/>
      <c r="N19" s="4"/>
      <c r="O19" s="1"/>
      <c r="P19" s="5"/>
      <c r="Q19" s="38"/>
      <c r="R19" s="39">
        <f t="shared" ref="R19:U19" si="0">SUM(R17:R18)</f>
        <v>0</v>
      </c>
      <c r="S19" s="40">
        <f t="shared" si="0"/>
        <v>0</v>
      </c>
      <c r="T19" s="40">
        <f t="shared" si="0"/>
        <v>0</v>
      </c>
      <c r="U19" s="40">
        <f t="shared" si="0"/>
        <v>0</v>
      </c>
      <c r="V19" s="48">
        <f>SUM(V17:V18)</f>
        <v>0</v>
      </c>
      <c r="W19" s="42">
        <f>SUM(W17:W18)</f>
        <v>0</v>
      </c>
      <c r="X19" s="5"/>
      <c r="Y19" s="5"/>
    </row>
    <row r="20" spans="1:33" ht="72" customHeight="1">
      <c r="A20" s="1"/>
      <c r="B20" s="1"/>
      <c r="C20" s="9"/>
      <c r="D20" s="49"/>
      <c r="E20" s="14"/>
      <c r="F20" s="14"/>
      <c r="G20" s="14"/>
      <c r="H20" s="14"/>
      <c r="I20" s="43"/>
      <c r="J20" s="11"/>
      <c r="K20" s="11"/>
      <c r="L20" s="11"/>
      <c r="M20" s="4"/>
      <c r="N20" s="4"/>
      <c r="O20" s="1"/>
      <c r="P20" s="5"/>
      <c r="Q20" s="38"/>
      <c r="R20" s="50">
        <f>R19-E17</f>
        <v>0</v>
      </c>
      <c r="S20" s="51">
        <f>S19-G17</f>
        <v>0</v>
      </c>
      <c r="T20" s="51">
        <f>T19-I17</f>
        <v>0</v>
      </c>
      <c r="U20" s="51">
        <f>U19-J17</f>
        <v>0</v>
      </c>
      <c r="V20" s="52">
        <f>V19-L17</f>
        <v>0</v>
      </c>
      <c r="W20" s="53">
        <f>W19-L19</f>
        <v>0</v>
      </c>
      <c r="X20" s="5"/>
      <c r="Y20" s="5"/>
      <c r="AC20" s="6" t="e">
        <f>INDEX([1]GILBERTO!A3:A14,MATCH(AD21,[1]GILBERTO!$B$3:$B$14,0))</f>
        <v>#VALUE!</v>
      </c>
      <c r="AD20" s="6" t="e">
        <f>LEFT($E$21, SEARCH("/", $E$21) - 1)</f>
        <v>#VALUE!</v>
      </c>
      <c r="AE20" s="6" t="e">
        <f>RIGHT($E$21,LEN($E$21)-FIND("/",$E$21))</f>
        <v>#VALUE!</v>
      </c>
      <c r="AG20" s="6" t="e">
        <f>HLOOKUP(AF21,[1]GILBERTO!$D$1:$BK$2,2,0)</f>
        <v>#VALUE!</v>
      </c>
    </row>
    <row r="21" spans="1:33" ht="48" customHeight="1">
      <c r="A21" s="1"/>
      <c r="B21" s="1"/>
      <c r="C21" s="9"/>
      <c r="D21" s="11"/>
      <c r="E21" s="11"/>
      <c r="F21" s="11"/>
      <c r="G21" s="11"/>
      <c r="H21" s="11"/>
      <c r="I21" s="11"/>
      <c r="J21" s="11"/>
      <c r="K21" s="11"/>
      <c r="L21" s="11"/>
      <c r="M21" s="4"/>
      <c r="N21" s="4"/>
      <c r="O21" s="1"/>
      <c r="P21" s="5"/>
      <c r="Q21" s="38"/>
      <c r="R21" s="54"/>
      <c r="S21" s="54"/>
      <c r="T21" s="54"/>
      <c r="U21" s="54"/>
      <c r="V21" s="54"/>
      <c r="W21" s="54"/>
      <c r="X21" s="5"/>
      <c r="Y21" s="5"/>
      <c r="AC21" s="6" t="e">
        <f>TEXT(AC20,"")</f>
        <v>#VALUE!</v>
      </c>
      <c r="AD21" s="6" t="e">
        <f>MID($AD$20, SEARCH(" até ", $AD$20) + 5, SEARCH(" até ", $AD$20) + 11)</f>
        <v>#VALUE!</v>
      </c>
      <c r="AF21" s="6" t="e">
        <f>VALUE($AE$20)</f>
        <v>#VALUE!</v>
      </c>
    </row>
    <row r="22" spans="1:33" ht="48" customHeight="1">
      <c r="A22" s="1"/>
      <c r="B22" s="1"/>
      <c r="C22" s="9"/>
      <c r="D22" s="11"/>
      <c r="E22" s="11"/>
      <c r="F22" s="11"/>
      <c r="G22" s="11"/>
      <c r="H22" s="11"/>
      <c r="I22" s="11"/>
      <c r="J22" s="11"/>
      <c r="K22" s="11"/>
      <c r="L22" s="11"/>
      <c r="M22" s="4"/>
      <c r="N22" s="4"/>
      <c r="O22" s="1"/>
      <c r="P22" s="5"/>
      <c r="Q22" s="38"/>
      <c r="R22" s="54"/>
      <c r="S22" s="54"/>
      <c r="T22" s="54"/>
      <c r="U22" s="54"/>
      <c r="V22" s="54"/>
      <c r="W22" s="54"/>
      <c r="X22" s="5"/>
      <c r="Y22" s="5"/>
    </row>
    <row r="23" spans="1:33" ht="31.5" customHeight="1">
      <c r="A23" s="1"/>
      <c r="B23" s="1"/>
      <c r="C23" s="9"/>
      <c r="D23" s="11"/>
      <c r="E23" s="11"/>
      <c r="F23" s="11"/>
      <c r="G23" s="11"/>
      <c r="H23" s="11"/>
      <c r="I23" s="11"/>
      <c r="J23" s="11"/>
      <c r="K23" s="11"/>
      <c r="L23" s="11"/>
      <c r="M23" s="4"/>
      <c r="N23" s="4"/>
      <c r="O23" s="1"/>
      <c r="P23" s="5"/>
      <c r="Q23" s="38"/>
      <c r="R23" s="54"/>
      <c r="S23" s="54"/>
      <c r="T23" s="54"/>
      <c r="U23" s="54"/>
      <c r="V23" s="54"/>
      <c r="W23" s="54"/>
      <c r="X23" s="5"/>
      <c r="Y23" s="5"/>
    </row>
    <row r="24" spans="1:33" ht="31.5" customHeight="1">
      <c r="A24" s="1"/>
      <c r="B24" s="1"/>
      <c r="C24" s="9"/>
      <c r="D24" s="11"/>
      <c r="E24" s="11"/>
      <c r="F24" s="11"/>
      <c r="G24" s="11"/>
      <c r="H24" s="11"/>
      <c r="I24" s="11"/>
      <c r="K24" s="11"/>
      <c r="L24" s="11"/>
      <c r="M24" s="4"/>
      <c r="N24" s="4"/>
      <c r="O24" s="1"/>
      <c r="P24" s="5"/>
      <c r="Q24" s="38"/>
      <c r="R24" s="54"/>
      <c r="S24" s="54"/>
      <c r="T24" s="54"/>
      <c r="U24" s="54"/>
      <c r="V24" s="54"/>
      <c r="W24" s="54"/>
      <c r="X24" s="5"/>
      <c r="Y24" s="5"/>
    </row>
    <row r="25" spans="1:33" ht="25.5" customHeight="1">
      <c r="A25" s="1"/>
      <c r="B25" s="1"/>
      <c r="C25" s="9"/>
      <c r="D25" s="14"/>
      <c r="E25" s="14"/>
      <c r="F25" s="14"/>
      <c r="G25" s="14"/>
      <c r="H25" s="14"/>
      <c r="I25" s="43"/>
      <c r="J25" s="4"/>
      <c r="K25" s="4"/>
      <c r="L25" s="4"/>
      <c r="M25" s="4"/>
      <c r="N25" s="4"/>
      <c r="O25" s="1"/>
      <c r="P25" s="5"/>
      <c r="Q25" s="38"/>
      <c r="R25" s="54"/>
      <c r="S25" s="54"/>
      <c r="T25" s="54"/>
      <c r="U25" s="54"/>
      <c r="V25" s="54"/>
      <c r="W25" s="54"/>
      <c r="X25" s="5"/>
      <c r="Y25" s="5"/>
    </row>
    <row r="26" spans="1:33" ht="18.600000000000001" customHeight="1">
      <c r="A26" s="1"/>
      <c r="B26" s="1"/>
      <c r="C26" s="9"/>
      <c r="D26" s="14"/>
      <c r="E26" s="14"/>
      <c r="F26" s="14"/>
      <c r="G26" s="14"/>
      <c r="H26" s="14"/>
      <c r="I26" s="43"/>
      <c r="J26" s="4"/>
      <c r="K26" s="4"/>
      <c r="L26" s="4"/>
      <c r="M26" s="4"/>
      <c r="N26" s="4"/>
      <c r="O26" s="1"/>
      <c r="P26" s="5"/>
      <c r="Q26" s="38"/>
      <c r="R26" s="54"/>
      <c r="S26" s="54"/>
      <c r="T26" s="54"/>
      <c r="U26" s="54"/>
      <c r="V26" s="54"/>
      <c r="W26" s="54"/>
      <c r="X26" s="5"/>
      <c r="Y26" s="5"/>
    </row>
    <row r="27" spans="1:33" ht="26.25" customHeight="1">
      <c r="A27" s="1"/>
      <c r="B27" s="1"/>
      <c r="C27" s="9"/>
      <c r="D27" s="14"/>
      <c r="E27" s="14"/>
      <c r="F27" s="14"/>
      <c r="G27" s="14"/>
      <c r="H27" s="2"/>
      <c r="I27" s="43"/>
      <c r="J27" s="4"/>
      <c r="K27" s="4"/>
      <c r="L27" s="4"/>
      <c r="M27" s="4"/>
      <c r="N27" s="4"/>
      <c r="O27" s="55"/>
      <c r="P27" s="54"/>
      <c r="Q27" s="5"/>
      <c r="R27" s="5"/>
      <c r="S27" s="5"/>
      <c r="T27" s="5"/>
      <c r="U27" s="5"/>
      <c r="V27" s="5"/>
      <c r="W27" s="5"/>
      <c r="X27" s="5"/>
      <c r="Y27" s="5"/>
    </row>
    <row r="28" spans="1:33" ht="30.75" customHeight="1">
      <c r="A28" s="1"/>
      <c r="B28" s="1"/>
      <c r="C28" s="9"/>
      <c r="D28" s="2"/>
      <c r="E28" s="2"/>
      <c r="F28" s="2"/>
      <c r="G28" s="2"/>
      <c r="H28" s="14"/>
      <c r="I28" s="43"/>
      <c r="J28" s="4"/>
      <c r="K28" s="4"/>
      <c r="L28" s="4"/>
      <c r="M28" s="4"/>
      <c r="N28" s="4"/>
      <c r="O28" s="1"/>
      <c r="P28" s="5"/>
      <c r="Q28" s="5"/>
      <c r="R28" s="152" t="str">
        <f ca="1">"DIVISÃO "&amp;UPPER(TEXT(TODAY(),"mmmm"))&amp;"/"&amp;YEAR(TODAY())&amp;""</f>
        <v>DIVISÃO FEVEREIRO/2025</v>
      </c>
      <c r="S28" s="152"/>
      <c r="T28" s="152"/>
      <c r="U28" s="152"/>
      <c r="V28" s="152"/>
      <c r="W28" s="152"/>
      <c r="X28" s="5"/>
      <c r="Y28" s="5"/>
    </row>
    <row r="29" spans="1:33" ht="26.25" customHeight="1">
      <c r="A29" s="1"/>
      <c r="B29" s="1"/>
      <c r="C29" s="9"/>
      <c r="D29" s="2"/>
      <c r="E29" s="2"/>
      <c r="F29" s="2"/>
      <c r="G29" s="2"/>
      <c r="H29" s="2"/>
      <c r="I29" s="43"/>
      <c r="J29" s="4"/>
      <c r="K29" s="4"/>
      <c r="L29" s="4"/>
      <c r="M29" s="4"/>
      <c r="N29" s="4"/>
      <c r="O29" s="1"/>
      <c r="P29" s="54"/>
      <c r="Q29" s="38"/>
      <c r="R29" s="157" t="s">
        <v>24</v>
      </c>
      <c r="S29" s="158"/>
      <c r="T29" s="158" t="s">
        <v>25</v>
      </c>
      <c r="U29" s="158"/>
      <c r="V29" s="158" t="s">
        <v>26</v>
      </c>
      <c r="W29" s="159"/>
      <c r="X29" s="56"/>
      <c r="Y29" s="5"/>
    </row>
    <row r="30" spans="1:33" ht="29.25" customHeight="1">
      <c r="A30" s="1"/>
      <c r="B30" s="1"/>
      <c r="C30" s="9"/>
      <c r="D30" s="14"/>
      <c r="E30" s="14"/>
      <c r="F30" s="43"/>
      <c r="G30" s="2"/>
      <c r="H30" s="43"/>
      <c r="I30" s="14"/>
      <c r="J30" s="14"/>
      <c r="K30" s="1"/>
      <c r="L30" s="11"/>
      <c r="M30" s="4"/>
      <c r="N30" s="4"/>
      <c r="O30" s="1"/>
      <c r="P30" s="5"/>
      <c r="Q30" s="5"/>
      <c r="R30" s="57">
        <f>$L$19</f>
        <v>0</v>
      </c>
      <c r="S30" s="58">
        <v>1</v>
      </c>
      <c r="T30" s="59">
        <f>R30</f>
        <v>0</v>
      </c>
      <c r="U30" s="60">
        <f>S30</f>
        <v>1</v>
      </c>
      <c r="V30" s="59">
        <f>T30</f>
        <v>0</v>
      </c>
      <c r="W30" s="61">
        <f>U30</f>
        <v>1</v>
      </c>
      <c r="X30" s="56"/>
      <c r="Y30" s="5"/>
    </row>
    <row r="31" spans="1:33" ht="23.25" customHeight="1">
      <c r="A31" s="1"/>
      <c r="B31" s="1"/>
      <c r="C31" s="9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"/>
      <c r="P31" s="5"/>
      <c r="Q31" s="5"/>
      <c r="R31" s="62">
        <f>G15+G22</f>
        <v>0</v>
      </c>
      <c r="S31" s="63" t="e">
        <f>R31*S30/R30</f>
        <v>#DIV/0!</v>
      </c>
      <c r="T31" s="64">
        <f>G16+I16</f>
        <v>0</v>
      </c>
      <c r="U31" s="63" t="e">
        <f>T31*U30/T30</f>
        <v>#DIV/0!</v>
      </c>
      <c r="V31" s="64">
        <f>L19-L17 + I23-G23</f>
        <v>0</v>
      </c>
      <c r="W31" s="65" t="e">
        <f>V31*W30/V30</f>
        <v>#DIV/0!</v>
      </c>
      <c r="X31" s="56"/>
      <c r="Y31" s="66"/>
    </row>
    <row r="32" spans="1:33" ht="64.5" customHeight="1">
      <c r="A32" s="1"/>
      <c r="B32" s="1"/>
      <c r="C32" s="9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1"/>
      <c r="P32" s="5"/>
      <c r="Q32" s="5"/>
      <c r="R32" s="67"/>
      <c r="S32" s="68"/>
      <c r="T32" s="67"/>
      <c r="U32" s="56"/>
      <c r="V32" s="56"/>
      <c r="W32" s="56"/>
      <c r="X32" s="56"/>
      <c r="Y32" s="5"/>
    </row>
    <row r="33" spans="1:25" ht="48.75" customHeight="1">
      <c r="A33" s="1"/>
      <c r="B33" s="1"/>
      <c r="C33" s="9"/>
      <c r="D33" s="2"/>
      <c r="E33" s="2"/>
      <c r="F33" s="2"/>
      <c r="G33" s="2"/>
      <c r="H33" s="2"/>
      <c r="I33" s="2"/>
      <c r="J33" s="2"/>
      <c r="K33" s="4"/>
      <c r="L33" s="4"/>
      <c r="M33" s="4"/>
      <c r="N33" s="4"/>
      <c r="O33" s="1"/>
      <c r="P33" s="5"/>
      <c r="Q33" s="5"/>
      <c r="R33" s="67"/>
      <c r="S33" s="146" t="s">
        <v>27</v>
      </c>
      <c r="T33" s="69">
        <f>R31+T31+V31</f>
        <v>0</v>
      </c>
      <c r="U33" s="56"/>
      <c r="V33" s="56"/>
      <c r="W33" s="56"/>
      <c r="X33" s="56"/>
      <c r="Y33" s="5"/>
    </row>
    <row r="34" spans="1:25" ht="23.25">
      <c r="A34" s="1"/>
      <c r="B34" s="1"/>
      <c r="C34" s="9"/>
      <c r="D34" s="2"/>
      <c r="E34" s="2"/>
      <c r="F34" s="2"/>
      <c r="G34" s="2"/>
      <c r="H34" s="2"/>
      <c r="I34" s="2"/>
      <c r="J34" s="2"/>
      <c r="K34" s="4"/>
      <c r="L34" s="4"/>
      <c r="M34" s="4"/>
      <c r="N34" s="4"/>
      <c r="O34" s="1"/>
      <c r="P34" s="5"/>
      <c r="Q34" s="5"/>
      <c r="R34" s="67"/>
      <c r="S34" s="146"/>
      <c r="T34" s="70" t="e">
        <f>S31+U31+W31</f>
        <v>#DIV/0!</v>
      </c>
      <c r="U34" s="56"/>
      <c r="V34" s="56"/>
      <c r="W34" s="56"/>
      <c r="X34" s="56"/>
      <c r="Y34" s="5"/>
    </row>
    <row r="35" spans="1:25" ht="46.5" customHeight="1">
      <c r="A35" s="1"/>
      <c r="B35" s="1"/>
      <c r="C35" s="9"/>
      <c r="D35" s="2"/>
      <c r="E35" s="2"/>
      <c r="F35" s="2"/>
      <c r="G35" s="2"/>
      <c r="H35" s="2"/>
      <c r="I35" s="2"/>
      <c r="J35" s="2"/>
      <c r="K35" s="4"/>
      <c r="L35" s="4"/>
      <c r="M35" s="4"/>
      <c r="N35" s="4"/>
      <c r="O35" s="1"/>
      <c r="P35" s="5"/>
      <c r="Q35" s="5"/>
      <c r="R35" s="67"/>
      <c r="S35" s="68"/>
      <c r="T35" s="67"/>
      <c r="U35" s="68"/>
      <c r="V35" s="56"/>
      <c r="W35" s="56"/>
      <c r="X35" s="56"/>
      <c r="Y35" s="5"/>
    </row>
    <row r="36" spans="1:25" ht="52.5" customHeight="1">
      <c r="A36" s="1"/>
      <c r="B36" s="1"/>
      <c r="C36" s="9"/>
      <c r="D36" s="2"/>
      <c r="E36" s="2"/>
      <c r="F36" s="2"/>
      <c r="G36" s="2"/>
      <c r="H36" s="2"/>
      <c r="I36" s="2"/>
      <c r="J36" s="2"/>
      <c r="K36" s="4"/>
      <c r="L36" s="4"/>
      <c r="M36" s="4"/>
      <c r="N36" s="4"/>
      <c r="O36" s="1"/>
      <c r="P36" s="5"/>
      <c r="Q36" s="5"/>
      <c r="R36" s="68"/>
      <c r="S36" s="68"/>
      <c r="T36" s="67"/>
      <c r="U36" s="68"/>
      <c r="V36" s="56"/>
      <c r="W36" s="56"/>
      <c r="X36" s="56"/>
      <c r="Y36" s="5"/>
    </row>
    <row r="37" spans="1:25" ht="63.75" customHeight="1">
      <c r="A37" s="1"/>
      <c r="B37" s="1"/>
      <c r="C37" s="9"/>
      <c r="D37" s="2"/>
      <c r="E37" s="2"/>
      <c r="F37" s="2"/>
      <c r="G37" s="2"/>
      <c r="H37" s="2"/>
      <c r="I37" s="2"/>
      <c r="J37" s="2"/>
      <c r="K37" s="4"/>
      <c r="L37" s="4"/>
      <c r="M37" s="4"/>
      <c r="N37" s="4"/>
      <c r="O37" s="1"/>
      <c r="P37" s="5"/>
      <c r="Q37" s="5"/>
      <c r="R37" s="71"/>
      <c r="S37" s="72"/>
      <c r="T37" s="67"/>
      <c r="U37" s="68"/>
      <c r="V37" s="56"/>
      <c r="W37" s="56"/>
      <c r="X37" s="56"/>
      <c r="Y37" s="5"/>
    </row>
    <row r="38" spans="1:25" ht="41.25" customHeight="1">
      <c r="A38" s="1"/>
      <c r="B38" s="1"/>
      <c r="C38" s="9"/>
      <c r="D38" s="2"/>
      <c r="E38" s="2"/>
      <c r="F38" s="2"/>
      <c r="G38" s="2"/>
      <c r="H38" s="2"/>
      <c r="I38" s="2"/>
      <c r="J38" s="2"/>
      <c r="K38" s="4"/>
      <c r="L38" s="4"/>
      <c r="M38" s="4"/>
      <c r="N38" s="4"/>
      <c r="O38" s="1"/>
      <c r="P38" s="5"/>
      <c r="Q38" s="5"/>
      <c r="R38" s="73" t="s">
        <v>28</v>
      </c>
      <c r="S38" s="74">
        <f>R30</f>
        <v>0</v>
      </c>
      <c r="T38" s="147" t="s">
        <v>29</v>
      </c>
      <c r="U38" s="147"/>
      <c r="V38" s="147"/>
      <c r="W38" s="56"/>
      <c r="X38" s="56"/>
      <c r="Y38" s="5"/>
    </row>
    <row r="39" spans="1:25" ht="23.25" customHeight="1">
      <c r="A39" s="1"/>
      <c r="B39" s="1"/>
      <c r="C39" s="9"/>
      <c r="D39" s="2"/>
      <c r="E39" s="2"/>
      <c r="F39" s="2"/>
      <c r="G39" s="2"/>
      <c r="H39" s="2"/>
      <c r="I39" s="2"/>
      <c r="J39" s="2"/>
      <c r="K39" s="4"/>
      <c r="L39" s="4"/>
      <c r="M39" s="4"/>
      <c r="N39" s="4"/>
      <c r="O39" s="1"/>
      <c r="P39" s="5"/>
      <c r="Q39" s="5"/>
      <c r="R39" s="75" t="s">
        <v>30</v>
      </c>
      <c r="S39" s="76" t="e">
        <f>S38*S31</f>
        <v>#DIV/0!</v>
      </c>
      <c r="T39" s="77" t="e">
        <f>$K$18*S39</f>
        <v>#DIV/0!</v>
      </c>
      <c r="U39" s="78" t="e">
        <f>SUM(S39:T39)</f>
        <v>#DIV/0!</v>
      </c>
      <c r="V39" s="79" t="s">
        <v>31</v>
      </c>
      <c r="W39" s="56"/>
      <c r="X39" s="80"/>
      <c r="Y39" s="5"/>
    </row>
    <row r="40" spans="1:25" ht="31.5" customHeight="1">
      <c r="A40" s="1"/>
      <c r="B40" s="1"/>
      <c r="C40" s="9"/>
      <c r="D40" s="12"/>
      <c r="E40" s="12"/>
      <c r="F40" s="81"/>
      <c r="G40" s="12"/>
      <c r="H40" s="12"/>
      <c r="I40" s="12"/>
      <c r="J40" s="14"/>
      <c r="K40" s="4"/>
      <c r="L40" s="4"/>
      <c r="M40" s="4"/>
      <c r="N40" s="4"/>
      <c r="O40" s="1"/>
      <c r="P40" s="5"/>
      <c r="Q40" s="5"/>
      <c r="R40" s="75" t="s">
        <v>32</v>
      </c>
      <c r="S40" s="76" t="e">
        <f>U31*S38</f>
        <v>#DIV/0!</v>
      </c>
      <c r="T40" s="77" t="e">
        <f>$K$18*S40</f>
        <v>#DIV/0!</v>
      </c>
      <c r="U40" s="82" t="e">
        <f>SUM(S40:T40)</f>
        <v>#DIV/0!</v>
      </c>
      <c r="V40" s="83" t="s">
        <v>33</v>
      </c>
      <c r="W40" s="56"/>
      <c r="X40" s="56"/>
      <c r="Y40" s="5"/>
    </row>
    <row r="41" spans="1:25" ht="23.25">
      <c r="A41" s="1"/>
      <c r="B41" s="1"/>
      <c r="C41" s="9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1"/>
      <c r="P41" s="5"/>
      <c r="Q41" s="5"/>
      <c r="R41" s="75" t="s">
        <v>34</v>
      </c>
      <c r="S41" s="76" t="e">
        <f>S38*W31</f>
        <v>#DIV/0!</v>
      </c>
      <c r="T41" s="84" t="e">
        <f>SUM(T39:T40)</f>
        <v>#DIV/0!</v>
      </c>
      <c r="U41" s="85" t="e">
        <f>SUM(U39:U40)</f>
        <v>#DIV/0!</v>
      </c>
      <c r="V41" s="86" t="s">
        <v>35</v>
      </c>
      <c r="W41" s="56"/>
      <c r="X41" s="56"/>
      <c r="Y41" s="5"/>
    </row>
    <row r="42" spans="1:25" ht="23.25">
      <c r="A42" s="1"/>
      <c r="B42" s="1"/>
      <c r="C42" s="9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1"/>
      <c r="P42" s="5"/>
      <c r="Q42" s="5"/>
      <c r="R42" s="56"/>
      <c r="S42" s="56"/>
      <c r="T42" s="56"/>
      <c r="U42" s="56"/>
      <c r="V42" s="56"/>
      <c r="W42" s="56"/>
      <c r="X42" s="56"/>
      <c r="Y42" s="5"/>
    </row>
    <row r="43" spans="1:25" ht="23.25">
      <c r="A43" s="1"/>
      <c r="B43" s="1"/>
      <c r="C43" s="2"/>
      <c r="D43" s="2"/>
      <c r="E43" s="2"/>
      <c r="F43" s="2"/>
      <c r="G43" s="2"/>
      <c r="H43" s="2"/>
      <c r="I43" s="2"/>
      <c r="J43" s="2"/>
      <c r="K43" s="2"/>
      <c r="L43" s="3"/>
      <c r="M43" s="3"/>
      <c r="N43" s="4"/>
      <c r="O43" s="1"/>
      <c r="P43" s="5"/>
      <c r="Q43" s="5"/>
      <c r="R43" s="67"/>
      <c r="S43" s="68"/>
      <c r="T43" s="67"/>
      <c r="U43" s="68"/>
      <c r="V43" s="56"/>
      <c r="W43" s="56"/>
      <c r="X43" s="56"/>
      <c r="Y43" s="5"/>
    </row>
    <row r="44" spans="1:25" ht="28.5" customHeight="1">
      <c r="A44" s="1"/>
      <c r="B44" s="1"/>
      <c r="C44" s="2"/>
      <c r="D44" s="2"/>
      <c r="E44" s="2"/>
      <c r="F44" s="2"/>
      <c r="G44" s="2"/>
      <c r="H44" s="2"/>
      <c r="I44" s="2"/>
      <c r="J44" s="2"/>
      <c r="K44" s="2"/>
      <c r="L44" s="3"/>
      <c r="M44" s="4"/>
      <c r="N44" s="4"/>
      <c r="O44" s="1"/>
      <c r="P44" s="5"/>
      <c r="Q44" s="5"/>
      <c r="R44" s="67"/>
      <c r="S44" s="153" t="s">
        <v>36</v>
      </c>
      <c r="T44" s="153"/>
      <c r="U44" s="68"/>
      <c r="V44" s="56"/>
      <c r="W44" s="56"/>
      <c r="X44" s="56"/>
      <c r="Y44" s="5"/>
    </row>
    <row r="45" spans="1:25" ht="98.25" customHeight="1">
      <c r="A45" s="1"/>
      <c r="B45" s="1"/>
      <c r="C45" s="2"/>
      <c r="D45" s="2"/>
      <c r="E45" s="2"/>
      <c r="F45" s="2"/>
      <c r="G45" s="2"/>
      <c r="H45" s="2"/>
      <c r="I45" s="2"/>
      <c r="J45" s="2"/>
      <c r="K45" s="2"/>
      <c r="L45" s="3"/>
      <c r="M45" s="4"/>
      <c r="N45" s="4"/>
      <c r="O45" s="1"/>
      <c r="P45" s="5"/>
      <c r="Q45" s="5"/>
      <c r="R45" s="67"/>
      <c r="S45" s="87" t="s">
        <v>37</v>
      </c>
      <c r="T45" s="88">
        <f>S38</f>
        <v>0</v>
      </c>
      <c r="U45" s="68"/>
      <c r="V45" s="56"/>
      <c r="W45" s="56"/>
      <c r="X45" s="56"/>
      <c r="Y45" s="5"/>
    </row>
    <row r="46" spans="1:25" ht="57.75" customHeight="1">
      <c r="A46" s="1"/>
      <c r="B46" s="1"/>
      <c r="C46" s="2"/>
      <c r="D46" s="2"/>
      <c r="E46" s="2"/>
      <c r="F46" s="2"/>
      <c r="G46" s="2"/>
      <c r="H46" s="2"/>
      <c r="I46" s="2"/>
      <c r="J46" s="2"/>
      <c r="K46" s="2"/>
      <c r="L46" s="3"/>
      <c r="M46" s="4"/>
      <c r="N46" s="4"/>
      <c r="O46" s="1"/>
      <c r="P46" s="5"/>
      <c r="Q46" s="5"/>
      <c r="R46" s="67"/>
      <c r="S46" s="89" t="s">
        <v>38</v>
      </c>
      <c r="T46" s="90">
        <v>0</v>
      </c>
      <c r="U46" s="68"/>
      <c r="V46" s="56"/>
      <c r="W46" s="56"/>
      <c r="X46" s="56"/>
      <c r="Y46" s="5"/>
    </row>
    <row r="47" spans="1:25" ht="63.75" customHeight="1">
      <c r="A47" s="1"/>
      <c r="B47" s="1"/>
      <c r="C47" s="2"/>
      <c r="D47" s="2"/>
      <c r="E47" s="2"/>
      <c r="F47" s="2"/>
      <c r="G47" s="2"/>
      <c r="H47" s="2"/>
      <c r="I47" s="2"/>
      <c r="J47" s="2"/>
      <c r="K47" s="2"/>
      <c r="L47" s="3"/>
      <c r="M47" s="4"/>
      <c r="N47" s="4"/>
      <c r="O47" s="1"/>
      <c r="P47" s="5"/>
      <c r="Q47" s="5"/>
      <c r="R47" s="67"/>
      <c r="S47" s="91" t="s">
        <v>39</v>
      </c>
      <c r="T47" s="90">
        <v>0</v>
      </c>
      <c r="U47" s="68"/>
      <c r="V47" s="56"/>
      <c r="W47" s="56"/>
      <c r="X47" s="56"/>
      <c r="Y47" s="5"/>
    </row>
    <row r="48" spans="1:25" ht="39.75" customHeight="1">
      <c r="A48" s="1"/>
      <c r="B48" s="1"/>
      <c r="C48" s="2"/>
      <c r="D48" s="2"/>
      <c r="E48" s="2"/>
      <c r="F48" s="2"/>
      <c r="G48" s="2"/>
      <c r="H48" s="2"/>
      <c r="I48" s="2"/>
      <c r="J48" s="2"/>
      <c r="K48" s="2"/>
      <c r="L48" s="3"/>
      <c r="M48" s="4"/>
      <c r="N48" s="4"/>
      <c r="O48" s="1"/>
      <c r="P48" s="5"/>
      <c r="Q48" s="5"/>
      <c r="R48" s="67"/>
      <c r="S48" s="89" t="s">
        <v>40</v>
      </c>
      <c r="T48" s="90">
        <v>0</v>
      </c>
      <c r="U48" s="68"/>
      <c r="V48" s="56"/>
      <c r="W48" s="56"/>
      <c r="X48" s="56"/>
      <c r="Y48" s="5"/>
    </row>
    <row r="49" spans="1:25" ht="43.5" customHeight="1">
      <c r="A49" s="1"/>
      <c r="B49" s="1"/>
      <c r="C49" s="2"/>
      <c r="D49" s="2"/>
      <c r="E49" s="2"/>
      <c r="F49" s="2"/>
      <c r="G49" s="2"/>
      <c r="H49" s="2"/>
      <c r="I49" s="2"/>
      <c r="J49" s="2"/>
      <c r="K49" s="2"/>
      <c r="L49" s="3"/>
      <c r="M49" s="4"/>
      <c r="N49" s="4"/>
      <c r="O49" s="1"/>
      <c r="P49" s="5"/>
      <c r="Q49" s="5"/>
      <c r="R49" s="67"/>
      <c r="S49" s="92" t="s">
        <v>41</v>
      </c>
      <c r="T49" s="93">
        <f>T45-T46-T47-T48</f>
        <v>0</v>
      </c>
      <c r="U49" s="68"/>
      <c r="V49" s="56"/>
      <c r="W49" s="56"/>
      <c r="X49" s="56"/>
      <c r="Y49" s="5"/>
    </row>
    <row r="50" spans="1:25" ht="23.25">
      <c r="A50" s="1"/>
      <c r="B50" s="1"/>
      <c r="C50" s="2"/>
      <c r="D50" s="2"/>
      <c r="E50" s="2"/>
      <c r="F50" s="2"/>
      <c r="G50" s="2"/>
      <c r="H50" s="2"/>
      <c r="I50" s="2"/>
      <c r="J50" s="2"/>
      <c r="K50" s="2"/>
      <c r="L50" s="3"/>
      <c r="M50" s="4"/>
      <c r="N50" s="4"/>
      <c r="O50" s="1"/>
      <c r="P50" s="5"/>
      <c r="Q50" s="5"/>
      <c r="R50" s="67"/>
      <c r="S50" s="68"/>
      <c r="T50" s="67"/>
      <c r="U50" s="68"/>
      <c r="V50" s="56"/>
      <c r="W50" s="56"/>
      <c r="X50" s="56"/>
      <c r="Y50" s="5"/>
    </row>
    <row r="51" spans="1:25" ht="23.25">
      <c r="A51" s="1"/>
      <c r="B51" s="1"/>
      <c r="C51" s="2"/>
      <c r="D51" s="2"/>
      <c r="E51" s="2"/>
      <c r="F51" s="2"/>
      <c r="G51" s="2"/>
      <c r="H51" s="2"/>
      <c r="I51" s="2"/>
      <c r="J51" s="2"/>
      <c r="K51" s="2"/>
      <c r="L51" s="94"/>
      <c r="M51" s="4"/>
      <c r="N51" s="4"/>
      <c r="O51" s="1"/>
      <c r="P51" s="5"/>
      <c r="Q51" s="5"/>
      <c r="R51" s="56"/>
      <c r="S51" s="56"/>
      <c r="T51" s="56"/>
      <c r="U51" s="56"/>
      <c r="V51" s="56"/>
      <c r="W51" s="56"/>
      <c r="X51" s="56"/>
      <c r="Y51" s="5"/>
    </row>
    <row r="52" spans="1:25" ht="23.25">
      <c r="A52" s="1"/>
      <c r="B52" s="1"/>
      <c r="C52" s="2"/>
      <c r="D52" s="2"/>
      <c r="E52" s="2"/>
      <c r="F52" s="2"/>
      <c r="G52" s="2"/>
      <c r="H52" s="2"/>
      <c r="I52" s="2"/>
      <c r="J52" s="2"/>
      <c r="K52" s="2"/>
      <c r="L52" s="94"/>
      <c r="M52" s="4"/>
      <c r="N52" s="4"/>
      <c r="O52" s="1"/>
      <c r="P52" s="5"/>
      <c r="Q52" s="5"/>
      <c r="R52" s="67"/>
      <c r="S52" s="95" t="s">
        <v>42</v>
      </c>
      <c r="T52" s="96" t="s">
        <v>43</v>
      </c>
      <c r="U52" s="97">
        <v>0.08</v>
      </c>
      <c r="V52" s="98" t="s">
        <v>44</v>
      </c>
      <c r="W52" s="56"/>
      <c r="X52" s="56"/>
      <c r="Y52" s="5"/>
    </row>
    <row r="53" spans="1:25" ht="23.25">
      <c r="A53" s="1"/>
      <c r="B53" s="1"/>
      <c r="C53" s="2"/>
      <c r="D53" s="2"/>
      <c r="E53" s="2"/>
      <c r="F53" s="2"/>
      <c r="G53" s="2"/>
      <c r="H53" s="2"/>
      <c r="I53" s="2"/>
      <c r="J53" s="2"/>
      <c r="K53" s="2"/>
      <c r="L53" s="94"/>
      <c r="M53" s="4"/>
      <c r="N53" s="4"/>
      <c r="O53" s="1"/>
      <c r="P53" s="5"/>
      <c r="Q53" s="5"/>
      <c r="R53" s="67"/>
      <c r="S53" s="99" t="s">
        <v>45</v>
      </c>
      <c r="T53" s="100" t="e">
        <f>IF(T52="Sim", U39, "R$ 0,00")</f>
        <v>#DIV/0!</v>
      </c>
      <c r="U53" s="5"/>
      <c r="V53" s="5"/>
      <c r="W53" s="56"/>
      <c r="X53" s="56"/>
      <c r="Y53" s="5"/>
    </row>
    <row r="54" spans="1:25" ht="23.25">
      <c r="A54" s="1"/>
      <c r="B54" s="1"/>
      <c r="C54" s="2"/>
      <c r="D54" s="2"/>
      <c r="E54" s="2"/>
      <c r="F54" s="2"/>
      <c r="G54" s="2"/>
      <c r="H54" s="2"/>
      <c r="I54" s="2"/>
      <c r="J54" s="2"/>
      <c r="K54" s="2"/>
      <c r="L54" s="94"/>
      <c r="M54" s="4"/>
      <c r="N54" s="4"/>
      <c r="O54" s="1"/>
      <c r="P54" s="5"/>
      <c r="Q54" s="5"/>
      <c r="R54" s="67"/>
      <c r="S54" s="99" t="str">
        <f>CONCATENATE("Aliquota ", TEXT(U52, "0%"))</f>
        <v>Aliquota 8%</v>
      </c>
      <c r="T54" s="100" t="e">
        <f>T53*U52</f>
        <v>#DIV/0!</v>
      </c>
      <c r="U54" s="5"/>
      <c r="V54" s="5"/>
      <c r="W54" s="56"/>
      <c r="X54" s="56"/>
      <c r="Y54" s="5"/>
    </row>
    <row r="55" spans="1:25" ht="23.25">
      <c r="A55" s="1"/>
      <c r="B55" s="1"/>
      <c r="C55" s="2"/>
      <c r="D55" s="2"/>
      <c r="E55" s="2"/>
      <c r="F55" s="2"/>
      <c r="G55" s="2"/>
      <c r="H55" s="2"/>
      <c r="I55" s="2"/>
      <c r="J55" s="2"/>
      <c r="K55" s="2"/>
      <c r="L55" s="3"/>
      <c r="M55" s="4"/>
      <c r="N55" s="4"/>
      <c r="O55" s="1"/>
      <c r="P55" s="5"/>
      <c r="Q55" s="5"/>
      <c r="R55" s="67"/>
      <c r="S55" s="101" t="s">
        <v>46</v>
      </c>
      <c r="T55" s="102" t="e">
        <f>T54</f>
        <v>#DIV/0!</v>
      </c>
      <c r="U55" s="5"/>
      <c r="V55" s="5"/>
      <c r="W55" s="56"/>
      <c r="X55" s="56"/>
      <c r="Y55" s="5"/>
    </row>
    <row r="56" spans="1:25" ht="23.25">
      <c r="A56" s="1"/>
      <c r="B56" s="1"/>
      <c r="C56" s="2"/>
      <c r="D56" s="2"/>
      <c r="E56" s="2"/>
      <c r="F56" s="2"/>
      <c r="G56" s="2"/>
      <c r="H56" s="2"/>
      <c r="I56" s="2"/>
      <c r="J56" s="2"/>
      <c r="K56" s="2"/>
      <c r="L56" s="3"/>
      <c r="M56" s="4"/>
      <c r="N56" s="4"/>
      <c r="O56" s="1"/>
      <c r="P56" s="5"/>
      <c r="Q56" s="5"/>
      <c r="R56" s="5"/>
      <c r="S56" s="5"/>
      <c r="T56" s="5"/>
      <c r="U56" s="5"/>
      <c r="V56" s="103"/>
      <c r="W56" s="56"/>
      <c r="X56" s="56"/>
      <c r="Y56" s="5"/>
    </row>
    <row r="57" spans="1:25" ht="23.25">
      <c r="A57" s="1"/>
      <c r="B57" s="1"/>
      <c r="C57" s="2"/>
      <c r="D57" s="2"/>
      <c r="E57" s="2"/>
      <c r="F57" s="2"/>
      <c r="G57" s="2"/>
      <c r="H57" s="2"/>
      <c r="I57" s="2"/>
      <c r="J57" s="2"/>
      <c r="K57" s="2"/>
      <c r="L57" s="3"/>
      <c r="M57" s="4"/>
      <c r="N57" s="4"/>
      <c r="O57" s="1"/>
      <c r="P57" s="5"/>
      <c r="Q57" s="5"/>
      <c r="R57" s="5"/>
      <c r="S57" s="5"/>
      <c r="T57" s="5"/>
      <c r="U57" s="5"/>
      <c r="V57" s="56"/>
      <c r="W57" s="56"/>
      <c r="X57" s="56"/>
      <c r="Y57" s="5"/>
    </row>
    <row r="58" spans="1:25" ht="23.25">
      <c r="A58" s="1"/>
      <c r="B58" s="1"/>
      <c r="C58" s="2"/>
      <c r="D58" s="2"/>
      <c r="E58" s="2"/>
      <c r="F58" s="2"/>
      <c r="G58" s="2"/>
      <c r="H58" s="2"/>
      <c r="I58" s="2"/>
      <c r="J58" s="2"/>
      <c r="K58" s="2"/>
      <c r="L58" s="3"/>
      <c r="M58" s="4"/>
      <c r="N58" s="4"/>
      <c r="O58" s="1"/>
      <c r="P58" s="5"/>
      <c r="Q58" s="5"/>
      <c r="R58" s="67"/>
      <c r="S58" s="154" t="s">
        <v>47</v>
      </c>
      <c r="T58" s="154"/>
      <c r="U58" s="68"/>
      <c r="V58" s="56"/>
      <c r="W58" s="56"/>
      <c r="X58" s="56"/>
      <c r="Y58" s="5"/>
    </row>
    <row r="59" spans="1:25" ht="23.25">
      <c r="A59" s="1"/>
      <c r="B59" s="1"/>
      <c r="C59" s="2"/>
      <c r="D59" s="2"/>
      <c r="E59" s="2"/>
      <c r="F59" s="2"/>
      <c r="G59" s="2"/>
      <c r="H59" s="2"/>
      <c r="I59" s="2"/>
      <c r="J59" s="2"/>
      <c r="K59" s="2"/>
      <c r="L59" s="3"/>
      <c r="M59" s="4"/>
      <c r="N59" s="4"/>
      <c r="O59" s="1"/>
      <c r="P59" s="5"/>
      <c r="Q59" s="5"/>
      <c r="R59" s="67"/>
      <c r="S59" s="104">
        <f>(IF(V64="Sim",R30,0))</f>
        <v>0</v>
      </c>
      <c r="T59" s="105">
        <v>61</v>
      </c>
      <c r="U59" s="68"/>
      <c r="V59" s="56"/>
      <c r="W59" s="56"/>
      <c r="X59" s="56"/>
      <c r="Y59" s="5"/>
    </row>
    <row r="60" spans="1:25" ht="23.25">
      <c r="A60" s="1"/>
      <c r="B60" s="1"/>
      <c r="C60" s="2"/>
      <c r="D60" s="2"/>
      <c r="E60" s="2"/>
      <c r="F60" s="2"/>
      <c r="G60" s="2"/>
      <c r="H60" s="2"/>
      <c r="I60" s="2"/>
      <c r="J60" s="2"/>
      <c r="K60" s="2"/>
      <c r="L60" s="3"/>
      <c r="M60" s="4"/>
      <c r="N60" s="4"/>
      <c r="O60" s="1"/>
      <c r="P60" s="5"/>
      <c r="Q60" s="5"/>
      <c r="R60" s="67"/>
      <c r="S60" s="104">
        <f>T45</f>
        <v>0</v>
      </c>
      <c r="T60" s="106" t="s">
        <v>48</v>
      </c>
      <c r="U60" s="68"/>
      <c r="V60" s="56"/>
      <c r="W60" s="56"/>
      <c r="X60" s="56"/>
      <c r="Y60" s="5"/>
    </row>
    <row r="61" spans="1:25" ht="23.25">
      <c r="A61" s="1"/>
      <c r="B61" s="1"/>
      <c r="C61" s="2"/>
      <c r="D61" s="2"/>
      <c r="E61" s="2"/>
      <c r="F61" s="2"/>
      <c r="G61" s="2"/>
      <c r="H61" s="2"/>
      <c r="I61" s="2"/>
      <c r="J61" s="2"/>
      <c r="K61" s="2"/>
      <c r="L61" s="107"/>
      <c r="M61" s="4"/>
      <c r="N61" s="4"/>
      <c r="O61" s="1"/>
      <c r="P61" s="5"/>
      <c r="Q61" s="5"/>
      <c r="R61" s="67"/>
      <c r="S61" s="108"/>
      <c r="T61" s="109" t="e">
        <f>(S60*T59)/S59</f>
        <v>#DIV/0!</v>
      </c>
      <c r="U61" s="56"/>
      <c r="V61" s="56"/>
      <c r="W61" s="56"/>
      <c r="X61" s="56"/>
      <c r="Y61" s="5"/>
    </row>
    <row r="62" spans="1:25" ht="23.25">
      <c r="A62" s="1"/>
      <c r="B62" s="1"/>
      <c r="C62" s="2"/>
      <c r="D62" s="2"/>
      <c r="E62" s="2"/>
      <c r="F62" s="2"/>
      <c r="G62" s="2"/>
      <c r="H62" s="2"/>
      <c r="I62" s="2"/>
      <c r="J62" s="2"/>
      <c r="K62" s="2"/>
      <c r="L62" s="107"/>
      <c r="M62" s="4"/>
      <c r="N62" s="4"/>
      <c r="O62" s="1"/>
      <c r="P62" s="5"/>
      <c r="Q62" s="5"/>
      <c r="R62" s="56"/>
      <c r="S62" s="56"/>
      <c r="T62" s="56"/>
      <c r="U62" s="56"/>
      <c r="V62" s="56"/>
      <c r="W62" s="56"/>
      <c r="X62" s="56"/>
      <c r="Y62" s="5"/>
    </row>
    <row r="63" spans="1:25" ht="23.25">
      <c r="A63" s="1"/>
      <c r="B63" s="1"/>
      <c r="C63" s="2"/>
      <c r="D63" s="2"/>
      <c r="E63" s="2"/>
      <c r="F63" s="2"/>
      <c r="G63" s="2"/>
      <c r="H63" s="2"/>
      <c r="I63" s="2"/>
      <c r="J63" s="2"/>
      <c r="K63" s="2"/>
      <c r="L63" s="107"/>
      <c r="M63" s="4"/>
      <c r="N63" s="4"/>
      <c r="O63" s="1"/>
      <c r="P63" s="5"/>
      <c r="Q63" s="5"/>
      <c r="R63" s="56"/>
      <c r="S63" s="56"/>
      <c r="T63" s="56"/>
      <c r="U63" s="56"/>
      <c r="V63" s="56"/>
      <c r="W63" s="56"/>
      <c r="X63" s="56"/>
      <c r="Y63" s="5"/>
    </row>
    <row r="64" spans="1:25" ht="23.25">
      <c r="A64" s="1"/>
      <c r="B64" s="1"/>
      <c r="C64" s="2"/>
      <c r="D64" s="2"/>
      <c r="E64" s="2"/>
      <c r="F64" s="2"/>
      <c r="G64" s="2"/>
      <c r="H64" s="2"/>
      <c r="I64" s="2"/>
      <c r="J64" s="2"/>
      <c r="K64" s="2"/>
      <c r="L64" s="3"/>
      <c r="M64" s="4"/>
      <c r="N64" s="4"/>
      <c r="O64" s="1"/>
      <c r="P64" s="5"/>
      <c r="Q64" s="5"/>
      <c r="R64" s="5"/>
      <c r="S64" s="155" t="s">
        <v>49</v>
      </c>
      <c r="T64" s="110" t="s">
        <v>50</v>
      </c>
      <c r="U64" s="111" t="e">
        <f>U39</f>
        <v>#DIV/0!</v>
      </c>
      <c r="V64" s="156" t="s">
        <v>43</v>
      </c>
      <c r="W64" s="112"/>
      <c r="X64" s="56"/>
      <c r="Y64" s="5"/>
    </row>
    <row r="65" spans="1:25" ht="56.25" customHeight="1">
      <c r="A65" s="1"/>
      <c r="B65" s="1"/>
      <c r="C65" s="2"/>
      <c r="D65" s="2"/>
      <c r="E65" s="2"/>
      <c r="F65" s="2"/>
      <c r="G65" s="2"/>
      <c r="H65" s="2"/>
      <c r="I65" s="2"/>
      <c r="J65" s="2"/>
      <c r="K65" s="2"/>
      <c r="L65" s="3"/>
      <c r="M65" s="4"/>
      <c r="N65" s="4"/>
      <c r="O65" s="1"/>
      <c r="P65" s="5"/>
      <c r="Q65" s="38"/>
      <c r="R65" s="5"/>
      <c r="S65" s="155"/>
      <c r="T65" s="113" t="s">
        <v>51</v>
      </c>
      <c r="U65" s="114">
        <v>0</v>
      </c>
      <c r="V65" s="156"/>
      <c r="W65" s="56"/>
      <c r="X65" s="56"/>
      <c r="Y65" s="5"/>
    </row>
    <row r="66" spans="1:25" ht="23.25">
      <c r="A66" s="1"/>
      <c r="B66" s="1"/>
      <c r="C66" s="2"/>
      <c r="D66" s="2"/>
      <c r="E66" s="2"/>
      <c r="F66" s="2"/>
      <c r="G66" s="2"/>
      <c r="H66" s="2"/>
      <c r="I66" s="2"/>
      <c r="J66" s="2"/>
      <c r="K66" s="2"/>
      <c r="L66" s="3"/>
      <c r="M66" s="4"/>
      <c r="N66" s="4"/>
      <c r="O66" s="1"/>
      <c r="P66" s="5"/>
      <c r="Q66" s="115"/>
      <c r="R66" s="5"/>
      <c r="S66" s="116" t="s">
        <v>52</v>
      </c>
      <c r="T66" s="117"/>
      <c r="U66" s="118">
        <v>0</v>
      </c>
      <c r="V66" s="119"/>
      <c r="W66" s="56"/>
      <c r="X66" s="56"/>
      <c r="Y66" s="5"/>
    </row>
    <row r="67" spans="1:25" ht="23.25">
      <c r="A67" s="1"/>
      <c r="B67" s="1"/>
      <c r="C67" s="2"/>
      <c r="D67" s="2"/>
      <c r="E67" s="2"/>
      <c r="F67" s="2"/>
      <c r="G67" s="2"/>
      <c r="H67" s="2"/>
      <c r="I67" s="2"/>
      <c r="J67" s="2"/>
      <c r="K67" s="2"/>
      <c r="L67" s="3"/>
      <c r="M67" s="4"/>
      <c r="N67" s="4"/>
      <c r="O67" s="1"/>
      <c r="P67" s="5"/>
      <c r="Q67" s="5"/>
      <c r="R67" s="5"/>
      <c r="S67" s="120" t="s">
        <v>53</v>
      </c>
      <c r="T67" s="103"/>
      <c r="U67" s="121">
        <v>0</v>
      </c>
      <c r="V67" s="119"/>
      <c r="W67" s="56"/>
      <c r="X67" s="56"/>
      <c r="Y67" s="5"/>
    </row>
    <row r="68" spans="1:25" ht="51.2" customHeight="1">
      <c r="A68" s="1"/>
      <c r="B68" s="1"/>
      <c r="C68" s="2"/>
      <c r="D68" s="2"/>
      <c r="E68" s="2"/>
      <c r="F68" s="2"/>
      <c r="G68" s="2"/>
      <c r="H68" s="2"/>
      <c r="I68" s="2"/>
      <c r="J68" s="2"/>
      <c r="K68" s="2"/>
      <c r="L68" s="4"/>
      <c r="M68" s="4"/>
      <c r="N68" s="4"/>
      <c r="O68" s="1"/>
      <c r="P68" s="5"/>
      <c r="Q68" s="5"/>
      <c r="R68" s="5"/>
      <c r="S68" s="122" t="s">
        <v>54</v>
      </c>
      <c r="T68" s="56"/>
      <c r="U68" s="123" t="e">
        <f>U64-U65-U66-U67</f>
        <v>#DIV/0!</v>
      </c>
      <c r="V68" s="119"/>
      <c r="W68" s="56"/>
      <c r="X68" s="56"/>
      <c r="Y68" s="5"/>
    </row>
    <row r="69" spans="1:25" ht="23.25">
      <c r="A69" s="1"/>
      <c r="B69" s="1"/>
      <c r="C69" s="2"/>
      <c r="D69" s="2"/>
      <c r="E69" s="2"/>
      <c r="F69" s="2"/>
      <c r="G69" s="2"/>
      <c r="H69" s="2"/>
      <c r="I69" s="2"/>
      <c r="J69" s="2"/>
      <c r="K69" s="2"/>
      <c r="L69" s="2"/>
      <c r="M69" s="4"/>
      <c r="N69" s="4"/>
      <c r="O69" s="1"/>
      <c r="P69" s="5"/>
      <c r="Q69" s="5"/>
      <c r="R69" s="5"/>
      <c r="S69" s="124" t="s">
        <v>55</v>
      </c>
      <c r="T69" s="56"/>
      <c r="U69" s="123" t="e">
        <f>T55</f>
        <v>#DIV/0!</v>
      </c>
      <c r="V69" s="125"/>
      <c r="W69" s="5"/>
      <c r="X69" s="56"/>
      <c r="Y69" s="5"/>
    </row>
    <row r="70" spans="1:25" ht="23.25">
      <c r="A70" s="1"/>
      <c r="B70" s="1"/>
      <c r="C70" s="2"/>
      <c r="D70" s="2"/>
      <c r="E70" s="2"/>
      <c r="F70" s="2"/>
      <c r="G70" s="2"/>
      <c r="H70" s="2"/>
      <c r="I70" s="2"/>
      <c r="J70" s="2"/>
      <c r="K70" s="2"/>
      <c r="L70" s="2"/>
      <c r="M70" s="4"/>
      <c r="N70" s="4"/>
      <c r="O70" s="1"/>
      <c r="P70" s="5"/>
      <c r="Q70" s="5"/>
      <c r="R70" s="5"/>
      <c r="S70" s="126" t="s">
        <v>56</v>
      </c>
      <c r="T70" s="127"/>
      <c r="U70" s="128" t="e">
        <f>U68-U69</f>
        <v>#DIV/0!</v>
      </c>
      <c r="V70" s="129"/>
      <c r="W70" s="5"/>
      <c r="X70" s="56"/>
      <c r="Y70" s="5"/>
    </row>
    <row r="71" spans="1:25" ht="23.25">
      <c r="A71" s="1"/>
      <c r="B71" s="1"/>
      <c r="C71" s="2"/>
      <c r="D71" s="2"/>
      <c r="E71" s="2"/>
      <c r="F71" s="2"/>
      <c r="G71" s="2"/>
      <c r="H71" s="2"/>
      <c r="I71" s="2"/>
      <c r="J71" s="2"/>
      <c r="K71" s="2"/>
      <c r="L71" s="2"/>
      <c r="M71" s="4"/>
      <c r="N71" s="4"/>
      <c r="O71" s="1"/>
      <c r="P71" s="5"/>
      <c r="Q71" s="5"/>
      <c r="R71" s="5"/>
      <c r="S71" s="120" t="s">
        <v>47</v>
      </c>
      <c r="T71" s="103"/>
      <c r="U71" s="130" t="e">
        <f>ROUND(T61,0)</f>
        <v>#DIV/0!</v>
      </c>
      <c r="V71" s="119"/>
      <c r="W71" s="5"/>
      <c r="X71" s="5"/>
      <c r="Y71" s="5"/>
    </row>
    <row r="72" spans="1:25" ht="23.25">
      <c r="A72" s="1"/>
      <c r="B72" s="1"/>
      <c r="C72" s="4"/>
      <c r="D72" s="4"/>
      <c r="E72" s="4"/>
      <c r="F72" s="4"/>
      <c r="G72" s="4"/>
      <c r="H72" s="4"/>
      <c r="I72" s="4"/>
      <c r="J72" s="4"/>
      <c r="K72" s="4"/>
      <c r="L72" s="4"/>
      <c r="M72" s="131"/>
      <c r="N72" s="4"/>
      <c r="O72" s="1"/>
      <c r="P72" s="5"/>
      <c r="Q72" s="5"/>
      <c r="R72" s="5"/>
      <c r="S72" s="120" t="s">
        <v>57</v>
      </c>
      <c r="T72" s="103"/>
      <c r="U72" s="121" t="e">
        <f>U70/U71</f>
        <v>#DIV/0!</v>
      </c>
      <c r="V72" s="132"/>
      <c r="W72" s="5"/>
      <c r="X72" s="5"/>
      <c r="Y72" s="5"/>
    </row>
    <row r="73" spans="1:25" ht="23.25">
      <c r="A73" s="1"/>
      <c r="B73" s="1"/>
      <c r="C73" s="12"/>
      <c r="D73" s="2"/>
      <c r="E73" s="2"/>
      <c r="F73" s="2"/>
      <c r="G73" s="2"/>
      <c r="H73" s="2"/>
      <c r="I73" s="2"/>
      <c r="J73" s="2"/>
      <c r="K73" s="2"/>
      <c r="L73" s="2"/>
      <c r="M73" s="2"/>
      <c r="N73" s="4"/>
      <c r="O73" s="1"/>
      <c r="P73" s="5"/>
      <c r="Q73" s="5"/>
      <c r="R73" s="5"/>
      <c r="S73" s="120" t="s">
        <v>58</v>
      </c>
      <c r="T73" s="103"/>
      <c r="U73" s="133" t="e">
        <f>IF(U72&gt;=[1]IR!$B$4, [1]IR!$C$4, IF(U72&gt;=[1]IR!$B$5, [1]IR!$C$5, IF(U72&gt;=[1]IR!$B$6, [1]IR!$C$6, IF(U72&gt;=[1]IR!$B$7, [1]IR!$C$7, [1]IR!$C$8))))</f>
        <v>#DIV/0!</v>
      </c>
      <c r="V73" s="119"/>
      <c r="W73" s="5"/>
      <c r="X73" s="5"/>
      <c r="Y73" s="5"/>
    </row>
    <row r="74" spans="1:25" ht="23.25">
      <c r="A74" s="1"/>
      <c r="B74" s="1"/>
      <c r="C74" s="12"/>
      <c r="D74" s="2"/>
      <c r="E74" s="2"/>
      <c r="F74" s="2"/>
      <c r="G74" s="2"/>
      <c r="H74" s="2"/>
      <c r="I74" s="2"/>
      <c r="J74" s="2"/>
      <c r="K74" s="2"/>
      <c r="L74" s="2"/>
      <c r="M74" s="2"/>
      <c r="N74" s="4"/>
      <c r="O74" s="1"/>
      <c r="P74" s="5"/>
      <c r="Q74" s="5"/>
      <c r="R74" s="129"/>
      <c r="S74" s="120" t="s">
        <v>59</v>
      </c>
      <c r="T74" s="103"/>
      <c r="U74" s="121" t="e">
        <f>IF(U73=[1]IR!$C$7, U72*U73-[1]IR!$D$7, IF(U73=[1]IR!$C$6, U72*U73-[1]IR!$D$6, IF(U73=[1]IR!$C$5, U72*U73-[1]IR!$D$5, IF(U73=[1]IR!$C$4, U72*U73-[1]IR!$D$4, [1]IR!$D$8))))</f>
        <v>#DIV/0!</v>
      </c>
      <c r="V74" s="119"/>
      <c r="W74" s="5"/>
      <c r="X74" s="5"/>
      <c r="Y74" s="5"/>
    </row>
    <row r="75" spans="1:25" ht="23.25">
      <c r="A75" s="1"/>
      <c r="B75" s="1"/>
      <c r="C75" s="3"/>
      <c r="D75" s="2"/>
      <c r="E75" s="2"/>
      <c r="F75" s="2"/>
      <c r="G75" s="2"/>
      <c r="H75" s="2"/>
      <c r="I75" s="2"/>
      <c r="J75" s="2"/>
      <c r="K75" s="2"/>
      <c r="L75" s="2"/>
      <c r="M75" s="2"/>
      <c r="N75" s="3"/>
      <c r="O75" s="1"/>
      <c r="P75" s="5"/>
      <c r="Q75" s="5"/>
      <c r="R75" s="129"/>
      <c r="S75" s="134" t="s">
        <v>60</v>
      </c>
      <c r="T75" s="135" t="e">
        <f>"(" &amp; U71 &amp; " meses)"</f>
        <v>#DIV/0!</v>
      </c>
      <c r="U75" s="136" t="e">
        <f>IF(V64="sim", U74*U71, 0)</f>
        <v>#DIV/0!</v>
      </c>
      <c r="V75" s="119"/>
      <c r="W75" s="5"/>
      <c r="X75" s="5"/>
      <c r="Y75" s="5"/>
    </row>
    <row r="76" spans="1:25" ht="23.25">
      <c r="A76" s="1"/>
      <c r="B76" s="1"/>
      <c r="C76" s="3"/>
      <c r="D76" s="2"/>
      <c r="E76" s="2"/>
      <c r="F76" s="2"/>
      <c r="G76" s="2"/>
      <c r="H76" s="2"/>
      <c r="I76" s="2"/>
      <c r="J76" s="2"/>
      <c r="K76" s="2"/>
      <c r="L76" s="2"/>
      <c r="M76" s="2"/>
      <c r="N76" s="3"/>
      <c r="O76" s="1"/>
      <c r="P76" s="5"/>
      <c r="Q76" s="137"/>
      <c r="R76" s="5"/>
      <c r="S76" s="5"/>
      <c r="T76" s="5"/>
      <c r="U76" s="5"/>
      <c r="V76" s="5"/>
      <c r="W76" s="5"/>
      <c r="X76" s="5"/>
      <c r="Y76" s="5"/>
    </row>
    <row r="77" spans="1:25" ht="99" customHeight="1">
      <c r="A77" s="1"/>
      <c r="B77" s="1"/>
      <c r="C77" s="3"/>
      <c r="D77" s="2"/>
      <c r="E77" s="2"/>
      <c r="F77" s="2"/>
      <c r="G77" s="2"/>
      <c r="H77" s="2"/>
      <c r="I77" s="2"/>
      <c r="J77" s="2"/>
      <c r="K77" s="2"/>
      <c r="L77" s="2"/>
      <c r="M77" s="2"/>
      <c r="N77" s="3"/>
      <c r="O77" s="1"/>
      <c r="P77" s="5"/>
      <c r="Q77" s="137"/>
      <c r="R77" s="5"/>
      <c r="S77" s="5"/>
      <c r="T77" s="5"/>
      <c r="U77" s="5"/>
      <c r="V77" s="5"/>
      <c r="W77" s="5"/>
      <c r="X77" s="5"/>
      <c r="Y77" s="5"/>
    </row>
    <row r="78" spans="1:25" ht="23.25">
      <c r="A78" s="1"/>
      <c r="B78" s="1"/>
      <c r="C78" s="3"/>
      <c r="D78" s="2"/>
      <c r="E78" s="2"/>
      <c r="F78" s="2"/>
      <c r="G78" s="2"/>
      <c r="H78" s="2"/>
      <c r="I78" s="2"/>
      <c r="J78" s="2"/>
      <c r="K78" s="2"/>
      <c r="L78" s="2"/>
      <c r="M78" s="2"/>
      <c r="N78" s="3"/>
      <c r="O78" s="1"/>
      <c r="P78" s="5"/>
      <c r="Q78" s="138"/>
      <c r="R78" s="5"/>
      <c r="S78" s="5"/>
      <c r="T78" s="5"/>
      <c r="U78" s="5"/>
      <c r="V78" s="5"/>
      <c r="W78" s="5"/>
      <c r="X78" s="5"/>
      <c r="Y78" s="5"/>
    </row>
    <row r="79" spans="1:25" ht="23.25">
      <c r="A79" s="1"/>
      <c r="B79" s="1"/>
      <c r="C79" s="3"/>
      <c r="D79" s="2"/>
      <c r="E79" s="2"/>
      <c r="F79" s="2"/>
      <c r="G79" s="2"/>
      <c r="H79" s="2"/>
      <c r="I79" s="2"/>
      <c r="J79" s="2"/>
      <c r="K79" s="2"/>
      <c r="L79" s="2"/>
      <c r="M79" s="2"/>
      <c r="N79" s="3"/>
      <c r="O79" s="1"/>
      <c r="P79" s="5"/>
      <c r="Q79" s="139"/>
      <c r="R79" s="5"/>
      <c r="S79" s="5"/>
      <c r="T79" s="5"/>
      <c r="U79" s="5"/>
      <c r="V79" s="5"/>
      <c r="W79" s="5"/>
      <c r="X79" s="5"/>
      <c r="Y79" s="5"/>
    </row>
    <row r="80" spans="1:25" ht="28.5" customHeight="1">
      <c r="A80" s="1"/>
      <c r="B80" s="1"/>
      <c r="C80" s="3"/>
      <c r="D80" s="2"/>
      <c r="E80" s="2"/>
      <c r="F80" s="2"/>
      <c r="G80" s="2"/>
      <c r="H80" s="2"/>
      <c r="I80" s="2"/>
      <c r="J80" s="2"/>
      <c r="K80" s="2"/>
      <c r="L80" s="2"/>
      <c r="M80" s="2"/>
      <c r="N80" s="3"/>
      <c r="O80" s="1"/>
      <c r="P80" s="5"/>
      <c r="Q80" s="5"/>
      <c r="R80" s="5"/>
      <c r="S80" s="5"/>
      <c r="T80" s="5"/>
      <c r="U80" s="5"/>
      <c r="V80" s="5"/>
      <c r="W80" s="5"/>
      <c r="X80" s="5"/>
      <c r="Y80" s="5"/>
    </row>
    <row r="81" spans="1:26" ht="26.25" customHeight="1">
      <c r="A81" s="1"/>
      <c r="B81" s="1"/>
      <c r="C81" s="3"/>
      <c r="D81" s="2"/>
      <c r="E81" s="2"/>
      <c r="F81" s="2"/>
      <c r="G81" s="2"/>
      <c r="H81" s="2"/>
      <c r="I81" s="2"/>
      <c r="J81" s="2"/>
      <c r="K81" s="2"/>
      <c r="L81" s="2"/>
      <c r="M81" s="2"/>
      <c r="N81" s="3"/>
      <c r="O81" s="1"/>
      <c r="P81" s="5"/>
      <c r="Q81" s="5"/>
      <c r="R81" s="5"/>
      <c r="S81" s="5"/>
      <c r="T81" s="5"/>
      <c r="U81" s="5"/>
      <c r="V81" s="5"/>
      <c r="W81" s="5"/>
      <c r="X81" s="5"/>
      <c r="Y81" s="5"/>
    </row>
    <row r="82" spans="1:26" ht="27" customHeight="1">
      <c r="A82" s="1"/>
      <c r="B82" s="1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1"/>
      <c r="P82" s="5"/>
      <c r="Q82" s="5"/>
      <c r="R82" s="5"/>
      <c r="S82" s="5"/>
      <c r="T82" s="5"/>
      <c r="U82" s="5"/>
      <c r="V82" s="5"/>
      <c r="W82" s="5"/>
      <c r="X82" s="5"/>
      <c r="Y82" s="5"/>
    </row>
    <row r="83" spans="1:26" ht="21" customHeight="1">
      <c r="A83" s="1"/>
      <c r="B83" s="1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1"/>
      <c r="P83" s="5"/>
      <c r="Q83" s="5"/>
      <c r="R83" s="5"/>
      <c r="S83" s="5"/>
      <c r="T83" s="5"/>
      <c r="U83" s="5"/>
      <c r="V83" s="5"/>
      <c r="W83" s="5"/>
      <c r="X83" s="5"/>
      <c r="Y83" s="5"/>
    </row>
    <row r="84" spans="1:26" ht="23.25">
      <c r="A84" s="1"/>
      <c r="B84" s="1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1"/>
      <c r="P84" s="5"/>
      <c r="Q84" s="5"/>
      <c r="R84" s="5"/>
      <c r="S84" s="5"/>
      <c r="T84" s="5"/>
      <c r="U84" s="5"/>
      <c r="V84" s="5"/>
      <c r="W84" s="5"/>
      <c r="X84" s="5"/>
      <c r="Y84" s="5"/>
    </row>
    <row r="85" spans="1:26" ht="23.25">
      <c r="A85" s="1"/>
      <c r="B85" s="1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1"/>
      <c r="P85" s="5"/>
      <c r="Q85" s="5"/>
      <c r="R85" s="5"/>
      <c r="S85" s="5"/>
      <c r="T85" s="5"/>
      <c r="U85" s="5"/>
      <c r="V85" s="5"/>
      <c r="W85" s="119"/>
      <c r="X85" s="119"/>
      <c r="Y85" s="5"/>
    </row>
    <row r="86" spans="1:26" ht="23.25">
      <c r="A86" s="1"/>
      <c r="B86" s="1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1"/>
      <c r="P86" s="5"/>
      <c r="Q86" s="5"/>
      <c r="R86" s="5"/>
      <c r="S86" s="5"/>
      <c r="T86" s="5"/>
      <c r="U86" s="5"/>
      <c r="V86" s="129"/>
      <c r="W86" s="5"/>
      <c r="X86" s="5"/>
      <c r="Y86" s="5"/>
    </row>
    <row r="87" spans="1:26" ht="23.25">
      <c r="A87" s="1"/>
      <c r="B87" s="1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1"/>
      <c r="P87" s="5"/>
      <c r="Q87" s="5"/>
      <c r="R87" s="5"/>
      <c r="S87" s="5"/>
      <c r="T87" s="5"/>
      <c r="U87" s="5"/>
      <c r="V87" s="129"/>
      <c r="W87" s="5"/>
      <c r="X87" s="5"/>
      <c r="Y87" s="5"/>
    </row>
    <row r="88" spans="1:26" ht="23.25">
      <c r="A88" s="1"/>
      <c r="B88" s="1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1"/>
      <c r="P88" s="5"/>
      <c r="Q88" s="5"/>
      <c r="R88" s="5"/>
      <c r="S88" s="5"/>
      <c r="T88" s="5"/>
      <c r="U88" s="5"/>
      <c r="V88" s="103"/>
      <c r="W88" s="5"/>
      <c r="X88" s="5"/>
      <c r="Y88" s="5"/>
    </row>
    <row r="89" spans="1:26" ht="23.25">
      <c r="A89" s="1"/>
      <c r="B89" s="1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1"/>
      <c r="P89" s="5"/>
      <c r="Q89" s="5"/>
      <c r="R89" s="5"/>
      <c r="S89" s="5"/>
      <c r="T89" s="5"/>
      <c r="U89" s="5"/>
      <c r="V89" s="103"/>
      <c r="W89" s="5"/>
      <c r="X89" s="5"/>
      <c r="Y89" s="5"/>
    </row>
    <row r="90" spans="1:26" ht="23.25">
      <c r="A90" s="1"/>
      <c r="B90" s="1"/>
      <c r="C90" s="3"/>
      <c r="D90" s="3"/>
      <c r="E90" s="3"/>
      <c r="F90" s="3"/>
      <c r="G90" s="3"/>
      <c r="H90" s="3"/>
      <c r="I90" s="3"/>
      <c r="J90" s="4"/>
      <c r="K90" s="3"/>
      <c r="L90" s="3"/>
      <c r="M90" s="3"/>
      <c r="N90" s="3"/>
      <c r="O90" s="1"/>
      <c r="P90" s="5"/>
      <c r="Q90" s="5"/>
      <c r="R90" s="119"/>
      <c r="S90" s="119"/>
      <c r="T90" s="119"/>
      <c r="U90" s="119"/>
      <c r="V90" s="129"/>
      <c r="W90" s="5"/>
      <c r="X90" s="5"/>
      <c r="Y90" s="5"/>
    </row>
    <row r="91" spans="1:26" ht="23.25">
      <c r="A91" s="1"/>
      <c r="B91" s="1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1"/>
      <c r="P91" s="5"/>
      <c r="Q91" s="5"/>
      <c r="R91" s="119"/>
      <c r="S91" s="119"/>
      <c r="T91" s="119"/>
      <c r="U91" s="119"/>
      <c r="V91" s="103"/>
      <c r="W91" s="5"/>
      <c r="X91" s="5"/>
      <c r="Y91" s="5"/>
    </row>
    <row r="92" spans="1:26" ht="23.25">
      <c r="A92" s="1"/>
      <c r="B92" s="1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1"/>
      <c r="P92" s="5"/>
      <c r="Q92" s="5"/>
      <c r="R92" s="5"/>
      <c r="S92" s="5"/>
      <c r="T92" s="5"/>
      <c r="U92" s="5"/>
      <c r="V92" s="5"/>
      <c r="W92" s="5"/>
      <c r="X92" s="5"/>
      <c r="Y92" s="5"/>
    </row>
    <row r="93" spans="1:26" ht="23.25">
      <c r="A93" s="1"/>
      <c r="B93" s="1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1"/>
      <c r="P93" s="5"/>
      <c r="Q93" s="5"/>
      <c r="R93" s="5"/>
      <c r="S93" s="5"/>
      <c r="T93" s="5"/>
      <c r="U93" s="5"/>
      <c r="V93" s="5"/>
      <c r="W93" s="5"/>
      <c r="X93" s="5"/>
      <c r="Y93" s="5"/>
      <c r="Z93" s="6" t="e">
        <f>ROUND(T61,0)</f>
        <v>#DIV/0!</v>
      </c>
    </row>
    <row r="94" spans="1:26" ht="23.25">
      <c r="A94" s="1"/>
      <c r="B94" s="1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1"/>
      <c r="P94" s="5"/>
      <c r="Q94" s="5"/>
      <c r="R94" s="5"/>
      <c r="S94" s="5"/>
      <c r="T94" s="5"/>
      <c r="U94" s="5"/>
      <c r="V94" s="5"/>
      <c r="W94" s="5"/>
      <c r="X94" s="5"/>
      <c r="Y94" s="5"/>
    </row>
    <row r="95" spans="1:26" ht="23.25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119"/>
      <c r="S95" s="119"/>
      <c r="T95" s="119"/>
      <c r="U95" s="119"/>
      <c r="V95" s="119"/>
      <c r="W95" s="119"/>
      <c r="X95" s="119"/>
      <c r="Y95" s="5"/>
    </row>
    <row r="96" spans="1:26" ht="18.95" customHeight="1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119"/>
      <c r="S96" s="119"/>
      <c r="T96" s="119"/>
      <c r="U96" s="119"/>
      <c r="V96" s="119"/>
      <c r="W96" s="119"/>
      <c r="X96" s="119"/>
      <c r="Y96" s="5"/>
    </row>
    <row r="97" spans="1:25" ht="23.25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119"/>
      <c r="S97" s="119"/>
      <c r="T97" s="119"/>
      <c r="U97" s="119"/>
      <c r="V97" s="119"/>
      <c r="W97" s="119"/>
      <c r="X97" s="119"/>
      <c r="Y97" s="5"/>
    </row>
    <row r="98" spans="1:25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119"/>
      <c r="S98" s="119"/>
      <c r="T98" s="119"/>
      <c r="U98" s="119"/>
      <c r="V98" s="119"/>
      <c r="W98" s="119"/>
      <c r="X98" s="119"/>
      <c r="Y98" s="5"/>
    </row>
    <row r="99" spans="1:25" ht="23.25">
      <c r="A99" s="1"/>
      <c r="B99" s="1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1"/>
      <c r="P99" s="5"/>
      <c r="Q99" s="5"/>
      <c r="R99" s="119"/>
      <c r="S99" s="119"/>
      <c r="T99" s="119"/>
      <c r="U99" s="119"/>
      <c r="V99" s="119"/>
      <c r="W99" s="119"/>
      <c r="X99" s="119"/>
      <c r="Y99" s="5"/>
    </row>
    <row r="100" spans="1:25" ht="36.950000000000003" customHeight="1">
      <c r="A100" s="1"/>
      <c r="B100" s="1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1"/>
      <c r="P100" s="5"/>
      <c r="Q100" s="5"/>
      <c r="R100" s="119"/>
      <c r="S100" s="119"/>
      <c r="T100" s="119"/>
      <c r="U100" s="119"/>
      <c r="V100" s="119"/>
      <c r="W100" s="119"/>
      <c r="X100" s="119"/>
      <c r="Y100" s="5"/>
    </row>
    <row r="101" spans="1:25" ht="33.4" customHeight="1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5"/>
      <c r="S101" s="5"/>
      <c r="T101" s="5"/>
      <c r="U101" s="5"/>
      <c r="V101" s="5"/>
      <c r="W101" s="56"/>
      <c r="X101" s="56"/>
      <c r="Y101" s="5"/>
    </row>
    <row r="102" spans="1:25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5"/>
      <c r="W102" s="5"/>
      <c r="X102" s="5"/>
      <c r="Y102" s="5"/>
    </row>
    <row r="103" spans="1:25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</row>
    <row r="104" spans="1:25" ht="23.45" customHeight="1">
      <c r="A104" s="1"/>
      <c r="B104" s="1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1"/>
      <c r="P104" s="5"/>
      <c r="Q104" s="5"/>
      <c r="R104" s="5"/>
      <c r="S104" s="5"/>
      <c r="T104" s="5"/>
      <c r="U104" s="5"/>
      <c r="V104" s="5"/>
      <c r="W104" s="5"/>
      <c r="X104" s="5"/>
      <c r="Y104" s="5"/>
    </row>
    <row r="105" spans="1:25" ht="33.6" customHeight="1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5"/>
      <c r="S105" s="5"/>
      <c r="T105" s="5"/>
      <c r="U105" s="5"/>
      <c r="V105" s="5"/>
      <c r="W105" s="5"/>
      <c r="X105" s="5"/>
      <c r="Y105" s="5"/>
    </row>
    <row r="106" spans="1:25" ht="15.6" customHeight="1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5"/>
      <c r="S106" s="5"/>
      <c r="T106" s="5"/>
      <c r="U106" s="5"/>
      <c r="V106" s="5"/>
      <c r="W106" s="5"/>
      <c r="X106" s="5"/>
      <c r="Y106" s="5"/>
    </row>
    <row r="107" spans="1:25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P107" s="5"/>
      <c r="Q107" s="5"/>
      <c r="R107" s="5"/>
      <c r="S107" s="5"/>
      <c r="T107" s="5"/>
      <c r="U107" s="5"/>
      <c r="V107" s="5"/>
      <c r="W107" s="5"/>
      <c r="X107" s="5"/>
      <c r="Y107" s="5"/>
    </row>
    <row r="108" spans="1:25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5"/>
      <c r="S108" s="5"/>
      <c r="T108" s="5"/>
      <c r="U108" s="5"/>
      <c r="V108" s="5"/>
      <c r="W108" s="5"/>
      <c r="X108" s="5"/>
      <c r="Y108" s="5"/>
    </row>
    <row r="109" spans="1:25" ht="23.25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5"/>
      <c r="S109" s="5"/>
      <c r="T109" s="5"/>
      <c r="U109" s="5"/>
      <c r="V109" s="5"/>
      <c r="W109" s="5"/>
      <c r="X109" s="5"/>
      <c r="Y109" s="5"/>
    </row>
    <row r="110" spans="1:25" ht="15.6" customHeight="1">
      <c r="A110" s="1"/>
      <c r="B110" s="1"/>
      <c r="C110" s="4"/>
      <c r="D110" s="4"/>
      <c r="E110" s="4"/>
      <c r="F110" s="4"/>
      <c r="G110" s="4"/>
      <c r="H110" s="4"/>
      <c r="I110" s="4"/>
      <c r="K110" s="4"/>
      <c r="L110" s="4"/>
      <c r="M110" s="4"/>
      <c r="N110" s="4"/>
      <c r="O110" s="1"/>
      <c r="P110" s="5"/>
      <c r="Q110" s="5"/>
      <c r="R110" s="5"/>
      <c r="S110" s="5"/>
      <c r="T110" s="5"/>
      <c r="U110" s="5"/>
      <c r="V110" s="5"/>
      <c r="W110" s="5"/>
      <c r="X110" s="5"/>
      <c r="Y110" s="5"/>
    </row>
    <row r="111" spans="1:25" ht="15.6" customHeight="1">
      <c r="A111" s="1"/>
      <c r="B111" s="1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1"/>
      <c r="P111" s="5"/>
      <c r="Q111" s="5"/>
      <c r="R111" s="5"/>
      <c r="S111" s="5"/>
      <c r="T111" s="5"/>
      <c r="U111" s="5"/>
      <c r="V111" s="5"/>
      <c r="W111" s="5"/>
      <c r="X111" s="5"/>
      <c r="Y111" s="5"/>
    </row>
    <row r="112" spans="1:25" ht="15.6" customHeight="1">
      <c r="A112" s="1"/>
      <c r="B112" s="1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1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ht="15.6" customHeight="1">
      <c r="A113" s="1"/>
      <c r="B113" s="1"/>
      <c r="C113" s="140"/>
      <c r="D113" s="14"/>
      <c r="E113" s="14"/>
      <c r="F113" s="14"/>
      <c r="G113" s="14"/>
      <c r="H113" s="14"/>
      <c r="I113" s="14"/>
      <c r="J113" s="14"/>
      <c r="K113" s="10"/>
      <c r="L113" s="3"/>
      <c r="M113" s="4"/>
      <c r="N113" s="4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15.6" customHeight="1">
      <c r="A114" s="1"/>
      <c r="B114" s="1"/>
      <c r="C114" s="10"/>
      <c r="D114" s="14"/>
      <c r="E114" s="14"/>
      <c r="F114" s="14"/>
      <c r="G114" s="14"/>
      <c r="H114" s="14"/>
      <c r="I114" s="14"/>
      <c r="J114" s="14"/>
      <c r="K114" s="10"/>
      <c r="L114" s="3"/>
      <c r="M114" s="4"/>
      <c r="N114" s="4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15.6" customHeight="1">
      <c r="A115" s="1"/>
      <c r="B115" s="1"/>
      <c r="C115" s="141"/>
      <c r="D115" s="14"/>
      <c r="E115" s="14"/>
      <c r="F115" s="14"/>
      <c r="G115" s="14"/>
      <c r="H115" s="14"/>
      <c r="I115" s="14"/>
      <c r="J115" s="14"/>
      <c r="K115" s="10"/>
      <c r="L115" s="3"/>
      <c r="M115" s="4"/>
      <c r="N115" s="4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15.6" customHeight="1">
      <c r="A116" s="1"/>
      <c r="B116" s="1"/>
      <c r="C116" s="142"/>
      <c r="D116" s="14"/>
      <c r="E116" s="14"/>
      <c r="F116" s="14"/>
      <c r="G116" s="14"/>
      <c r="H116" s="14"/>
      <c r="I116" s="14"/>
      <c r="J116" s="14"/>
      <c r="K116" s="10"/>
      <c r="L116" s="3"/>
      <c r="M116" s="4"/>
      <c r="N116" s="4"/>
      <c r="O116" s="1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15.6" customHeight="1">
      <c r="A117" s="1"/>
      <c r="B117" s="1"/>
      <c r="C117" s="10"/>
      <c r="D117" s="14"/>
      <c r="E117" s="14"/>
      <c r="F117" s="14"/>
      <c r="G117" s="14"/>
      <c r="H117" s="14"/>
      <c r="I117" s="14"/>
      <c r="J117" s="14"/>
      <c r="K117" s="10"/>
      <c r="L117" s="3"/>
      <c r="M117" s="4"/>
      <c r="N117" s="4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15.6" customHeight="1">
      <c r="A118" s="1"/>
      <c r="B118" s="1"/>
      <c r="C118" s="10"/>
      <c r="D118" s="14"/>
      <c r="E118" s="14"/>
      <c r="F118" s="14"/>
      <c r="G118" s="14"/>
      <c r="H118" s="14"/>
      <c r="I118" s="14"/>
      <c r="J118" s="14"/>
      <c r="K118" s="10"/>
      <c r="L118" s="3"/>
      <c r="M118" s="4"/>
      <c r="N118" s="4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15.6" customHeight="1">
      <c r="A119" s="1"/>
      <c r="B119" s="1"/>
      <c r="C119" s="10"/>
      <c r="D119" s="14"/>
      <c r="E119" s="14"/>
      <c r="F119" s="14"/>
      <c r="G119" s="14"/>
      <c r="H119" s="14"/>
      <c r="I119" s="14"/>
      <c r="J119" s="14"/>
      <c r="K119" s="10"/>
      <c r="L119" s="3"/>
      <c r="M119" s="4"/>
      <c r="N119" s="4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10"/>
      <c r="D120" s="14"/>
      <c r="E120" s="14"/>
      <c r="F120" s="14"/>
      <c r="G120" s="14"/>
      <c r="H120" s="14"/>
      <c r="I120" s="14"/>
      <c r="J120" s="14"/>
      <c r="K120" s="10"/>
      <c r="L120" s="3"/>
      <c r="M120" s="4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10"/>
      <c r="D121" s="14"/>
      <c r="E121" s="14"/>
      <c r="F121" s="14"/>
      <c r="G121" s="14"/>
      <c r="H121" s="14"/>
      <c r="I121" s="14"/>
      <c r="J121" s="14"/>
      <c r="K121" s="10"/>
      <c r="L121" s="3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10"/>
      <c r="D122" s="14"/>
      <c r="E122" s="14"/>
      <c r="F122" s="14"/>
      <c r="G122" s="14"/>
      <c r="H122" s="14"/>
      <c r="I122" s="14"/>
      <c r="J122" s="14"/>
      <c r="K122" s="10"/>
      <c r="L122" s="3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10"/>
      <c r="D123" s="14"/>
      <c r="E123" s="14"/>
      <c r="F123" s="14"/>
      <c r="G123" s="14"/>
      <c r="H123" s="14"/>
      <c r="I123" s="14"/>
      <c r="J123" s="14"/>
      <c r="K123" s="10"/>
      <c r="L123" s="3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10"/>
      <c r="D124" s="14"/>
      <c r="E124" s="14"/>
      <c r="F124" s="14"/>
      <c r="G124" s="14"/>
      <c r="H124" s="14"/>
      <c r="I124" s="14"/>
      <c r="J124" s="14"/>
      <c r="K124" s="10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10"/>
      <c r="D125" s="14"/>
      <c r="E125" s="14"/>
      <c r="F125" s="14"/>
      <c r="G125" s="14"/>
      <c r="H125" s="14"/>
      <c r="I125" s="14"/>
      <c r="J125" s="14"/>
      <c r="K125" s="10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10"/>
      <c r="D126" s="14"/>
      <c r="E126" s="14"/>
      <c r="F126" s="14"/>
      <c r="G126" s="14"/>
      <c r="H126" s="14"/>
      <c r="I126" s="14"/>
      <c r="J126" s="14"/>
      <c r="K126" s="10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0"/>
      <c r="D127" s="14"/>
      <c r="E127" s="14"/>
      <c r="F127" s="14"/>
      <c r="G127" s="14"/>
      <c r="H127" s="14"/>
      <c r="I127" s="14"/>
      <c r="J127" s="14"/>
      <c r="K127" s="10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C128" s="10"/>
      <c r="D128" s="14"/>
      <c r="E128" s="14"/>
      <c r="F128" s="14"/>
      <c r="G128" s="14"/>
      <c r="H128" s="14"/>
      <c r="I128" s="14"/>
      <c r="J128" s="14"/>
      <c r="K128" s="10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3:11" ht="15.6" customHeight="1">
      <c r="C129" s="143"/>
      <c r="D129" s="23"/>
      <c r="E129" s="23"/>
      <c r="F129" s="23"/>
      <c r="G129" s="23"/>
      <c r="H129" s="23"/>
      <c r="I129" s="23"/>
      <c r="J129" s="23"/>
      <c r="K129" s="143"/>
    </row>
    <row r="130" spans="3:11" ht="15.6" customHeight="1">
      <c r="C130" s="143"/>
      <c r="D130" s="23"/>
      <c r="E130" s="23"/>
      <c r="F130" s="23"/>
      <c r="G130" s="23"/>
      <c r="H130" s="23"/>
      <c r="I130" s="23"/>
      <c r="J130" s="23"/>
      <c r="K130" s="143"/>
    </row>
    <row r="131" spans="3:11" ht="15.6" customHeight="1">
      <c r="C131" s="143"/>
      <c r="D131" s="23"/>
      <c r="E131" s="23"/>
      <c r="F131" s="23"/>
      <c r="G131" s="23"/>
      <c r="H131" s="23"/>
      <c r="I131" s="23"/>
      <c r="J131" s="23"/>
      <c r="K131" s="143"/>
    </row>
    <row r="132" spans="3:11" ht="15.6" customHeight="1">
      <c r="C132" s="143"/>
      <c r="D132" s="23"/>
      <c r="E132" s="23"/>
      <c r="F132" s="23"/>
      <c r="G132" s="23"/>
      <c r="H132" s="23"/>
      <c r="I132" s="23"/>
      <c r="J132" s="23"/>
      <c r="K132" s="143"/>
    </row>
    <row r="133" spans="3:11" ht="15.6" customHeight="1">
      <c r="C133" s="143"/>
      <c r="D133" s="23"/>
      <c r="E133" s="23"/>
      <c r="F133" s="23"/>
      <c r="G133" s="23"/>
      <c r="H133" s="23"/>
      <c r="I133" s="23"/>
      <c r="J133" s="23"/>
      <c r="K133" s="143"/>
    </row>
    <row r="134" spans="3:11" ht="15.6" customHeight="1">
      <c r="C134" s="143"/>
      <c r="D134" s="23"/>
      <c r="E134" s="23"/>
      <c r="F134" s="23"/>
      <c r="G134" s="23"/>
      <c r="H134" s="23"/>
      <c r="I134" s="23"/>
      <c r="J134" s="23"/>
      <c r="K134" s="143"/>
    </row>
    <row r="135" spans="3:11" ht="15.6" customHeight="1">
      <c r="C135" s="143"/>
      <c r="D135" s="23"/>
      <c r="E135" s="23"/>
      <c r="F135" s="23"/>
      <c r="G135" s="23"/>
      <c r="H135" s="23"/>
      <c r="I135" s="23"/>
      <c r="J135" s="23"/>
      <c r="K135" s="143"/>
    </row>
    <row r="136" spans="3:11" ht="15.6" customHeight="1">
      <c r="C136" s="143"/>
      <c r="D136" s="23"/>
      <c r="E136" s="23"/>
      <c r="F136" s="23"/>
      <c r="G136" s="23"/>
      <c r="H136" s="23"/>
      <c r="I136" s="23"/>
      <c r="J136" s="23"/>
      <c r="K136" s="143"/>
    </row>
    <row r="137" spans="3:11" ht="15.6" customHeight="1">
      <c r="C137" s="143"/>
      <c r="D137" s="23"/>
      <c r="E137" s="23"/>
      <c r="F137" s="23"/>
      <c r="G137" s="23"/>
      <c r="H137" s="23"/>
      <c r="I137" s="23"/>
      <c r="J137" s="23"/>
      <c r="K137" s="143"/>
    </row>
    <row r="138" spans="3:11" ht="15.6" customHeight="1">
      <c r="C138" s="143"/>
      <c r="D138" s="23"/>
      <c r="E138" s="23"/>
      <c r="F138" s="23"/>
      <c r="G138" s="23"/>
      <c r="H138" s="23"/>
      <c r="I138" s="23"/>
      <c r="J138" s="23"/>
      <c r="K138" s="143"/>
    </row>
    <row r="139" spans="3:11" ht="15.6" customHeight="1">
      <c r="C139" s="143"/>
      <c r="D139" s="23"/>
      <c r="E139" s="23"/>
      <c r="F139" s="23"/>
      <c r="G139" s="23"/>
      <c r="H139" s="23"/>
      <c r="I139" s="23"/>
      <c r="J139" s="23"/>
      <c r="K139" s="143"/>
    </row>
    <row r="140" spans="3:11" ht="15.6" customHeight="1">
      <c r="C140" s="143"/>
      <c r="D140" s="23"/>
      <c r="E140" s="23"/>
      <c r="F140" s="23"/>
      <c r="G140" s="23"/>
      <c r="H140" s="23"/>
      <c r="I140" s="23"/>
      <c r="J140" s="23"/>
      <c r="K140" s="143"/>
    </row>
    <row r="141" spans="3:11" ht="15.6" customHeight="1">
      <c r="C141" s="143"/>
      <c r="D141" s="23"/>
      <c r="E141" s="23"/>
      <c r="F141" s="23"/>
      <c r="G141" s="23"/>
      <c r="H141" s="23"/>
      <c r="I141" s="23"/>
      <c r="J141" s="23"/>
      <c r="K141" s="143"/>
    </row>
    <row r="142" spans="3:11" ht="15.6" customHeight="1">
      <c r="C142" s="143"/>
      <c r="D142" s="23"/>
      <c r="E142" s="23"/>
      <c r="F142" s="23"/>
      <c r="G142" s="23"/>
      <c r="H142" s="23"/>
      <c r="I142" s="23"/>
      <c r="J142" s="23"/>
      <c r="K142" s="143"/>
    </row>
    <row r="143" spans="3:11" ht="15.6" customHeight="1">
      <c r="C143" s="143"/>
      <c r="D143" s="23"/>
      <c r="E143" s="23"/>
      <c r="F143" s="23"/>
      <c r="G143" s="23"/>
      <c r="H143" s="23"/>
      <c r="I143" s="23"/>
      <c r="J143" s="23"/>
      <c r="K143" s="143"/>
    </row>
    <row r="144" spans="3:11" ht="15.6" customHeight="1">
      <c r="C144" s="143"/>
      <c r="D144" s="23"/>
      <c r="E144" s="23"/>
      <c r="F144" s="23"/>
      <c r="G144" s="23"/>
      <c r="H144" s="23"/>
      <c r="I144" s="23"/>
      <c r="J144" s="23"/>
      <c r="K144" s="143"/>
    </row>
    <row r="145" spans="3:11" ht="15.6" customHeight="1">
      <c r="C145" s="143"/>
      <c r="D145" s="23"/>
      <c r="E145" s="23"/>
      <c r="F145" s="23"/>
      <c r="G145" s="23"/>
      <c r="H145" s="23"/>
      <c r="I145" s="23"/>
      <c r="J145" s="23"/>
      <c r="K145" s="143"/>
    </row>
    <row r="146" spans="3:11" ht="15.6" customHeight="1">
      <c r="C146" s="143"/>
      <c r="D146" s="23"/>
      <c r="E146" s="23"/>
      <c r="F146" s="23"/>
      <c r="G146" s="23"/>
      <c r="H146" s="23"/>
      <c r="I146" s="23"/>
      <c r="J146" s="23"/>
      <c r="K146" s="143"/>
    </row>
    <row r="147" spans="3:11" ht="15.6" customHeight="1">
      <c r="C147" s="143"/>
      <c r="D147" s="23"/>
      <c r="E147" s="23"/>
      <c r="F147" s="23"/>
      <c r="G147" s="23"/>
      <c r="H147" s="23"/>
      <c r="I147" s="23"/>
      <c r="J147" s="23"/>
      <c r="K147" s="143"/>
    </row>
    <row r="148" spans="3:11" ht="15.6" customHeight="1">
      <c r="C148" s="143"/>
      <c r="D148" s="23"/>
      <c r="E148" s="23"/>
      <c r="F148" s="23"/>
      <c r="G148" s="23"/>
      <c r="H148" s="23"/>
      <c r="I148" s="23"/>
      <c r="J148" s="23"/>
      <c r="K148" s="143"/>
    </row>
    <row r="149" spans="3:11" ht="15.6" customHeight="1">
      <c r="C149" s="143"/>
      <c r="D149" s="23"/>
      <c r="E149" s="23"/>
      <c r="F149" s="23"/>
      <c r="G149" s="23"/>
      <c r="H149" s="23"/>
      <c r="I149" s="23"/>
      <c r="J149" s="23"/>
      <c r="K149" s="143"/>
    </row>
  </sheetData>
  <mergeCells count="16">
    <mergeCell ref="S44:T44"/>
    <mergeCell ref="S58:T58"/>
    <mergeCell ref="S64:S65"/>
    <mergeCell ref="V64:V65"/>
    <mergeCell ref="R29:S29"/>
    <mergeCell ref="T29:U29"/>
    <mergeCell ref="V29:W29"/>
    <mergeCell ref="D31:N31"/>
    <mergeCell ref="S33:S34"/>
    <mergeCell ref="T38:V38"/>
    <mergeCell ref="C4:L4"/>
    <mergeCell ref="C5:L5"/>
    <mergeCell ref="C13:L13"/>
    <mergeCell ref="R16:W16"/>
    <mergeCell ref="J19:K19"/>
    <mergeCell ref="R28:W28"/>
  </mergeCells>
  <dataValidations count="2">
    <dataValidation type="list" allowBlank="1" showInputMessage="1" showErrorMessage="1" sqref="T52 V64" xr:uid="{D6FAA000-F627-460D-A642-C8C1FE9D06F5}">
      <formula1>"Sim,Não"</formula1>
    </dataValidation>
    <dataValidation type="list" allowBlank="1" showInputMessage="1" showErrorMessage="1" sqref="S11:S12" xr:uid="{AE11E9EE-4783-40F4-911B-A9C0F4041354}">
      <formula1>"CNPJ,CPF,NÃO"</formula1>
    </dataValidation>
  </dataValidations>
  <pageMargins left="0.7" right="0.7" top="0.75" bottom="0.75" header="0.3" footer="0.3"/>
  <pageSetup paperSize="9" scale="20" orientation="portrait" r:id="rId1"/>
  <colBreaks count="1" manualBreakCount="1">
    <brk id="15" max="127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16</xdr:col>
                    <xdr:colOff>1133475</xdr:colOff>
                    <xdr:row>5</xdr:row>
                    <xdr:rowOff>247650</xdr:rowOff>
                  </from>
                  <to>
                    <xdr:col>16</xdr:col>
                    <xdr:colOff>2828925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FAÇA O MODELO</vt:lpstr>
      <vt:lpstr>'FAÇA O MODELO'!Area_de_impressao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jesus</cp:lastModifiedBy>
  <dcterms:created xsi:type="dcterms:W3CDTF">2015-06-05T18:19:34Z</dcterms:created>
  <dcterms:modified xsi:type="dcterms:W3CDTF">2025-02-22T10:07:17Z</dcterms:modified>
</cp:coreProperties>
</file>