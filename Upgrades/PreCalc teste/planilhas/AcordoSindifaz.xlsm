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Gabriel\Downloads\PreCalc\planilhas\"/>
    </mc:Choice>
  </mc:AlternateContent>
  <xr:revisionPtr revIDLastSave="0" documentId="13_ncr:1_{61699E14-2490-4827-816F-548452C8FC5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ACORDO SINDIFAZ" sheetId="1" r:id="rId1"/>
  </sheets>
  <functionGroups builtInGroupCount="19"/>
  <externalReferences>
    <externalReference r:id="rId2"/>
  </externalReferences>
  <definedNames>
    <definedName name="aliquotaprevidencia">'ACORDO SINDIFAZ'!$V$89</definedName>
    <definedName name="_xlnm.Print_Area" localSheetId="0">'ACORDO SINDIFAZ'!$C$1:$N$154</definedName>
    <definedName name="formulaprev">'ACORDO SINDIFAZ'!$U$91</definedName>
    <definedName name="Nome_U">'ACORDO SINDIFAZ'!$U$90</definedName>
    <definedName name="Nome_V">'ACORDO SINDIFAZ'!$V$89</definedName>
    <definedName name="NomeContador">'ACORDO SINDIFAZ'!$D$127</definedName>
    <definedName name="pag">'ACORDO SINDIFAZ'!$F$47</definedName>
    <definedName name="prevpagapref">'ACORDO SINDIFAZ'!$V$92</definedName>
    <definedName name="rratotal">'ACORDO SINDIFAZ'!$R$98</definedName>
    <definedName name="selicpercentual">'ACORDO SINDIFAZ'!$K$18</definedName>
    <definedName name="selicvalor">'ACORDO SINDIFAZ'!$L$18</definedName>
    <definedName name="valorbruto">'ACORDO SINDIFAZ'!$H$88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4" i="1" l="1"/>
  <c r="AG34" i="1"/>
  <c r="AC34" i="1"/>
  <c r="D128" i="1"/>
  <c r="D127" i="1"/>
  <c r="F16" i="1"/>
  <c r="E16" i="1"/>
  <c r="F15" i="1"/>
  <c r="E15" i="1"/>
  <c r="E14" i="1"/>
  <c r="E11" i="1"/>
  <c r="E10" i="1"/>
  <c r="D85" i="1" s="1"/>
  <c r="E9" i="1"/>
  <c r="E8" i="1"/>
  <c r="H16" i="1" s="1" a="1"/>
  <c r="H16" i="1" s="1"/>
  <c r="E7" i="1"/>
  <c r="D126" i="1"/>
  <c r="U117" i="1"/>
  <c r="U116" i="1"/>
  <c r="U93" i="1"/>
  <c r="U94" i="1" s="1"/>
  <c r="U95" i="1" s="1"/>
  <c r="T91" i="1"/>
  <c r="V79" i="1"/>
  <c r="V78" i="1"/>
  <c r="V85" i="1" s="1"/>
  <c r="F71" i="1"/>
  <c r="M63" i="1"/>
  <c r="D60" i="1"/>
  <c r="F57" i="1"/>
  <c r="F38" i="1"/>
  <c r="H36" i="1"/>
  <c r="F37" i="1" s="1"/>
  <c r="AD35" i="1"/>
  <c r="AE34" i="1"/>
  <c r="AF35" i="1" s="1"/>
  <c r="AD34" i="1"/>
  <c r="K27" i="1"/>
  <c r="J25" i="1"/>
  <c r="J21" i="1"/>
  <c r="J20" i="1"/>
  <c r="U19" i="1"/>
  <c r="W19" i="1" s="1"/>
  <c r="R17" i="1"/>
  <c r="L14" i="1"/>
  <c r="J9" i="1" l="1"/>
  <c r="AC35" i="1"/>
  <c r="G16" i="1"/>
  <c r="E17" i="1"/>
  <c r="G15" i="1"/>
  <c r="R20" i="1" s="1"/>
  <c r="L70" i="1"/>
  <c r="L68" i="1"/>
  <c r="I85" i="1"/>
  <c r="L69" i="1"/>
  <c r="V105" i="1"/>
  <c r="F39" i="1"/>
  <c r="G52" i="1" l="1"/>
  <c r="G51" i="1"/>
  <c r="I16" i="1"/>
  <c r="I17" i="1" s="1"/>
  <c r="G17" i="1"/>
  <c r="J15" i="1"/>
  <c r="L15" i="1" s="1"/>
  <c r="L71" i="1"/>
  <c r="I88" i="1"/>
  <c r="U115" i="1"/>
  <c r="U118" i="1" s="1"/>
  <c r="U119" i="1" s="1"/>
  <c r="F40" i="1"/>
  <c r="G47" i="1" s="1"/>
  <c r="T20" i="1" l="1"/>
  <c r="J16" i="1"/>
  <c r="L16" i="1" s="1"/>
  <c r="L17" i="1" s="1"/>
  <c r="F44" i="1"/>
  <c r="F51" i="1" s="1"/>
  <c r="F45" i="1"/>
  <c r="F52" i="1" s="1"/>
  <c r="H52" i="1" s="1"/>
  <c r="F46" i="1"/>
  <c r="J17" i="1" l="1"/>
  <c r="H51" i="1"/>
  <c r="F53" i="1"/>
  <c r="F55" i="1" l="1"/>
  <c r="H53" i="1"/>
  <c r="F56" i="1"/>
  <c r="U92" i="1" l="1"/>
  <c r="K18" i="1" l="1"/>
  <c r="F58" i="1" l="1"/>
  <c r="F59" i="1" s="1"/>
  <c r="L18" i="1"/>
  <c r="L21" i="1" s="1"/>
  <c r="G59" i="1" l="1"/>
  <c r="G60" i="1" s="1"/>
  <c r="V99" i="1"/>
  <c r="G68" i="1"/>
  <c r="N23" i="1"/>
  <c r="M23" i="1"/>
  <c r="G70" i="1"/>
  <c r="V20" i="1"/>
  <c r="T22" i="1" s="1"/>
  <c r="M25" i="1"/>
  <c r="R19" i="1"/>
  <c r="G69" i="1"/>
  <c r="N25" i="1"/>
  <c r="N27" i="1" l="1"/>
  <c r="N63" i="1" s="1"/>
  <c r="I69" i="1"/>
  <c r="H69" i="1"/>
  <c r="G71" i="1"/>
  <c r="H68" i="1"/>
  <c r="I68" i="1"/>
  <c r="T19" i="1"/>
  <c r="S26" i="1"/>
  <c r="S20" i="1"/>
  <c r="Q98" i="1"/>
  <c r="I70" i="1"/>
  <c r="H70" i="1"/>
  <c r="J70" i="1"/>
  <c r="J68" i="1"/>
  <c r="S85" i="1"/>
  <c r="J69" i="1"/>
  <c r="K68" i="1" l="1"/>
  <c r="K69" i="1"/>
  <c r="H71" i="1"/>
  <c r="S75" i="1"/>
  <c r="S27" i="1"/>
  <c r="I71" i="1"/>
  <c r="V19" i="1"/>
  <c r="W20" i="1" s="1"/>
  <c r="S29" i="1" s="1"/>
  <c r="U20" i="1"/>
  <c r="S28" i="1" s="1"/>
  <c r="T28" i="1" s="1"/>
  <c r="U28" i="1" s="1"/>
  <c r="J71" i="1"/>
  <c r="K70" i="1"/>
  <c r="K71" i="1" l="1"/>
  <c r="U27" i="1"/>
  <c r="T27" i="1"/>
  <c r="T29" i="1" s="1"/>
  <c r="T23" i="1"/>
  <c r="S76" i="1"/>
  <c r="S83" i="1"/>
  <c r="S80" i="1"/>
  <c r="S82" i="1"/>
  <c r="F87" i="1" s="1"/>
  <c r="S77" i="1"/>
  <c r="F86" i="1" s="1"/>
  <c r="S84" i="1"/>
  <c r="S79" i="1"/>
  <c r="S81" i="1"/>
  <c r="S78" i="1"/>
  <c r="S86" i="1" l="1"/>
  <c r="S87" i="1" s="1"/>
  <c r="R117" i="1"/>
  <c r="G87" i="1"/>
  <c r="S117" i="1" s="1"/>
  <c r="R116" i="1"/>
  <c r="G86" i="1"/>
  <c r="S116" i="1" s="1"/>
  <c r="U90" i="1"/>
  <c r="U91" i="1" s="1"/>
  <c r="V98" i="1"/>
  <c r="U29" i="1"/>
  <c r="H87" i="1" l="1"/>
  <c r="J87" i="1" s="1"/>
  <c r="V117" i="1" s="1"/>
  <c r="F85" i="1"/>
  <c r="G85" i="1" s="1"/>
  <c r="H86" i="1"/>
  <c r="J86" i="1" s="1"/>
  <c r="V116" i="1" s="1"/>
  <c r="V100" i="1"/>
  <c r="V101" i="1"/>
  <c r="Q99" i="1"/>
  <c r="R100" i="1" s="1"/>
  <c r="Z111" i="1" s="1"/>
  <c r="V107" i="1" s="1"/>
  <c r="T117" i="1" l="1"/>
  <c r="D117" i="1"/>
  <c r="T116" i="1"/>
  <c r="F88" i="1"/>
  <c r="R115" i="1"/>
  <c r="R118" i="1" s="1"/>
  <c r="R119" i="1" s="1"/>
  <c r="V102" i="1"/>
  <c r="V103" i="1" s="1"/>
  <c r="V104" i="1" s="1"/>
  <c r="E96" i="1" s="1"/>
  <c r="K86" i="1"/>
  <c r="W116" i="1" s="1"/>
  <c r="N68" i="1"/>
  <c r="N71" i="1" s="1"/>
  <c r="U111" i="1"/>
  <c r="L85" i="1"/>
  <c r="F95" i="1" s="1"/>
  <c r="N69" i="1"/>
  <c r="N70" i="1"/>
  <c r="H85" i="1"/>
  <c r="G88" i="1"/>
  <c r="S115" i="1"/>
  <c r="S118" i="1" s="1"/>
  <c r="K87" i="1"/>
  <c r="W117" i="1" s="1"/>
  <c r="X117" i="1" l="1"/>
  <c r="X116" i="1"/>
  <c r="E95" i="1"/>
  <c r="V106" i="1"/>
  <c r="V108" i="1" s="1"/>
  <c r="V109" i="1" s="1"/>
  <c r="V110" i="1" s="1"/>
  <c r="V111" i="1" s="1"/>
  <c r="M70" i="1" s="1"/>
  <c r="T115" i="1"/>
  <c r="H88" i="1"/>
  <c r="S119" i="1"/>
  <c r="D90" i="1" a="1"/>
  <c r="J85" i="1" l="1"/>
  <c r="K85" i="1" s="1"/>
  <c r="K88" i="1" s="1"/>
  <c r="D114" i="1"/>
  <c r="M68" i="1"/>
  <c r="M71" i="1" s="1"/>
  <c r="M69" i="1"/>
  <c r="D90" i="1"/>
  <c r="W115" i="1"/>
  <c r="W118" i="1" s="1"/>
  <c r="T118" i="1"/>
  <c r="J88" i="1"/>
  <c r="V115" i="1"/>
  <c r="V118" i="1" s="1"/>
  <c r="V119" i="1" s="1"/>
  <c r="W119" i="1" l="1"/>
  <c r="T119" i="1"/>
  <c r="X118" i="1"/>
  <c r="X11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<sst xmlns="http://schemas.openxmlformats.org/spreadsheetml/2006/main" count="195" uniqueCount="158">
  <si>
    <t>TRIBUNAL DE JUSTIÇA DO ESTADO DO PIAUÍ</t>
  </si>
  <si>
    <t xml:space="preserve">COORDENADORIA DE PRECATÓRIOS  </t>
  </si>
  <si>
    <t>Não</t>
  </si>
  <si>
    <t>Há Pagamento com preferencial?</t>
  </si>
  <si>
    <t>Sim</t>
  </si>
  <si>
    <t>PRECATÓRIO Nº:</t>
  </si>
  <si>
    <t>P. ORÇAMENTO</t>
  </si>
  <si>
    <t>Há H. Contratual?</t>
  </si>
  <si>
    <t>PROTOCOLO:</t>
  </si>
  <si>
    <t>Período de graça constitucional</t>
  </si>
  <si>
    <r>
      <t>*Se sim, Quantos %? (</t>
    </r>
    <r>
      <rPr>
        <b/>
        <sz val="18"/>
        <color theme="9" tint="-0.249977111117893"/>
        <rFont val="Verdana1"/>
      </rPr>
      <t>se não, informe</t>
    </r>
    <r>
      <rPr>
        <b/>
        <sz val="18"/>
        <color rgb="FF000000"/>
        <rFont val="Verdana1"/>
      </rPr>
      <t xml:space="preserve"> </t>
    </r>
    <r>
      <rPr>
        <b/>
        <sz val="18"/>
        <color theme="9" tint="-0.249977111117893"/>
        <rFont val="Verdana1"/>
      </rPr>
      <t>0%</t>
    </r>
    <r>
      <rPr>
        <b/>
        <sz val="18"/>
        <color rgb="FF000000"/>
        <rFont val="Verdana1"/>
      </rPr>
      <t>)</t>
    </r>
  </si>
  <si>
    <t>EXEQUENTE:</t>
  </si>
  <si>
    <t>Contribuição sindical</t>
  </si>
  <si>
    <t>EXECUTADO:</t>
  </si>
  <si>
    <t>Percentual %:</t>
  </si>
  <si>
    <t>MEMÓRIA DE CÁLCULO</t>
  </si>
  <si>
    <t>Aderiu ao acordo?</t>
  </si>
  <si>
    <t>DIVISAO</t>
  </si>
  <si>
    <t>Mês/Ano:</t>
  </si>
  <si>
    <t>Índice de Correção</t>
  </si>
  <si>
    <t>Valor Atualizado em Dezembro/2021</t>
  </si>
  <si>
    <t>Juros (%)</t>
  </si>
  <si>
    <t>Valor Juros</t>
  </si>
  <si>
    <t>Valor Atualizado com Juros  Dezembro/2021</t>
  </si>
  <si>
    <t xml:space="preserve">Índice de Atualização </t>
  </si>
  <si>
    <t>CREDOR</t>
  </si>
  <si>
    <t>PRINCIPAL</t>
  </si>
  <si>
    <t>-</t>
  </si>
  <si>
    <t>LAGUZ (CESSIONÁRIO DOS H.contratual de Furtado Coelho e FRANCINETTI RIBEIRO)</t>
  </si>
  <si>
    <t>JUROS</t>
  </si>
  <si>
    <t>TOTAL (a)</t>
  </si>
  <si>
    <t>Selic acumulada -</t>
  </si>
  <si>
    <t>valor atualizado</t>
  </si>
  <si>
    <t>juros</t>
  </si>
  <si>
    <t>SELIC</t>
  </si>
  <si>
    <t>VERIFICAÇÃO:</t>
  </si>
  <si>
    <t>(-)CONTRIBUIÇÃO SINDIFAZ (b) -1% SOBRE R$</t>
  </si>
  <si>
    <t>INCORPORANDO A SELIC</t>
  </si>
  <si>
    <t>Para pagar</t>
  </si>
  <si>
    <t>Principal atualizado</t>
  </si>
  <si>
    <t>Principal com Selic</t>
  </si>
  <si>
    <t>Juros atualizado</t>
  </si>
  <si>
    <t>Juros com Selic</t>
  </si>
  <si>
    <t>Selic</t>
  </si>
  <si>
    <t>Total com Selic</t>
  </si>
  <si>
    <t>ACORDO SINDIFAZ M.SOCORRO</t>
  </si>
  <si>
    <t>(-) Atualização do Valor Pago com Prefencial</t>
  </si>
  <si>
    <t>PAGAMENTO</t>
  </si>
  <si>
    <t>ATUALIZAÇÃO NA DATA DA PREFERÊNCIA</t>
  </si>
  <si>
    <t>HISTÓRICO</t>
  </si>
  <si>
    <t>PRINCIPAL DEVIDO</t>
  </si>
  <si>
    <t>FATOR DE ATUALIZACAO</t>
  </si>
  <si>
    <t>VALOR ATUALIZADO</t>
  </si>
  <si>
    <t>JUROS DO PERIODO</t>
  </si>
  <si>
    <t>SELIC DO PERIODO</t>
  </si>
  <si>
    <t>DEBITO EM FEVEREIRO/2018</t>
  </si>
  <si>
    <t>SALDO DE PRINCIPAL</t>
  </si>
  <si>
    <t>SALDO DE JUROS</t>
  </si>
  <si>
    <t>SALDO DE SELIC</t>
  </si>
  <si>
    <t>TOTAL</t>
  </si>
  <si>
    <t>DISCRIMINAÇÃO DO VALOR PAGO</t>
  </si>
  <si>
    <t>Data: Junho/2020</t>
  </si>
  <si>
    <t xml:space="preserve"> VALOR PAGO</t>
  </si>
  <si>
    <t>ATUALIZAÇÃO DO VALOR PAGO</t>
  </si>
  <si>
    <t>VALOR PAGO</t>
  </si>
  <si>
    <t xml:space="preserve">ÍNDICE DE CORREÇÃO </t>
  </si>
  <si>
    <t>TOTAL (principal + juros)</t>
  </si>
  <si>
    <t>JUROS POSTERIOR AO PAGAMENTO</t>
  </si>
  <si>
    <t>PRINCIPAL CORRIGIDO</t>
  </si>
  <si>
    <t>JUROS CORRIGIDO</t>
  </si>
  <si>
    <t>SELIC ANTERIOR AO PAGAMENTO</t>
  </si>
  <si>
    <t>SELIC POSTERIOR AO PAGAMENTO</t>
  </si>
  <si>
    <t>TOTAL SELIC ACUMULADA DO PERIODO</t>
  </si>
  <si>
    <t xml:space="preserve">(=) SALDO REMANESCENTE DEVIDO EM </t>
  </si>
  <si>
    <t>DEMONSTRATIVO - DIVISÃO HERDEIROS</t>
  </si>
  <si>
    <t>HERDEIROS</t>
  </si>
  <si>
    <t>PERCENTUAL</t>
  </si>
  <si>
    <t>VALOR BRUTO DO PRECATORIO</t>
  </si>
  <si>
    <t>HON. CONTRATUAIS (26%)</t>
  </si>
  <si>
    <t>SINDIFAZ (1%)</t>
  </si>
  <si>
    <t>PAGAMENTO PREFERENCIAL</t>
  </si>
  <si>
    <t>VALOR DEVIDO AOS EXEQUENTES</t>
  </si>
  <si>
    <t>DIVISAO PREVIDÊNCIA</t>
  </si>
  <si>
    <t>DIVISAO IMPOSTO DE RENDA</t>
  </si>
  <si>
    <t>RRA PROPORCIONAL</t>
  </si>
  <si>
    <t>DIVISÃO PAGAMENTO</t>
  </si>
  <si>
    <t>DIVISÃO</t>
  </si>
  <si>
    <t>VALOR A PAGAR CREDOR</t>
  </si>
  <si>
    <t>FURTADO COELHO ADVOGADOS ASSOCIADOS</t>
  </si>
  <si>
    <t>(-) FURTADO COELHO ADVOGADOS ASSOCIADOS</t>
  </si>
  <si>
    <t>LAGUZ ( CESSIONÁRIO) 2%</t>
  </si>
  <si>
    <t xml:space="preserve">LAGUZ ( CESSIONÁRIO) </t>
  </si>
  <si>
    <t xml:space="preserve">JUAREZ CHAVES DE AZEVEDO JÚNIOR, SOCIEDADE INDIVIDUAL DE ADVOCACIA </t>
  </si>
  <si>
    <t>JUAREZ CHAVES DE AZEVEDO JUNIOR</t>
  </si>
  <si>
    <t>ADAUTO FORTES ADV. ASSOCIADOS</t>
  </si>
  <si>
    <t>FRANCINETTI RIBEIRO DO CARMO</t>
  </si>
  <si>
    <t>LAGUZ ( CESSIONÁRIO) 1%</t>
  </si>
  <si>
    <t>PAGAMENTO ACORDO</t>
  </si>
  <si>
    <t>REAG LEGAL ( CESSIONÁRIO) 1%</t>
  </si>
  <si>
    <t xml:space="preserve">REAG LEGAL ( CESSIONÁRIO) </t>
  </si>
  <si>
    <t xml:space="preserve">Exequente  </t>
  </si>
  <si>
    <t>Valor Devido</t>
  </si>
  <si>
    <t>(-) deságio de 40%</t>
  </si>
  <si>
    <t>(=) Valor Bruto após deságio</t>
  </si>
  <si>
    <t>Previdência</t>
  </si>
  <si>
    <t>Imposto de Renda</t>
  </si>
  <si>
    <t>Valor Líquido</t>
  </si>
  <si>
    <t>RRA</t>
  </si>
  <si>
    <t xml:space="preserve">Contribuição Sindifaz </t>
  </si>
  <si>
    <t>LAGUZ (CESSIONÁRIO DOS H.contratual de Furtado Coelho)</t>
  </si>
  <si>
    <t>VALOR EXEQUENTE SEM DESAGIO</t>
  </si>
  <si>
    <t>LAGUZ (CESSIONÁRIO DOS H.contratual de Francinetti Ribeiro)</t>
  </si>
  <si>
    <t>VALOR EXEQUENTE COM DESAGIO</t>
  </si>
  <si>
    <t xml:space="preserve">TOTAL  </t>
  </si>
  <si>
    <t>PREVIDENCIA</t>
  </si>
  <si>
    <t>*informar aliquota</t>
  </si>
  <si>
    <t>BC</t>
  </si>
  <si>
    <t>(-) PARCEL. PREF paga atualizada</t>
  </si>
  <si>
    <t>*informar valor</t>
  </si>
  <si>
    <t>Notas explicativas:</t>
  </si>
  <si>
    <t>Valor Devido antes do Deságio</t>
  </si>
  <si>
    <t>Requerente</t>
  </si>
  <si>
    <t>RRA(MESES)</t>
  </si>
  <si>
    <t>Deságio (40%)</t>
  </si>
  <si>
    <r>
      <t>Base de cálculo para fins de tributação do IR (</t>
    </r>
    <r>
      <rPr>
        <b/>
        <sz val="18"/>
        <color rgb="FF000000"/>
        <rFont val="Verdana1"/>
      </rPr>
      <t>Valor principal excluindo os juros</t>
    </r>
    <r>
      <rPr>
        <sz val="18"/>
        <color rgb="FF000000"/>
        <rFont val="Verdana1"/>
      </rPr>
      <t>)</t>
    </r>
  </si>
  <si>
    <r>
      <t>Juros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</si>
  <si>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r>
      <t>custas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</si>
  <si>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Imposto de renda</t>
  </si>
  <si>
    <t>VALOR A PAGAR</t>
  </si>
  <si>
    <t>1- Atualização Monetária conforme Resolução CNJ nº 303/2019 , Resolução Nº 198/2020 TJ-PI e  nº 113.</t>
  </si>
  <si>
    <t>x</t>
  </si>
  <si>
    <t>2- Índices de correção monetária, conforme  caput do Art.21- A da Resolução 303/2019 do CNJ.</t>
  </si>
  <si>
    <t>(-) PARCE. HONORÁRIOS CONTRATUAIS</t>
  </si>
  <si>
    <t>– IPCA-E/ IBGE - de 26.03.2015 a 30 de novembro de 2021.</t>
  </si>
  <si>
    <t>(-) SINDIFAZ</t>
  </si>
  <si>
    <r>
      <t>– Taxa Referencial do Sistema Especial de Liquidação e de Custódia (Selic) - de dezembro de 2021 em diante, com observância do § 5</t>
    </r>
    <r>
      <rPr>
        <vertAlign val="superscript"/>
        <sz val="18"/>
        <color indexed="8"/>
        <rFont val="Calibri"/>
        <family val="2"/>
      </rPr>
      <t>o</t>
    </r>
    <r>
      <rPr>
        <sz val="18"/>
        <color indexed="8"/>
        <rFont val="Verdana3"/>
      </rPr>
      <t>.</t>
    </r>
  </si>
  <si>
    <t>3- Juros calculados de forma simples, conforme art. 1º da Lei nº 12.703/2012; art. 1º, “F”, da Lei nº 9.494/1997; art. 100,</t>
  </si>
  <si>
    <t>(-) deságio 40%</t>
  </si>
  <si>
    <t xml:space="preserve"> § 12º da CF/88, Art.22 da Resolução 303 do CNJ  e SV nº 17 do STF.</t>
  </si>
  <si>
    <t xml:space="preserve">4- Período de Graça Constitucional em conformidade com a Súmula Vinculante 17 do STF. </t>
  </si>
  <si>
    <t>(-) Prev.</t>
  </si>
  <si>
    <t>5- Atualização dos cálculos da planilha 2 de ID.261197 - Pág. 46/47</t>
  </si>
  <si>
    <t>6- Atualização e abatimento do valor pago com crédito preferencial.</t>
  </si>
  <si>
    <r>
      <t xml:space="preserve">6-Cálculo do </t>
    </r>
    <r>
      <rPr>
        <b/>
        <sz val="18"/>
        <color rgb="FF000000"/>
        <rFont val="Verdana1"/>
      </rPr>
      <t>desconto da previdência</t>
    </r>
    <r>
      <rPr>
        <sz val="18"/>
        <color rgb="FF000000"/>
        <rFont val="Verdana1"/>
      </rPr>
      <t xml:space="preserve"> com alíquota de 8%, conforme Decisão Des. Brandão no Mandado de Segurançamina</t>
    </r>
  </si>
  <si>
    <t>BC/MÊS</t>
  </si>
  <si>
    <t>n° 95.000611-4. Não incidência do desconto da previdência sobre parcelas de aposentadoria ou pensão, conforme</t>
  </si>
  <si>
    <t>ALIQOTA</t>
  </si>
  <si>
    <t>Decisão Des. Brandão no Mandado de Segurança n° 95.000611-4.</t>
  </si>
  <si>
    <t>IR MENSAL</t>
  </si>
  <si>
    <r>
      <t xml:space="preserve">7- Destaque de </t>
    </r>
    <r>
      <rPr>
        <b/>
        <sz val="18"/>
        <color rgb="FF000000"/>
        <rFont val="Verdana1"/>
      </rPr>
      <t>1% referente à Contribuição do SINDIFAZ</t>
    </r>
    <r>
      <rPr>
        <sz val="18"/>
        <color rgb="FF000000"/>
        <rFont val="Verdana1"/>
      </rPr>
      <t>, conforme Decisão do Des. Brandão de Carvalho no MS n° 95.000611-4.</t>
    </r>
  </si>
  <si>
    <t xml:space="preserve">TOTAL A SER RECOLHIDO </t>
  </si>
  <si>
    <r>
      <t xml:space="preserve">8- Cálculo do </t>
    </r>
    <r>
      <rPr>
        <b/>
        <sz val="18"/>
        <color rgb="FF000000"/>
        <rFont val="Verdana1"/>
      </rPr>
      <t>Imposto de Renda</t>
    </r>
    <r>
      <rPr>
        <sz val="18"/>
        <color rgb="FF000000"/>
        <rFont val="Verdana1"/>
      </rPr>
      <t xml:space="preserve"> da exequente, de acordo com a MP MEDIDA PROVISÓRIA Nº 1206, DE 06 DE FEVEREIRO DE 2024, sobre o valor atualizado, excluído os juros,</t>
    </r>
  </si>
  <si>
    <t>Conforme decisão do recurso Extraordinário n° 855091/RS, com Repercussão Geral, Tema 808.</t>
  </si>
  <si>
    <t>*verificação pagamento</t>
  </si>
  <si>
    <r>
      <t xml:space="preserve">9- Destaque do </t>
    </r>
    <r>
      <rPr>
        <b/>
        <sz val="18"/>
        <color rgb="FF000000"/>
        <rFont val="Verdana1"/>
      </rPr>
      <t>deságio de 40%</t>
    </r>
    <r>
      <rPr>
        <sz val="18"/>
        <color rgb="FF000000"/>
        <rFont val="Verdana1"/>
      </rPr>
      <t xml:space="preserve"> ( quarenta por cento), conforme Edital 291/2023 PJPI/TJPI/PRESIDENCIA/CPREC.</t>
    </r>
  </si>
  <si>
    <t xml:space="preserve">10- Cálculo do Imposto de Renda dos Cessionario de honorários contratuais( LAGUZ- Furtado Coelho Adv. Associados)  de acordo com o decreto 9.580, art 714 (alíquota 1,5%) </t>
  </si>
  <si>
    <t>11- Conforme cálculo apresentado resta saldo a pagar neste precatório.</t>
  </si>
  <si>
    <t>12- Em caso de pagamento e/ou divisão de herdeiros que ocorreu durante o processo, a atualização será efetuada no momento do pagamento do valor remanescente.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</si>
</sst>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3" formatCode="_-* #,##0.00_-;\-* #,##0.00_-;_-* &quot;-&quot;??_-;_-@_-"/>
    <numFmt numFmtId="164" formatCode="0.000000%"/>
    <numFmt numFmtId="165" formatCode="#,##0.0000000"/>
    <numFmt numFmtId="166" formatCode="[$R$-416]&quot; &quot;#,##0.00;[Red]&quot;-&quot;[$R$-416]&quot; &quot;#,##0.00"/>
    <numFmt numFmtId="167" formatCode="mm/yy"/>
    <numFmt numFmtId="168" formatCode="0.0000"/>
    <numFmt numFmtId="169" formatCode="0.0000%"/>
    <numFmt numFmtId="170" formatCode="0.0000000"/>
    <numFmt numFmtId="171" formatCode="mmmm/yyyy"/>
    <numFmt numFmtId="172" formatCode="[$-416]0.00%"/>
    <numFmt numFmtId="173" formatCode="&quot;R$&quot;\ #,##0.00"/>
    <numFmt numFmtId="174" formatCode="[$R$-416]\ #,##0.00;[Red][$R$-416]\ #,##0.00"/>
    <numFmt numFmtId="175" formatCode="_-[$R$-416]\ * #,##0.00_-;\-[$R$-416]\ * #,##0.00_-;_-[$R$-416]\ * &quot;-&quot;??_-;_-@_-"/>
    <numFmt numFmtId="176" formatCode="_-[$R$-416]\ * #,##0.00_-;\-[$R$-416]\ * #,##0.00_-;_-[$R$-416]\ * &quot;-&quot;????_-;_-@_-"/>
    <numFmt numFmtId="177" formatCode="&quot;R$&quot;#,##0.00_);[Red]\(&quot;R$&quot;#,##0.00\)"/>
    <numFmt numFmtId="178" formatCode="#,##0.00;[Red]&quot;-&quot;#,##0.00"/>
    <numFmt numFmtId="179" formatCode="[$-416]General"/>
  </numFmts>
  <fonts count="3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2"/>
      <color rgb="FF000000"/>
      <name val="Tahoma"/>
      <family val="2"/>
    </font>
    <font>
      <u/>
      <sz val="11"/>
      <color theme="10"/>
      <name val="Calibri"/>
      <family val="2"/>
      <scheme val="minor"/>
    </font>
    <font>
      <sz val="18"/>
      <color rgb="FF000000"/>
      <name val="Verdana1"/>
    </font>
    <font>
      <sz val="18"/>
      <color rgb="FF000000"/>
      <name val="Calibri1"/>
    </font>
    <font>
      <b/>
      <sz val="18"/>
      <color rgb="FF000000"/>
      <name val="Verdana"/>
      <family val="2"/>
    </font>
    <font>
      <sz val="18"/>
      <color rgb="FFFFFFCC"/>
      <name val="Verdana1"/>
    </font>
    <font>
      <sz val="18"/>
      <color rgb="FF000000"/>
      <name val="Verdana2"/>
    </font>
    <font>
      <b/>
      <sz val="18"/>
      <color rgb="FF000000"/>
      <name val="Verdana1"/>
    </font>
    <font>
      <sz val="18"/>
      <color rgb="FF000000"/>
      <name val="Calibri"/>
      <family val="2"/>
    </font>
    <font>
      <sz val="18"/>
      <color rgb="FF000000"/>
      <name val="Verdana"/>
      <family val="2"/>
    </font>
    <font>
      <sz val="18"/>
      <color rgb="FF000000"/>
      <name val="Verdana3"/>
    </font>
    <font>
      <sz val="16"/>
      <color rgb="FF000000"/>
      <name val="Verdana"/>
      <family val="2"/>
    </font>
    <font>
      <b/>
      <sz val="18"/>
      <color theme="9" tint="-0.249977111117893"/>
      <name val="Verdana1"/>
    </font>
    <font>
      <b/>
      <sz val="18"/>
      <color rgb="FFFF0000"/>
      <name val="Verdana1"/>
    </font>
    <font>
      <b/>
      <sz val="18"/>
      <color rgb="FF000000"/>
      <name val="Verdana3"/>
    </font>
    <font>
      <b/>
      <sz val="18"/>
      <color rgb="FF000000"/>
      <name val="Verdana11"/>
    </font>
    <font>
      <sz val="18"/>
      <color rgb="FF000000"/>
      <name val="Verdana11"/>
    </font>
    <font>
      <b/>
      <sz val="18"/>
      <color rgb="FFFF0000"/>
      <name val="Verdana3"/>
    </font>
    <font>
      <b/>
      <sz val="18"/>
      <color rgb="FF000000"/>
      <name val="Calibri"/>
      <family val="2"/>
    </font>
    <font>
      <sz val="18"/>
      <color rgb="FF002060"/>
      <name val="Vernanda3"/>
    </font>
    <font>
      <b/>
      <sz val="18"/>
      <color theme="4" tint="-0.499984740745262"/>
      <name val="Verdana1"/>
    </font>
    <font>
      <sz val="18"/>
      <color theme="4" tint="-0.499984740745262"/>
      <name val="Verdana1"/>
    </font>
    <font>
      <sz val="18"/>
      <name val="Verdana"/>
      <family val="2"/>
    </font>
    <font>
      <b/>
      <sz val="18"/>
      <color rgb="FFFFFFCC"/>
      <name val="Verdana11"/>
    </font>
    <font>
      <sz val="18"/>
      <color rgb="FFFF0000"/>
      <name val="Verdana11"/>
    </font>
    <font>
      <b/>
      <u/>
      <sz val="18"/>
      <color rgb="FF000000"/>
      <name val="Verdana"/>
      <family val="2"/>
    </font>
    <font>
      <vertAlign val="superscript"/>
      <sz val="18"/>
      <color indexed="8"/>
      <name val="Calibri"/>
      <family val="2"/>
    </font>
    <font>
      <sz val="18"/>
      <color indexed="8"/>
      <name val="Verdana3"/>
    </font>
    <font>
      <sz val="11"/>
      <color rgb="FF000000"/>
      <name val="Arial"/>
      <family val="2"/>
    </font>
    <font>
      <sz val="18"/>
      <color rgb="FF000000"/>
      <name val="Verdana21"/>
    </font>
    <font>
      <b/>
      <sz val="18"/>
      <color rgb="FF000000"/>
      <name val="Verdana21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66"/>
        <bgColor rgb="FFFFFF66"/>
      </patternFill>
    </fill>
    <fill>
      <patternFill patternType="solid">
        <fgColor rgb="FFFFFFCC"/>
        <bgColor rgb="FF8EA9DB"/>
      </patternFill>
    </fill>
    <fill>
      <patternFill patternType="solid">
        <fgColor rgb="FFCCCCCC"/>
        <bgColor rgb="FFCCCCCC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7C80"/>
        <bgColor rgb="FF729FCF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7C80"/>
        <bgColor rgb="FFFFD428"/>
      </patternFill>
    </fill>
    <fill>
      <patternFill patternType="solid">
        <fgColor rgb="FFFFCC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F0"/>
        <bgColor rgb="FFFFD428"/>
      </patternFill>
    </fill>
    <fill>
      <patternFill patternType="solid">
        <fgColor rgb="FFFF7C80"/>
        <bgColor rgb="FF207251"/>
      </patternFill>
    </fill>
    <fill>
      <patternFill patternType="solid">
        <fgColor rgb="FF00B0F0"/>
        <bgColor rgb="FF207251"/>
      </patternFill>
    </fill>
    <fill>
      <patternFill patternType="solid">
        <fgColor rgb="FFFF7C80"/>
        <bgColor rgb="FF8EA9DB"/>
      </patternFill>
    </fill>
    <fill>
      <patternFill patternType="solid">
        <fgColor rgb="FF00B0F0"/>
        <bgColor rgb="FF8EA9DB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/>
      <bottom/>
      <diagonal/>
    </border>
    <border>
      <left style="thin">
        <color auto="1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30" fillId="0" borderId="0" applyNumberFormat="0" applyBorder="0" applyProtection="0"/>
  </cellStyleXfs>
  <cellXfs count="307">
    <xf numFmtId="0" fontId="0" fillId="0" borderId="0" xfId="0"/>
    <xf numFmtId="0" fontId="4" fillId="2" borderId="0" xfId="0" applyFont="1" applyFill="1"/>
    <xf numFmtId="0" fontId="4" fillId="2" borderId="0" xfId="0" applyFont="1" applyFill="1" applyAlignment="1">
      <alignment horizontal="center"/>
    </xf>
    <xf numFmtId="4" fontId="4" fillId="2" borderId="0" xfId="0" applyNumberFormat="1" applyFont="1" applyFill="1" applyAlignment="1">
      <alignment horizontal="center"/>
    </xf>
    <xf numFmtId="4" fontId="4" fillId="2" borderId="0" xfId="0" applyNumberFormat="1" applyFont="1" applyFill="1"/>
    <xf numFmtId="0" fontId="4" fillId="3" borderId="0" xfId="0" applyFont="1" applyFill="1"/>
    <xf numFmtId="0" fontId="4" fillId="0" borderId="0" xfId="0" applyFont="1"/>
    <xf numFmtId="4" fontId="4" fillId="0" borderId="0" xfId="0" applyNumberFormat="1" applyFont="1" applyAlignment="1">
      <alignment horizontal="center"/>
    </xf>
    <xf numFmtId="0" fontId="5" fillId="2" borderId="0" xfId="0" applyFont="1" applyFill="1"/>
    <xf numFmtId="0" fontId="7" fillId="3" borderId="0" xfId="0" applyFont="1" applyFill="1"/>
    <xf numFmtId="0" fontId="6" fillId="2" borderId="0" xfId="0" applyFont="1" applyFill="1" applyAlignment="1">
      <alignment horizontal="center"/>
    </xf>
    <xf numFmtId="0" fontId="8" fillId="2" borderId="0" xfId="0" applyFont="1" applyFill="1"/>
    <xf numFmtId="4" fontId="9" fillId="2" borderId="0" xfId="0" applyNumberFormat="1" applyFont="1" applyFill="1" applyAlignment="1">
      <alignment horizontal="center"/>
    </xf>
    <xf numFmtId="0" fontId="9" fillId="4" borderId="1" xfId="0" applyFont="1" applyFill="1" applyBorder="1" applyAlignment="1">
      <alignment horizontal="center" vertical="center"/>
    </xf>
    <xf numFmtId="0" fontId="11" fillId="2" borderId="0" xfId="0" applyFont="1" applyFill="1"/>
    <xf numFmtId="0" fontId="12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center"/>
    </xf>
    <xf numFmtId="0" fontId="6" fillId="2" borderId="0" xfId="0" applyFont="1" applyFill="1" applyAlignment="1">
      <alignment wrapText="1"/>
    </xf>
    <xf numFmtId="14" fontId="12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13" fillId="2" borderId="1" xfId="0" applyFont="1" applyFill="1" applyBorder="1" applyAlignment="1">
      <alignment horizontal="left" wrapText="1"/>
    </xf>
    <xf numFmtId="164" fontId="13" fillId="2" borderId="1" xfId="0" applyNumberFormat="1" applyFont="1" applyFill="1" applyBorder="1" applyAlignment="1">
      <alignment horizontal="left" vertical="center" wrapText="1"/>
    </xf>
    <xf numFmtId="165" fontId="4" fillId="2" borderId="0" xfId="0" applyNumberFormat="1" applyFont="1" applyFill="1"/>
    <xf numFmtId="0" fontId="9" fillId="4" borderId="1" xfId="0" applyFont="1" applyFill="1" applyBorder="1" applyAlignment="1">
      <alignment horizontal="center" vertical="center" wrapText="1"/>
    </xf>
    <xf numFmtId="0" fontId="11" fillId="0" borderId="0" xfId="0" applyFont="1" applyAlignment="1">
      <alignment horizontal="center"/>
    </xf>
    <xf numFmtId="0" fontId="10" fillId="3" borderId="0" xfId="0" applyFont="1" applyFill="1" applyAlignment="1">
      <alignment horizontal="center"/>
    </xf>
    <xf numFmtId="0" fontId="15" fillId="3" borderId="0" xfId="0" applyFont="1" applyFill="1"/>
    <xf numFmtId="166" fontId="4" fillId="0" borderId="0" xfId="0" applyNumberFormat="1" applyFont="1"/>
    <xf numFmtId="0" fontId="16" fillId="6" borderId="5" xfId="0" applyFont="1" applyFill="1" applyBorder="1" applyAlignment="1">
      <alignment horizontal="center" wrapText="1"/>
    </xf>
    <xf numFmtId="0" fontId="10" fillId="5" borderId="1" xfId="0" applyFont="1" applyFill="1" applyBorder="1" applyAlignment="1">
      <alignment horizontal="center" vertical="center"/>
    </xf>
    <xf numFmtId="167" fontId="16" fillId="0" borderId="5" xfId="0" applyNumberFormat="1" applyFont="1" applyBorder="1" applyAlignment="1">
      <alignment horizontal="center" wrapText="1"/>
    </xf>
    <xf numFmtId="4" fontId="12" fillId="0" borderId="5" xfId="0" applyNumberFormat="1" applyFont="1" applyBorder="1" applyAlignment="1">
      <alignment horizontal="right"/>
    </xf>
    <xf numFmtId="0" fontId="12" fillId="0" borderId="5" xfId="0" applyFont="1" applyBorder="1"/>
    <xf numFmtId="164" fontId="12" fillId="0" borderId="5" xfId="0" applyNumberFormat="1" applyFont="1" applyBorder="1" applyAlignment="1">
      <alignment horizontal="center"/>
    </xf>
    <xf numFmtId="168" fontId="12" fillId="0" borderId="5" xfId="0" applyNumberFormat="1" applyFont="1" applyBorder="1" applyAlignment="1">
      <alignment horizontal="center" wrapText="1"/>
    </xf>
    <xf numFmtId="169" fontId="16" fillId="0" borderId="5" xfId="0" applyNumberFormat="1" applyFont="1" applyBorder="1" applyAlignment="1">
      <alignment horizontal="center"/>
    </xf>
    <xf numFmtId="0" fontId="16" fillId="8" borderId="5" xfId="0" applyFont="1" applyFill="1" applyBorder="1" applyAlignment="1">
      <alignment horizontal="center" wrapText="1"/>
    </xf>
    <xf numFmtId="166" fontId="16" fillId="8" borderId="5" xfId="0" applyNumberFormat="1" applyFont="1" applyFill="1" applyBorder="1" applyAlignment="1">
      <alignment horizontal="right"/>
    </xf>
    <xf numFmtId="170" fontId="16" fillId="8" borderId="5" xfId="0" applyNumberFormat="1" applyFont="1" applyFill="1" applyBorder="1" applyAlignment="1">
      <alignment horizontal="center" wrapText="1"/>
    </xf>
    <xf numFmtId="166" fontId="16" fillId="8" borderId="5" xfId="0" applyNumberFormat="1" applyFont="1" applyFill="1" applyBorder="1" applyAlignment="1">
      <alignment horizontal="center"/>
    </xf>
    <xf numFmtId="166" fontId="4" fillId="3" borderId="0" xfId="0" applyNumberFormat="1" applyFont="1" applyFill="1"/>
    <xf numFmtId="0" fontId="11" fillId="9" borderId="6" xfId="0" applyFont="1" applyFill="1" applyBorder="1" applyAlignment="1">
      <alignment horizontal="center" wrapText="1"/>
    </xf>
    <xf numFmtId="171" fontId="4" fillId="9" borderId="6" xfId="0" applyNumberFormat="1" applyFont="1" applyFill="1" applyBorder="1" applyAlignment="1">
      <alignment horizontal="center"/>
    </xf>
    <xf numFmtId="166" fontId="16" fillId="10" borderId="11" xfId="0" applyNumberFormat="1" applyFont="1" applyFill="1" applyBorder="1"/>
    <xf numFmtId="172" fontId="16" fillId="10" borderId="0" xfId="0" applyNumberFormat="1" applyFont="1" applyFill="1"/>
    <xf numFmtId="166" fontId="16" fillId="10" borderId="0" xfId="0" applyNumberFormat="1" applyFont="1" applyFill="1"/>
    <xf numFmtId="10" fontId="16" fillId="10" borderId="0" xfId="0" applyNumberFormat="1" applyFont="1" applyFill="1"/>
    <xf numFmtId="10" fontId="16" fillId="10" borderId="12" xfId="0" applyNumberFormat="1" applyFont="1" applyFill="1" applyBorder="1"/>
    <xf numFmtId="166" fontId="11" fillId="2" borderId="0" xfId="0" applyNumberFormat="1" applyFont="1" applyFill="1" applyAlignment="1">
      <alignment horizontal="center"/>
    </xf>
    <xf numFmtId="171" fontId="4" fillId="9" borderId="13" xfId="0" applyNumberFormat="1" applyFont="1" applyFill="1" applyBorder="1" applyAlignment="1">
      <alignment horizontal="center"/>
    </xf>
    <xf numFmtId="166" fontId="16" fillId="3" borderId="14" xfId="0" applyNumberFormat="1" applyFont="1" applyFill="1" applyBorder="1"/>
    <xf numFmtId="10" fontId="16" fillId="3" borderId="4" xfId="0" applyNumberFormat="1" applyFont="1" applyFill="1" applyBorder="1"/>
    <xf numFmtId="166" fontId="16" fillId="3" borderId="4" xfId="0" applyNumberFormat="1" applyFont="1" applyFill="1" applyBorder="1"/>
    <xf numFmtId="10" fontId="16" fillId="3" borderId="15" xfId="0" applyNumberFormat="1" applyFont="1" applyFill="1" applyBorder="1" applyAlignment="1">
      <alignment vertical="center"/>
    </xf>
    <xf numFmtId="173" fontId="9" fillId="11" borderId="1" xfId="0" applyNumberFormat="1" applyFont="1" applyFill="1" applyBorder="1" applyAlignment="1">
      <alignment horizontal="right"/>
    </xf>
    <xf numFmtId="0" fontId="16" fillId="2" borderId="0" xfId="0" applyFont="1" applyFill="1"/>
    <xf numFmtId="174" fontId="4" fillId="3" borderId="0" xfId="0" applyNumberFormat="1" applyFont="1" applyFill="1"/>
    <xf numFmtId="166" fontId="18" fillId="12" borderId="0" xfId="0" applyNumberFormat="1" applyFont="1" applyFill="1" applyAlignment="1">
      <alignment horizontal="center" vertical="center"/>
    </xf>
    <xf numFmtId="166" fontId="19" fillId="2" borderId="3" xfId="0" applyNumberFormat="1" applyFont="1" applyFill="1" applyBorder="1" applyAlignment="1">
      <alignment horizontal="left"/>
    </xf>
    <xf numFmtId="173" fontId="19" fillId="2" borderId="1" xfId="0" applyNumberFormat="1" applyFont="1" applyFill="1" applyBorder="1"/>
    <xf numFmtId="10" fontId="18" fillId="12" borderId="0" xfId="2" applyNumberFormat="1" applyFont="1" applyFill="1" applyAlignment="1">
      <alignment horizontal="center"/>
    </xf>
    <xf numFmtId="166" fontId="19" fillId="2" borderId="19" xfId="0" applyNumberFormat="1" applyFont="1" applyFill="1" applyBorder="1" applyAlignment="1">
      <alignment horizontal="left"/>
    </xf>
    <xf numFmtId="166" fontId="19" fillId="2" borderId="5" xfId="0" applyNumberFormat="1" applyFont="1" applyFill="1" applyBorder="1" applyAlignment="1">
      <alignment horizontal="right"/>
    </xf>
    <xf numFmtId="166" fontId="16" fillId="4" borderId="0" xfId="0" applyNumberFormat="1" applyFont="1" applyFill="1"/>
    <xf numFmtId="10" fontId="16" fillId="4" borderId="0" xfId="0" applyNumberFormat="1" applyFont="1" applyFill="1"/>
    <xf numFmtId="0" fontId="12" fillId="2" borderId="0" xfId="0" applyFont="1" applyFill="1" applyAlignment="1">
      <alignment horizontal="center"/>
    </xf>
    <xf numFmtId="0" fontId="12" fillId="2" borderId="0" xfId="0" applyFont="1" applyFill="1"/>
    <xf numFmtId="0" fontId="17" fillId="13" borderId="0" xfId="0" applyFont="1" applyFill="1"/>
    <xf numFmtId="166" fontId="17" fillId="13" borderId="0" xfId="0" applyNumberFormat="1" applyFont="1" applyFill="1" applyAlignment="1">
      <alignment horizontal="center"/>
    </xf>
    <xf numFmtId="0" fontId="10" fillId="4" borderId="0" xfId="0" applyFont="1" applyFill="1"/>
    <xf numFmtId="173" fontId="16" fillId="2" borderId="5" xfId="0" applyNumberFormat="1" applyFont="1" applyFill="1" applyBorder="1" applyAlignment="1">
      <alignment horizontal="right"/>
    </xf>
    <xf numFmtId="0" fontId="18" fillId="13" borderId="0" xfId="0" applyFont="1" applyFill="1"/>
    <xf numFmtId="166" fontId="18" fillId="13" borderId="0" xfId="0" applyNumberFormat="1" applyFont="1" applyFill="1" applyAlignment="1">
      <alignment horizontal="center"/>
    </xf>
    <xf numFmtId="166" fontId="20" fillId="4" borderId="8" xfId="0" applyNumberFormat="1" applyFont="1" applyFill="1" applyBorder="1" applyAlignment="1">
      <alignment horizontal="center"/>
    </xf>
    <xf numFmtId="0" fontId="20" fillId="4" borderId="10" xfId="0" applyFont="1" applyFill="1" applyBorder="1"/>
    <xf numFmtId="166" fontId="20" fillId="4" borderId="11" xfId="0" applyNumberFormat="1" applyFont="1" applyFill="1" applyBorder="1" applyAlignment="1">
      <alignment horizontal="center"/>
    </xf>
    <xf numFmtId="0" fontId="20" fillId="4" borderId="12" xfId="0" applyFont="1" applyFill="1" applyBorder="1" applyAlignment="1">
      <alignment horizontal="left"/>
    </xf>
    <xf numFmtId="174" fontId="4" fillId="2" borderId="0" xfId="0" applyNumberFormat="1" applyFont="1" applyFill="1"/>
    <xf numFmtId="166" fontId="4" fillId="4" borderId="0" xfId="0" applyNumberFormat="1" applyFont="1" applyFill="1"/>
    <xf numFmtId="166" fontId="20" fillId="4" borderId="1" xfId="0" applyNumberFormat="1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/>
    </xf>
    <xf numFmtId="0" fontId="10" fillId="3" borderId="0" xfId="0" applyFont="1" applyFill="1"/>
    <xf numFmtId="0" fontId="21" fillId="14" borderId="0" xfId="3" applyFont="1" applyFill="1" applyAlignment="1">
      <alignment horizontal="center"/>
    </xf>
    <xf numFmtId="0" fontId="19" fillId="2" borderId="0" xfId="0" applyFont="1" applyFill="1" applyAlignment="1">
      <alignment horizontal="center"/>
    </xf>
    <xf numFmtId="10" fontId="4" fillId="3" borderId="0" xfId="0" applyNumberFormat="1" applyFont="1" applyFill="1"/>
    <xf numFmtId="0" fontId="22" fillId="2" borderId="1" xfId="0" applyFont="1" applyFill="1" applyBorder="1" applyAlignment="1">
      <alignment horizontal="center"/>
    </xf>
    <xf numFmtId="0" fontId="22" fillId="2" borderId="1" xfId="0" applyFont="1" applyFill="1" applyBorder="1" applyAlignment="1">
      <alignment horizontal="center" wrapText="1"/>
    </xf>
    <xf numFmtId="175" fontId="23" fillId="16" borderId="1" xfId="2" applyNumberFormat="1" applyFont="1" applyFill="1" applyBorder="1"/>
    <xf numFmtId="0" fontId="23" fillId="16" borderId="1" xfId="2" applyNumberFormat="1" applyFont="1" applyFill="1" applyBorder="1" applyAlignment="1">
      <alignment horizontal="center"/>
    </xf>
    <xf numFmtId="175" fontId="23" fillId="16" borderId="1" xfId="2" applyNumberFormat="1" applyFont="1" applyFill="1" applyBorder="1" applyAlignment="1">
      <alignment horizontal="center"/>
    </xf>
    <xf numFmtId="10" fontId="23" fillId="16" borderId="1" xfId="2" applyNumberFormat="1" applyFont="1" applyFill="1" applyBorder="1" applyAlignment="1">
      <alignment horizontal="center"/>
    </xf>
    <xf numFmtId="175" fontId="23" fillId="17" borderId="1" xfId="0" applyNumberFormat="1" applyFont="1" applyFill="1" applyBorder="1" applyAlignment="1">
      <alignment horizontal="center"/>
    </xf>
    <xf numFmtId="175" fontId="4" fillId="2" borderId="0" xfId="0" applyNumberFormat="1" applyFont="1" applyFill="1"/>
    <xf numFmtId="166" fontId="16" fillId="3" borderId="0" xfId="0" applyNumberFormat="1" applyFont="1" applyFill="1"/>
    <xf numFmtId="10" fontId="16" fillId="3" borderId="0" xfId="0" applyNumberFormat="1" applyFont="1" applyFill="1"/>
    <xf numFmtId="175" fontId="23" fillId="0" borderId="1" xfId="2" applyNumberFormat="1" applyFont="1" applyBorder="1"/>
    <xf numFmtId="175" fontId="23" fillId="16" borderId="1" xfId="0" applyNumberFormat="1" applyFont="1" applyFill="1" applyBorder="1" applyAlignment="1">
      <alignment horizontal="center"/>
    </xf>
    <xf numFmtId="169" fontId="23" fillId="0" borderId="1" xfId="2" applyNumberFormat="1" applyFont="1" applyBorder="1" applyAlignment="1">
      <alignment horizontal="center"/>
    </xf>
    <xf numFmtId="0" fontId="22" fillId="2" borderId="13" xfId="0" applyFont="1" applyFill="1" applyBorder="1" applyAlignment="1">
      <alignment horizontal="center" wrapText="1"/>
    </xf>
    <xf numFmtId="0" fontId="22" fillId="2" borderId="1" xfId="0" applyFont="1" applyFill="1" applyBorder="1" applyAlignment="1">
      <alignment horizontal="center" vertical="center" wrapText="1"/>
    </xf>
    <xf numFmtId="0" fontId="23" fillId="0" borderId="1" xfId="2" applyNumberFormat="1" applyFont="1" applyBorder="1" applyAlignment="1">
      <alignment horizontal="center"/>
    </xf>
    <xf numFmtId="175" fontId="4" fillId="2" borderId="1" xfId="0" applyNumberFormat="1" applyFont="1" applyFill="1" applyBorder="1"/>
    <xf numFmtId="169" fontId="4" fillId="2" borderId="3" xfId="0" applyNumberFormat="1" applyFont="1" applyFill="1" applyBorder="1"/>
    <xf numFmtId="10" fontId="23" fillId="0" borderId="1" xfId="2" applyNumberFormat="1" applyFont="1" applyBorder="1" applyAlignment="1">
      <alignment horizontal="center"/>
    </xf>
    <xf numFmtId="10" fontId="4" fillId="2" borderId="0" xfId="0" applyNumberFormat="1" applyFont="1" applyFill="1"/>
    <xf numFmtId="169" fontId="4" fillId="2" borderId="1" xfId="0" applyNumberFormat="1" applyFont="1" applyFill="1" applyBorder="1" applyAlignment="1">
      <alignment horizontal="center"/>
    </xf>
    <xf numFmtId="176" fontId="4" fillId="2" borderId="1" xfId="0" applyNumberFormat="1" applyFont="1" applyFill="1" applyBorder="1"/>
    <xf numFmtId="176" fontId="4" fillId="17" borderId="1" xfId="0" applyNumberFormat="1" applyFont="1" applyFill="1" applyBorder="1"/>
    <xf numFmtId="0" fontId="6" fillId="2" borderId="0" xfId="0" applyFont="1" applyFill="1" applyAlignment="1">
      <alignment horizontal="center" wrapText="1"/>
    </xf>
    <xf numFmtId="166" fontId="6" fillId="2" borderId="0" xfId="0" applyNumberFormat="1" applyFont="1" applyFill="1" applyAlignment="1">
      <alignment horizontal="right"/>
    </xf>
    <xf numFmtId="0" fontId="10" fillId="2" borderId="0" xfId="0" applyFont="1" applyFill="1"/>
    <xf numFmtId="166" fontId="16" fillId="2" borderId="3" xfId="0" applyNumberFormat="1" applyFont="1" applyFill="1" applyBorder="1" applyAlignment="1">
      <alignment vertical="center"/>
    </xf>
    <xf numFmtId="166" fontId="16" fillId="2" borderId="1" xfId="0" applyNumberFormat="1" applyFont="1" applyFill="1" applyBorder="1" applyAlignment="1">
      <alignment vertical="center"/>
    </xf>
    <xf numFmtId="166" fontId="6" fillId="18" borderId="1" xfId="0" applyNumberFormat="1" applyFont="1" applyFill="1" applyBorder="1" applyAlignment="1">
      <alignment horizontal="center" vertical="center"/>
    </xf>
    <xf numFmtId="166" fontId="6" fillId="18" borderId="1" xfId="0" applyNumberFormat="1" applyFont="1" applyFill="1" applyBorder="1" applyAlignment="1">
      <alignment horizontal="center" vertical="center" wrapText="1"/>
    </xf>
    <xf numFmtId="10" fontId="11" fillId="0" borderId="5" xfId="0" applyNumberFormat="1" applyFont="1" applyBorder="1" applyAlignment="1">
      <alignment horizontal="center" wrapText="1"/>
    </xf>
    <xf numFmtId="174" fontId="10" fillId="2" borderId="1" xfId="0" applyNumberFormat="1" applyFont="1" applyFill="1" applyBorder="1" applyAlignment="1">
      <alignment horizontal="center"/>
    </xf>
    <xf numFmtId="1" fontId="10" fillId="2" borderId="1" xfId="0" applyNumberFormat="1" applyFont="1" applyFill="1" applyBorder="1" applyAlignment="1">
      <alignment horizontal="center"/>
    </xf>
    <xf numFmtId="10" fontId="6" fillId="8" borderId="5" xfId="0" applyNumberFormat="1" applyFont="1" applyFill="1" applyBorder="1" applyAlignment="1">
      <alignment horizontal="center"/>
    </xf>
    <xf numFmtId="166" fontId="6" fillId="8" borderId="5" xfId="0" applyNumberFormat="1" applyFont="1" applyFill="1" applyBorder="1" applyAlignment="1">
      <alignment horizontal="center"/>
    </xf>
    <xf numFmtId="1" fontId="6" fillId="8" borderId="5" xfId="0" applyNumberFormat="1" applyFont="1" applyFill="1" applyBorder="1" applyAlignment="1">
      <alignment horizontal="center"/>
    </xf>
    <xf numFmtId="0" fontId="18" fillId="19" borderId="2" xfId="0" applyFont="1" applyFill="1" applyBorder="1" applyAlignment="1">
      <alignment horizontal="center" vertical="center"/>
    </xf>
    <xf numFmtId="166" fontId="4" fillId="19" borderId="3" xfId="0" applyNumberFormat="1" applyFont="1" applyFill="1" applyBorder="1" applyAlignment="1">
      <alignment vertical="center"/>
    </xf>
    <xf numFmtId="0" fontId="18" fillId="20" borderId="2" xfId="0" applyFont="1" applyFill="1" applyBorder="1" applyAlignment="1">
      <alignment horizontal="left" vertical="center"/>
    </xf>
    <xf numFmtId="10" fontId="4" fillId="20" borderId="3" xfId="2" applyNumberFormat="1" applyFont="1" applyFill="1" applyBorder="1" applyAlignment="1">
      <alignment horizontal="center"/>
    </xf>
    <xf numFmtId="0" fontId="18" fillId="21" borderId="8" xfId="0" applyFont="1" applyFill="1" applyBorder="1" applyAlignment="1">
      <alignment horizontal="left" vertical="center" wrapText="1"/>
    </xf>
    <xf numFmtId="166" fontId="4" fillId="21" borderId="10" xfId="0" applyNumberFormat="1" applyFont="1" applyFill="1" applyBorder="1" applyAlignment="1">
      <alignment horizontal="right" vertical="center" wrapText="1"/>
    </xf>
    <xf numFmtId="10" fontId="4" fillId="21" borderId="10" xfId="2" applyNumberFormat="1" applyFont="1" applyFill="1" applyBorder="1" applyAlignment="1">
      <alignment horizontal="center" vertical="center"/>
    </xf>
    <xf numFmtId="0" fontId="18" fillId="21" borderId="14" xfId="0" applyFont="1" applyFill="1" applyBorder="1" applyAlignment="1">
      <alignment horizontal="left" wrapText="1"/>
    </xf>
    <xf numFmtId="166" fontId="4" fillId="21" borderId="15" xfId="0" applyNumberFormat="1" applyFont="1" applyFill="1" applyBorder="1" applyAlignment="1">
      <alignment horizontal="right" vertical="center" wrapText="1"/>
    </xf>
    <xf numFmtId="10" fontId="4" fillId="21" borderId="15" xfId="2" applyNumberFormat="1" applyFont="1" applyFill="1" applyBorder="1" applyAlignment="1">
      <alignment horizontal="center" vertical="center"/>
    </xf>
    <xf numFmtId="0" fontId="18" fillId="22" borderId="2" xfId="0" applyFont="1" applyFill="1" applyBorder="1" applyAlignment="1">
      <alignment horizontal="left" vertical="center" wrapText="1"/>
    </xf>
    <xf numFmtId="166" fontId="4" fillId="22" borderId="3" xfId="0" applyNumberFormat="1" applyFont="1" applyFill="1" applyBorder="1" applyAlignment="1">
      <alignment horizontal="right" vertical="center" wrapText="1"/>
    </xf>
    <xf numFmtId="10" fontId="4" fillId="22" borderId="3" xfId="2" applyNumberFormat="1" applyFont="1" applyFill="1" applyBorder="1" applyAlignment="1">
      <alignment horizontal="center" vertical="center"/>
    </xf>
    <xf numFmtId="0" fontId="18" fillId="23" borderId="8" xfId="0" applyFont="1" applyFill="1" applyBorder="1" applyAlignment="1">
      <alignment horizontal="left" vertical="center" wrapText="1"/>
    </xf>
    <xf numFmtId="166" fontId="4" fillId="23" borderId="10" xfId="0" applyNumberFormat="1" applyFont="1" applyFill="1" applyBorder="1" applyAlignment="1">
      <alignment horizontal="right" vertical="center" wrapText="1"/>
    </xf>
    <xf numFmtId="0" fontId="18" fillId="23" borderId="11" xfId="0" applyFont="1" applyFill="1" applyBorder="1" applyAlignment="1">
      <alignment horizontal="left" vertical="center" wrapText="1"/>
    </xf>
    <xf numFmtId="10" fontId="4" fillId="23" borderId="12" xfId="2" applyNumberFormat="1" applyFont="1" applyFill="1" applyBorder="1" applyAlignment="1">
      <alignment horizontal="center" vertical="center"/>
    </xf>
    <xf numFmtId="0" fontId="18" fillId="23" borderId="14" xfId="0" applyFont="1" applyFill="1" applyBorder="1" applyAlignment="1">
      <alignment horizontal="left" vertical="center" wrapText="1"/>
    </xf>
    <xf numFmtId="166" fontId="4" fillId="23" borderId="15" xfId="0" applyNumberFormat="1" applyFont="1" applyFill="1" applyBorder="1" applyAlignment="1">
      <alignment horizontal="right" vertical="center" wrapText="1"/>
    </xf>
    <xf numFmtId="0" fontId="18" fillId="16" borderId="8" xfId="0" applyFont="1" applyFill="1" applyBorder="1" applyAlignment="1">
      <alignment horizontal="left" vertical="center" wrapText="1"/>
    </xf>
    <xf numFmtId="166" fontId="4" fillId="16" borderId="10" xfId="0" applyNumberFormat="1" applyFont="1" applyFill="1" applyBorder="1" applyAlignment="1">
      <alignment horizontal="right" vertical="center" wrapText="1"/>
    </xf>
    <xf numFmtId="10" fontId="4" fillId="16" borderId="10" xfId="2" applyNumberFormat="1" applyFont="1" applyFill="1" applyBorder="1" applyAlignment="1">
      <alignment horizontal="center" vertical="center"/>
    </xf>
    <xf numFmtId="0" fontId="18" fillId="16" borderId="11" xfId="0" applyFont="1" applyFill="1" applyBorder="1" applyAlignment="1">
      <alignment horizontal="left" wrapText="1"/>
    </xf>
    <xf numFmtId="166" fontId="4" fillId="16" borderId="12" xfId="0" applyNumberFormat="1" applyFont="1" applyFill="1" applyBorder="1" applyAlignment="1">
      <alignment horizontal="right" vertical="center" wrapText="1"/>
    </xf>
    <xf numFmtId="10" fontId="4" fillId="16" borderId="12" xfId="2" applyNumberFormat="1" applyFont="1" applyFill="1" applyBorder="1" applyAlignment="1">
      <alignment horizontal="center" vertical="center"/>
    </xf>
    <xf numFmtId="0" fontId="18" fillId="16" borderId="14" xfId="0" applyFont="1" applyFill="1" applyBorder="1" applyAlignment="1">
      <alignment horizontal="left" wrapText="1"/>
    </xf>
    <xf numFmtId="166" fontId="4" fillId="16" borderId="15" xfId="0" applyNumberFormat="1" applyFont="1" applyFill="1" applyBorder="1" applyAlignment="1">
      <alignment horizontal="right" vertical="center" wrapText="1"/>
    </xf>
    <xf numFmtId="10" fontId="4" fillId="16" borderId="15" xfId="2" applyNumberFormat="1" applyFont="1" applyFill="1" applyBorder="1" applyAlignment="1">
      <alignment horizontal="center" vertical="center"/>
    </xf>
    <xf numFmtId="0" fontId="6" fillId="24" borderId="5" xfId="0" applyFont="1" applyFill="1" applyBorder="1" applyAlignment="1">
      <alignment horizontal="center" wrapText="1"/>
    </xf>
    <xf numFmtId="166" fontId="6" fillId="24" borderId="5" xfId="0" applyNumberFormat="1" applyFont="1" applyFill="1" applyBorder="1" applyAlignment="1">
      <alignment horizontal="center"/>
    </xf>
    <xf numFmtId="166" fontId="6" fillId="24" borderId="5" xfId="0" applyNumberFormat="1" applyFont="1" applyFill="1" applyBorder="1" applyAlignment="1">
      <alignment horizontal="center" wrapText="1"/>
    </xf>
    <xf numFmtId="4" fontId="4" fillId="3" borderId="0" xfId="0" applyNumberFormat="1" applyFont="1" applyFill="1"/>
    <xf numFmtId="0" fontId="18" fillId="25" borderId="2" xfId="0" applyFont="1" applyFill="1" applyBorder="1" applyAlignment="1">
      <alignment horizontal="left" wrapText="1"/>
    </xf>
    <xf numFmtId="166" fontId="4" fillId="25" borderId="3" xfId="0" applyNumberFormat="1" applyFont="1" applyFill="1" applyBorder="1" applyAlignment="1">
      <alignment horizontal="right" vertical="center" wrapText="1"/>
    </xf>
    <xf numFmtId="10" fontId="4" fillId="25" borderId="3" xfId="2" applyNumberFormat="1" applyFont="1" applyFill="1" applyBorder="1" applyAlignment="1">
      <alignment horizontal="center" vertical="center"/>
    </xf>
    <xf numFmtId="0" fontId="11" fillId="2" borderId="0" xfId="0" applyFont="1" applyFill="1" applyAlignment="1">
      <alignment wrapText="1"/>
    </xf>
    <xf numFmtId="166" fontId="11" fillId="0" borderId="5" xfId="0" applyNumberFormat="1" applyFont="1" applyBorder="1" applyAlignment="1">
      <alignment horizontal="right"/>
    </xf>
    <xf numFmtId="166" fontId="11" fillId="0" borderId="5" xfId="0" applyNumberFormat="1" applyFont="1" applyBorder="1" applyAlignment="1">
      <alignment horizontal="center"/>
    </xf>
    <xf numFmtId="0" fontId="11" fillId="0" borderId="5" xfId="0" applyFont="1" applyBorder="1" applyAlignment="1">
      <alignment horizontal="center"/>
    </xf>
    <xf numFmtId="0" fontId="18" fillId="26" borderId="2" xfId="0" applyFont="1" applyFill="1" applyBorder="1" applyAlignment="1">
      <alignment horizontal="left" wrapText="1"/>
    </xf>
    <xf numFmtId="166" fontId="4" fillId="26" borderId="3" xfId="0" applyNumberFormat="1" applyFont="1" applyFill="1" applyBorder="1" applyAlignment="1">
      <alignment horizontal="right" vertical="center" wrapText="1"/>
    </xf>
    <xf numFmtId="0" fontId="18" fillId="20" borderId="14" xfId="0" applyFont="1" applyFill="1" applyBorder="1" applyAlignment="1">
      <alignment horizontal="center" vertical="center"/>
    </xf>
    <xf numFmtId="10" fontId="10" fillId="20" borderId="15" xfId="0" applyNumberFormat="1" applyFont="1" applyFill="1" applyBorder="1" applyAlignment="1">
      <alignment horizontal="center" vertical="center"/>
    </xf>
    <xf numFmtId="0" fontId="18" fillId="19" borderId="11" xfId="0" applyFont="1" applyFill="1" applyBorder="1" applyAlignment="1">
      <alignment horizontal="left" vertical="center"/>
    </xf>
    <xf numFmtId="166" fontId="10" fillId="19" borderId="12" xfId="0" applyNumberFormat="1" applyFont="1" applyFill="1" applyBorder="1" applyAlignment="1">
      <alignment vertical="center"/>
    </xf>
    <xf numFmtId="0" fontId="18" fillId="19" borderId="14" xfId="0" applyFont="1" applyFill="1" applyBorder="1" applyAlignment="1">
      <alignment horizontal="left" vertical="center"/>
    </xf>
    <xf numFmtId="166" fontId="10" fillId="19" borderId="15" xfId="0" applyNumberFormat="1" applyFont="1" applyFill="1" applyBorder="1" applyAlignment="1">
      <alignment vertical="center"/>
    </xf>
    <xf numFmtId="177" fontId="10" fillId="2" borderId="0" xfId="0" applyNumberFormat="1" applyFont="1" applyFill="1"/>
    <xf numFmtId="0" fontId="17" fillId="13" borderId="8" xfId="0" applyFont="1" applyFill="1" applyBorder="1" applyAlignment="1">
      <alignment horizontal="right"/>
    </xf>
    <xf numFmtId="0" fontId="25" fillId="27" borderId="10" xfId="0" applyFont="1" applyFill="1" applyBorder="1" applyAlignment="1">
      <alignment horizontal="center"/>
    </xf>
    <xf numFmtId="9" fontId="17" fillId="27" borderId="0" xfId="0" applyNumberFormat="1" applyFont="1" applyFill="1" applyAlignment="1">
      <alignment horizontal="center" vertical="center"/>
    </xf>
    <xf numFmtId="0" fontId="26" fillId="3" borderId="0" xfId="0" applyFont="1" applyFill="1" applyAlignment="1">
      <alignment vertical="center"/>
    </xf>
    <xf numFmtId="166" fontId="6" fillId="2" borderId="0" xfId="0" applyNumberFormat="1" applyFont="1" applyFill="1" applyAlignment="1">
      <alignment horizontal="left"/>
    </xf>
    <xf numFmtId="4" fontId="4" fillId="2" borderId="0" xfId="0" applyNumberFormat="1" applyFont="1" applyFill="1" applyAlignment="1">
      <alignment horizontal="right"/>
    </xf>
    <xf numFmtId="0" fontId="17" fillId="13" borderId="11" xfId="0" applyFont="1" applyFill="1" applyBorder="1" applyAlignment="1">
      <alignment horizontal="right"/>
    </xf>
    <xf numFmtId="166" fontId="17" fillId="13" borderId="12" xfId="0" applyNumberFormat="1" applyFont="1" applyFill="1" applyBorder="1"/>
    <xf numFmtId="0" fontId="17" fillId="13" borderId="11" xfId="0" applyFont="1" applyFill="1" applyBorder="1" applyAlignment="1">
      <alignment horizontal="right" wrapText="1"/>
    </xf>
    <xf numFmtId="173" fontId="17" fillId="27" borderId="12" xfId="0" applyNumberFormat="1" applyFont="1" applyFill="1" applyBorder="1" applyAlignment="1">
      <alignment horizontal="center" vertical="center"/>
    </xf>
    <xf numFmtId="173" fontId="17" fillId="27" borderId="0" xfId="0" applyNumberFormat="1" applyFont="1" applyFill="1" applyAlignment="1">
      <alignment horizontal="center" vertical="center"/>
    </xf>
    <xf numFmtId="0" fontId="27" fillId="2" borderId="0" xfId="0" applyFont="1" applyFill="1"/>
    <xf numFmtId="0" fontId="17" fillId="13" borderId="11" xfId="0" applyFont="1" applyFill="1" applyBorder="1" applyAlignment="1">
      <alignment horizontal="right" vertical="center" wrapText="1"/>
    </xf>
    <xf numFmtId="166" fontId="18" fillId="3" borderId="0" xfId="0" applyNumberFormat="1" applyFont="1" applyFill="1"/>
    <xf numFmtId="0" fontId="18" fillId="3" borderId="0" xfId="0" applyFont="1" applyFill="1"/>
    <xf numFmtId="166" fontId="12" fillId="2" borderId="0" xfId="0" applyNumberFormat="1" applyFont="1" applyFill="1"/>
    <xf numFmtId="166" fontId="12" fillId="2" borderId="1" xfId="0" applyNumberFormat="1" applyFont="1" applyFill="1" applyBorder="1"/>
    <xf numFmtId="178" fontId="11" fillId="2" borderId="0" xfId="0" applyNumberFormat="1" applyFont="1" applyFill="1"/>
    <xf numFmtId="43" fontId="10" fillId="3" borderId="0" xfId="1" applyFont="1" applyFill="1" applyAlignment="1">
      <alignment horizontal="center"/>
    </xf>
    <xf numFmtId="0" fontId="4" fillId="0" borderId="1" xfId="0" applyFont="1" applyBorder="1" applyAlignment="1">
      <alignment horizontal="left" wrapText="1"/>
    </xf>
    <xf numFmtId="1" fontId="12" fillId="2" borderId="1" xfId="0" applyNumberFormat="1" applyFont="1" applyFill="1" applyBorder="1" applyAlignment="1">
      <alignment horizontal="center"/>
    </xf>
    <xf numFmtId="166" fontId="11" fillId="2" borderId="0" xfId="0" applyNumberFormat="1" applyFont="1" applyFill="1"/>
    <xf numFmtId="0" fontId="17" fillId="13" borderId="14" xfId="0" applyFont="1" applyFill="1" applyBorder="1" applyAlignment="1">
      <alignment horizontal="right" wrapText="1"/>
    </xf>
    <xf numFmtId="166" fontId="17" fillId="13" borderId="15" xfId="0" applyNumberFormat="1" applyFont="1" applyFill="1" applyBorder="1"/>
    <xf numFmtId="166" fontId="17" fillId="28" borderId="0" xfId="0" applyNumberFormat="1" applyFont="1" applyFill="1" applyAlignment="1">
      <alignment horizontal="center"/>
    </xf>
    <xf numFmtId="2" fontId="17" fillId="29" borderId="0" xfId="0" applyNumberFormat="1" applyFont="1" applyFill="1" applyAlignment="1">
      <alignment horizontal="center"/>
    </xf>
    <xf numFmtId="0" fontId="4" fillId="3" borderId="0" xfId="0" applyFont="1" applyFill="1" applyAlignment="1">
      <alignment horizontal="left"/>
    </xf>
    <xf numFmtId="166" fontId="17" fillId="30" borderId="8" xfId="0" applyNumberFormat="1" applyFont="1" applyFill="1" applyBorder="1"/>
    <xf numFmtId="166" fontId="18" fillId="30" borderId="10" xfId="2" applyNumberFormat="1" applyFont="1" applyFill="1" applyBorder="1"/>
    <xf numFmtId="178" fontId="12" fillId="2" borderId="0" xfId="0" applyNumberFormat="1" applyFont="1" applyFill="1"/>
    <xf numFmtId="0" fontId="17" fillId="28" borderId="0" xfId="0" applyFont="1" applyFill="1" applyAlignment="1">
      <alignment horizontal="center"/>
    </xf>
    <xf numFmtId="166" fontId="17" fillId="30" borderId="14" xfId="0" applyNumberFormat="1" applyFont="1" applyFill="1" applyBorder="1" applyAlignment="1">
      <alignment horizontal="center" wrapText="1"/>
    </xf>
    <xf numFmtId="166" fontId="18" fillId="30" borderId="15" xfId="2" applyNumberFormat="1" applyFont="1" applyFill="1" applyBorder="1" applyAlignment="1">
      <alignment horizontal="right"/>
    </xf>
    <xf numFmtId="0" fontId="12" fillId="3" borderId="0" xfId="0" applyFont="1" applyFill="1"/>
    <xf numFmtId="0" fontId="12" fillId="2" borderId="0" xfId="0" applyFont="1" applyFill="1" applyAlignment="1">
      <alignment vertical="center"/>
    </xf>
    <xf numFmtId="0" fontId="18" fillId="3" borderId="8" xfId="0" applyFont="1" applyFill="1" applyBorder="1"/>
    <xf numFmtId="0" fontId="18" fillId="3" borderId="9" xfId="0" applyFont="1" applyFill="1" applyBorder="1"/>
    <xf numFmtId="174" fontId="18" fillId="3" borderId="10" xfId="0" applyNumberFormat="1" applyFont="1" applyFill="1" applyBorder="1"/>
    <xf numFmtId="0" fontId="18" fillId="3" borderId="11" xfId="0" applyFont="1" applyFill="1" applyBorder="1"/>
    <xf numFmtId="174" fontId="18" fillId="3" borderId="12" xfId="0" applyNumberFormat="1" applyFont="1" applyFill="1" applyBorder="1"/>
    <xf numFmtId="0" fontId="20" fillId="3" borderId="11" xfId="0" applyFont="1" applyFill="1" applyBorder="1"/>
    <xf numFmtId="166" fontId="10" fillId="3" borderId="12" xfId="0" applyNumberFormat="1" applyFont="1" applyFill="1" applyBorder="1"/>
    <xf numFmtId="166" fontId="10" fillId="3" borderId="0" xfId="0" applyNumberFormat="1" applyFont="1" applyFill="1"/>
    <xf numFmtId="0" fontId="11" fillId="2" borderId="0" xfId="0" applyFont="1" applyFill="1" applyAlignment="1">
      <alignment horizontal="left"/>
    </xf>
    <xf numFmtId="0" fontId="10" fillId="3" borderId="11" xfId="0" applyFont="1" applyFill="1" applyBorder="1"/>
    <xf numFmtId="0" fontId="17" fillId="24" borderId="11" xfId="0" applyFont="1" applyFill="1" applyBorder="1"/>
    <xf numFmtId="0" fontId="17" fillId="24" borderId="0" xfId="0" applyFont="1" applyFill="1"/>
    <xf numFmtId="166" fontId="17" fillId="24" borderId="12" xfId="0" applyNumberFormat="1" applyFont="1" applyFill="1" applyBorder="1"/>
    <xf numFmtId="166" fontId="12" fillId="3" borderId="0" xfId="0" applyNumberFormat="1" applyFont="1" applyFill="1"/>
    <xf numFmtId="179" fontId="18" fillId="3" borderId="12" xfId="0" applyNumberFormat="1" applyFont="1" applyFill="1" applyBorder="1"/>
    <xf numFmtId="0" fontId="4" fillId="2" borderId="0" xfId="4" applyFont="1" applyFill="1"/>
    <xf numFmtId="166" fontId="18" fillId="3" borderId="12" xfId="0" applyNumberFormat="1" applyFont="1" applyFill="1" applyBorder="1"/>
    <xf numFmtId="10" fontId="18" fillId="3" borderId="12" xfId="2" applyNumberFormat="1" applyFont="1" applyFill="1" applyBorder="1"/>
    <xf numFmtId="0" fontId="18" fillId="3" borderId="14" xfId="0" applyFont="1" applyFill="1" applyBorder="1"/>
    <xf numFmtId="0" fontId="18" fillId="3" borderId="4" xfId="0" applyFont="1" applyFill="1" applyBorder="1"/>
    <xf numFmtId="166" fontId="18" fillId="3" borderId="15" xfId="0" applyNumberFormat="1" applyFont="1" applyFill="1" applyBorder="1"/>
    <xf numFmtId="166" fontId="18" fillId="12" borderId="11" xfId="0" applyNumberFormat="1" applyFont="1" applyFill="1" applyBorder="1"/>
    <xf numFmtId="166" fontId="18" fillId="12" borderId="0" xfId="0" applyNumberFormat="1" applyFont="1" applyFill="1"/>
    <xf numFmtId="174" fontId="18" fillId="12" borderId="6" xfId="0" applyNumberFormat="1" applyFont="1" applyFill="1" applyBorder="1"/>
    <xf numFmtId="0" fontId="9" fillId="2" borderId="0" xfId="4" applyFont="1" applyFill="1"/>
    <xf numFmtId="174" fontId="18" fillId="12" borderId="2" xfId="0" applyNumberFormat="1" applyFont="1" applyFill="1" applyBorder="1"/>
    <xf numFmtId="174" fontId="18" fillId="12" borderId="16" xfId="0" applyNumberFormat="1" applyFont="1" applyFill="1" applyBorder="1"/>
    <xf numFmtId="0" fontId="12" fillId="12" borderId="15" xfId="0" applyFont="1" applyFill="1" applyBorder="1"/>
    <xf numFmtId="0" fontId="31" fillId="2" borderId="0" xfId="0" applyFont="1" applyFill="1" applyAlignment="1">
      <alignment horizontal="left"/>
    </xf>
    <xf numFmtId="0" fontId="6" fillId="2" borderId="0" xfId="0" applyFont="1" applyFill="1"/>
    <xf numFmtId="0" fontId="32" fillId="2" borderId="0" xfId="0" applyFont="1" applyFill="1"/>
    <xf numFmtId="0" fontId="8" fillId="0" borderId="0" xfId="0" applyFont="1"/>
    <xf numFmtId="4" fontId="4" fillId="0" borderId="0" xfId="0" applyNumberFormat="1" applyFont="1"/>
    <xf numFmtId="0" fontId="4" fillId="0" borderId="0" xfId="0" applyFont="1" applyAlignment="1">
      <alignment horizontal="center"/>
    </xf>
    <xf numFmtId="0" fontId="10" fillId="5" borderId="1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10" fillId="5" borderId="2" xfId="0" applyFont="1" applyFill="1" applyBorder="1" applyAlignment="1">
      <alignment horizontal="center"/>
    </xf>
    <xf numFmtId="0" fontId="10" fillId="5" borderId="3" xfId="0" applyFont="1" applyFill="1" applyBorder="1" applyAlignment="1">
      <alignment horizontal="center"/>
    </xf>
    <xf numFmtId="9" fontId="4" fillId="5" borderId="1" xfId="2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 wrapText="1"/>
    </xf>
    <xf numFmtId="0" fontId="9" fillId="3" borderId="4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166" fontId="17" fillId="7" borderId="2" xfId="0" applyNumberFormat="1" applyFont="1" applyFill="1" applyBorder="1" applyAlignment="1">
      <alignment horizontal="center" wrapText="1"/>
    </xf>
    <xf numFmtId="166" fontId="17" fillId="7" borderId="3" xfId="0" applyNumberFormat="1" applyFont="1" applyFill="1" applyBorder="1" applyAlignment="1">
      <alignment horizontal="center" wrapText="1"/>
    </xf>
    <xf numFmtId="0" fontId="4" fillId="3" borderId="1" xfId="0" applyFont="1" applyFill="1" applyBorder="1" applyAlignment="1">
      <alignment horizontal="center"/>
    </xf>
    <xf numFmtId="10" fontId="4" fillId="2" borderId="7" xfId="0" applyNumberFormat="1" applyFont="1" applyFill="1" applyBorder="1" applyAlignment="1">
      <alignment horizontal="center" vertical="center"/>
    </xf>
    <xf numFmtId="10" fontId="4" fillId="2" borderId="6" xfId="0" applyNumberFormat="1" applyFont="1" applyFill="1" applyBorder="1" applyAlignment="1">
      <alignment horizontal="center" vertical="center"/>
    </xf>
    <xf numFmtId="10" fontId="4" fillId="2" borderId="13" xfId="0" applyNumberFormat="1" applyFont="1" applyFill="1" applyBorder="1" applyAlignment="1">
      <alignment horizontal="center" vertical="center"/>
    </xf>
    <xf numFmtId="4" fontId="4" fillId="2" borderId="7" xfId="0" applyNumberFormat="1" applyFont="1" applyFill="1" applyBorder="1" applyAlignment="1">
      <alignment horizontal="center" vertical="center"/>
    </xf>
    <xf numFmtId="4" fontId="4" fillId="2" borderId="6" xfId="0" applyNumberFormat="1" applyFont="1" applyFill="1" applyBorder="1" applyAlignment="1">
      <alignment horizontal="center" vertical="center"/>
    </xf>
    <xf numFmtId="4" fontId="4" fillId="2" borderId="13" xfId="0" applyNumberFormat="1" applyFont="1" applyFill="1" applyBorder="1" applyAlignment="1">
      <alignment horizontal="center" vertical="center"/>
    </xf>
    <xf numFmtId="0" fontId="17" fillId="10" borderId="8" xfId="0" applyFont="1" applyFill="1" applyBorder="1" applyAlignment="1">
      <alignment horizontal="center" vertical="center"/>
    </xf>
    <xf numFmtId="0" fontId="17" fillId="10" borderId="9" xfId="0" applyFont="1" applyFill="1" applyBorder="1" applyAlignment="1">
      <alignment horizontal="center" vertical="center"/>
    </xf>
    <xf numFmtId="0" fontId="17" fillId="10" borderId="10" xfId="0" applyFont="1" applyFill="1" applyBorder="1" applyAlignment="1">
      <alignment horizontal="center" vertical="center"/>
    </xf>
    <xf numFmtId="166" fontId="16" fillId="4" borderId="0" xfId="0" applyNumberFormat="1" applyFont="1" applyFill="1" applyAlignment="1">
      <alignment horizontal="center"/>
    </xf>
    <xf numFmtId="0" fontId="16" fillId="2" borderId="17" xfId="0" applyFont="1" applyFill="1" applyBorder="1" applyAlignment="1">
      <alignment horizontal="center"/>
    </xf>
    <xf numFmtId="0" fontId="16" fillId="2" borderId="18" xfId="0" applyFont="1" applyFill="1" applyBorder="1" applyAlignment="1">
      <alignment horizontal="center"/>
    </xf>
    <xf numFmtId="0" fontId="16" fillId="2" borderId="19" xfId="0" applyFont="1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22" fillId="15" borderId="1" xfId="0" applyFont="1" applyFill="1" applyBorder="1" applyAlignment="1">
      <alignment horizontal="center" vertical="center" wrapText="1"/>
    </xf>
    <xf numFmtId="0" fontId="22" fillId="2" borderId="1" xfId="0" applyFont="1" applyFill="1" applyBorder="1" applyAlignment="1">
      <alignment horizontal="center"/>
    </xf>
    <xf numFmtId="0" fontId="23" fillId="2" borderId="1" xfId="0" applyFont="1" applyFill="1" applyBorder="1" applyAlignment="1">
      <alignment horizontal="center"/>
    </xf>
    <xf numFmtId="0" fontId="23" fillId="17" borderId="1" xfId="0" applyFont="1" applyFill="1" applyBorder="1" applyAlignment="1">
      <alignment horizontal="center"/>
    </xf>
    <xf numFmtId="0" fontId="23" fillId="17" borderId="1" xfId="0" applyFont="1" applyFill="1" applyBorder="1" applyAlignment="1">
      <alignment horizontal="right"/>
    </xf>
    <xf numFmtId="10" fontId="16" fillId="12" borderId="0" xfId="0" applyNumberFormat="1" applyFont="1" applyFill="1" applyAlignment="1">
      <alignment horizontal="center" vertical="center"/>
    </xf>
    <xf numFmtId="0" fontId="19" fillId="2" borderId="2" xfId="0" applyFont="1" applyFill="1" applyBorder="1" applyAlignment="1">
      <alignment horizontal="right"/>
    </xf>
    <xf numFmtId="0" fontId="19" fillId="2" borderId="16" xfId="0" applyFont="1" applyFill="1" applyBorder="1" applyAlignment="1">
      <alignment horizontal="right"/>
    </xf>
    <xf numFmtId="0" fontId="19" fillId="2" borderId="17" xfId="0" applyFont="1" applyFill="1" applyBorder="1" applyAlignment="1">
      <alignment horizontal="right"/>
    </xf>
    <xf numFmtId="0" fontId="19" fillId="2" borderId="18" xfId="0" applyFont="1" applyFill="1" applyBorder="1" applyAlignment="1">
      <alignment horizontal="right"/>
    </xf>
    <xf numFmtId="0" fontId="22" fillId="16" borderId="1" xfId="0" applyFont="1" applyFill="1" applyBorder="1" applyAlignment="1">
      <alignment horizontal="center"/>
    </xf>
    <xf numFmtId="0" fontId="22" fillId="2" borderId="11" xfId="0" applyFont="1" applyFill="1" applyBorder="1" applyAlignment="1">
      <alignment horizontal="center" wrapText="1"/>
    </xf>
    <xf numFmtId="0" fontId="22" fillId="2" borderId="12" xfId="0" applyFont="1" applyFill="1" applyBorder="1" applyAlignment="1">
      <alignment horizontal="center" wrapText="1"/>
    </xf>
    <xf numFmtId="166" fontId="16" fillId="2" borderId="2" xfId="0" applyNumberFormat="1" applyFont="1" applyFill="1" applyBorder="1" applyAlignment="1">
      <alignment horizontal="right" vertical="center"/>
    </xf>
    <xf numFmtId="166" fontId="16" fillId="2" borderId="16" xfId="0" applyNumberFormat="1" applyFont="1" applyFill="1" applyBorder="1" applyAlignment="1">
      <alignment horizontal="right" vertical="center"/>
    </xf>
    <xf numFmtId="0" fontId="23" fillId="2" borderId="2" xfId="0" applyFont="1" applyFill="1" applyBorder="1" applyAlignment="1">
      <alignment horizontal="right"/>
    </xf>
    <xf numFmtId="0" fontId="23" fillId="2" borderId="3" xfId="0" applyFont="1" applyFill="1" applyBorder="1" applyAlignment="1">
      <alignment horizontal="right"/>
    </xf>
    <xf numFmtId="0" fontId="23" fillId="17" borderId="2" xfId="0" applyFont="1" applyFill="1" applyBorder="1" applyAlignment="1">
      <alignment horizontal="right"/>
    </xf>
    <xf numFmtId="0" fontId="23" fillId="17" borderId="16" xfId="0" applyFont="1" applyFill="1" applyBorder="1" applyAlignment="1">
      <alignment horizontal="right"/>
    </xf>
    <xf numFmtId="0" fontId="23" fillId="17" borderId="3" xfId="0" applyFont="1" applyFill="1" applyBorder="1" applyAlignment="1">
      <alignment horizontal="right"/>
    </xf>
    <xf numFmtId="0" fontId="6" fillId="18" borderId="2" xfId="0" applyFont="1" applyFill="1" applyBorder="1" applyAlignment="1">
      <alignment horizontal="center" vertical="center" wrapText="1"/>
    </xf>
    <xf numFmtId="0" fontId="6" fillId="18" borderId="3" xfId="0" applyFont="1" applyFill="1" applyBorder="1" applyAlignment="1">
      <alignment horizontal="center" vertical="center" wrapText="1"/>
    </xf>
    <xf numFmtId="167" fontId="24" fillId="0" borderId="20" xfId="0" applyNumberFormat="1" applyFont="1" applyBorder="1" applyAlignment="1">
      <alignment horizontal="left" vertical="top" wrapText="1"/>
    </xf>
    <xf numFmtId="167" fontId="24" fillId="0" borderId="21" xfId="0" applyNumberFormat="1" applyFont="1" applyBorder="1" applyAlignment="1">
      <alignment horizontal="left" vertical="top" wrapText="1"/>
    </xf>
    <xf numFmtId="0" fontId="17" fillId="28" borderId="1" xfId="0" applyFont="1" applyFill="1" applyBorder="1" applyAlignment="1">
      <alignment horizontal="center" vertical="center"/>
    </xf>
    <xf numFmtId="167" fontId="6" fillId="8" borderId="17" xfId="0" applyNumberFormat="1" applyFont="1" applyFill="1" applyBorder="1" applyAlignment="1">
      <alignment horizontal="center" vertical="center" wrapText="1"/>
    </xf>
    <xf numFmtId="167" fontId="6" fillId="8" borderId="19" xfId="0" applyNumberFormat="1" applyFont="1" applyFill="1" applyBorder="1" applyAlignment="1">
      <alignment horizontal="center" vertical="center" wrapText="1"/>
    </xf>
    <xf numFmtId="10" fontId="16" fillId="3" borderId="2" xfId="0" applyNumberFormat="1" applyFont="1" applyFill="1" applyBorder="1" applyAlignment="1">
      <alignment horizontal="center"/>
    </xf>
    <xf numFmtId="10" fontId="16" fillId="3" borderId="3" xfId="0" applyNumberFormat="1" applyFont="1" applyFill="1" applyBorder="1" applyAlignment="1">
      <alignment horizontal="center"/>
    </xf>
    <xf numFmtId="167" fontId="11" fillId="0" borderId="5" xfId="0" applyNumberFormat="1" applyFont="1" applyBorder="1" applyAlignment="1">
      <alignment horizontal="center" wrapText="1"/>
    </xf>
    <xf numFmtId="167" fontId="6" fillId="8" borderId="5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/>
    </xf>
    <xf numFmtId="10" fontId="16" fillId="3" borderId="1" xfId="0" applyNumberFormat="1" applyFont="1" applyFill="1" applyBorder="1" applyAlignment="1">
      <alignment horizontal="center"/>
    </xf>
    <xf numFmtId="0" fontId="6" fillId="2" borderId="22" xfId="0" applyFont="1" applyFill="1" applyBorder="1" applyAlignment="1">
      <alignment horizontal="center" vertical="center"/>
    </xf>
    <xf numFmtId="167" fontId="6" fillId="24" borderId="5" xfId="0" applyNumberFormat="1" applyFont="1" applyFill="1" applyBorder="1" applyAlignment="1">
      <alignment horizontal="center" wrapText="1"/>
    </xf>
    <xf numFmtId="0" fontId="11" fillId="2" borderId="0" xfId="0" applyFont="1" applyFill="1" applyAlignment="1">
      <alignment horizontal="center" vertical="center"/>
    </xf>
    <xf numFmtId="166" fontId="17" fillId="30" borderId="23" xfId="0" applyNumberFormat="1" applyFont="1" applyFill="1" applyBorder="1" applyAlignment="1">
      <alignment horizontal="center" vertical="center" wrapText="1"/>
    </xf>
    <xf numFmtId="166" fontId="17" fillId="30" borderId="13" xfId="0" applyNumberFormat="1" applyFont="1" applyFill="1" applyBorder="1" applyAlignment="1">
      <alignment horizontal="center" vertical="center" wrapText="1"/>
    </xf>
    <xf numFmtId="166" fontId="25" fillId="31" borderId="23" xfId="0" applyNumberFormat="1" applyFont="1" applyFill="1" applyBorder="1" applyAlignment="1">
      <alignment horizontal="center" vertical="center"/>
    </xf>
    <xf numFmtId="166" fontId="25" fillId="31" borderId="13" xfId="0" applyNumberFormat="1" applyFont="1" applyFill="1" applyBorder="1" applyAlignment="1">
      <alignment horizontal="center" vertical="center"/>
    </xf>
    <xf numFmtId="166" fontId="17" fillId="12" borderId="8" xfId="0" applyNumberFormat="1" applyFont="1" applyFill="1" applyBorder="1" applyAlignment="1">
      <alignment horizontal="center" vertical="center"/>
    </xf>
    <xf numFmtId="166" fontId="17" fillId="12" borderId="9" xfId="0" applyNumberFormat="1" applyFont="1" applyFill="1" applyBorder="1" applyAlignment="1">
      <alignment horizontal="center" vertical="center"/>
    </xf>
    <xf numFmtId="166" fontId="17" fillId="12" borderId="10" xfId="0" applyNumberFormat="1" applyFont="1" applyFill="1" applyBorder="1" applyAlignment="1">
      <alignment horizontal="center" vertical="center"/>
    </xf>
  </cellXfs>
  <cellStyles count="5">
    <cellStyle name="Hiperlink" xfId="3" builtinId="8"/>
    <cellStyle name="Normal" xfId="0" builtinId="0"/>
    <cellStyle name="Normal 5" xfId="4" xr:uid="{1CF27B90-FA6E-4DE6-8FF5-E15CB654842D}"/>
    <cellStyle name="Porcentagem" xfId="2" builtinId="5"/>
    <cellStyle name="Vírgula" xfId="1" builtinId="3"/>
  </cellStyles>
  <dxfs count="17">
    <dxf>
      <font>
        <color theme="0"/>
      </font>
      <fill>
        <patternFill>
          <fgColor theme="0"/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color rgb="FFFF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font>
        <color rgb="FFFF000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rgb="FFFF000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'PREV SINDIFAZ'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923925</xdr:colOff>
          <xdr:row>0</xdr:row>
          <xdr:rowOff>0</xdr:rowOff>
        </xdr:from>
        <xdr:to>
          <xdr:col>8</xdr:col>
          <xdr:colOff>57150</xdr:colOff>
          <xdr:row>2</xdr:row>
          <xdr:rowOff>171450</xdr:rowOff>
        </xdr:to>
        <xdr:sp macro="" textlink="">
          <xdr:nvSpPr>
            <xdr:cNvPr id="1025" name="Picture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438150</xdr:colOff>
          <xdr:row>0</xdr:row>
          <xdr:rowOff>161925</xdr:rowOff>
        </xdr:from>
        <xdr:to>
          <xdr:col>17</xdr:col>
          <xdr:colOff>2133600</xdr:colOff>
          <xdr:row>4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762000</xdr:colOff>
          <xdr:row>84</xdr:row>
          <xdr:rowOff>933450</xdr:rowOff>
        </xdr:from>
        <xdr:to>
          <xdr:col>16</xdr:col>
          <xdr:colOff>1676400</xdr:colOff>
          <xdr:row>86</xdr:row>
          <xdr:rowOff>419100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</xdr:col>
      <xdr:colOff>0</xdr:colOff>
      <xdr:row>146</xdr:row>
      <xdr:rowOff>173181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819150" cy="51570081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173182</xdr:colOff>
      <xdr:row>0</xdr:row>
      <xdr:rowOff>190499</xdr:rowOff>
    </xdr:from>
    <xdr:to>
      <xdr:col>1</xdr:col>
      <xdr:colOff>-1</xdr:colOff>
      <xdr:row>4</xdr:row>
      <xdr:rowOff>202907</xdr:rowOff>
    </xdr:to>
    <xdr:sp macro="" textlink="">
      <xdr:nvSpPr>
        <xdr:cNvPr id="3" name="Triângulo isóscele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16200000">
          <a:off x="70862" y="292819"/>
          <a:ext cx="850608" cy="645967"/>
        </a:xfrm>
        <a:prstGeom prst="triangle">
          <a:avLst>
            <a:gd name="adj" fmla="val 50000"/>
          </a:avLst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173182</xdr:colOff>
      <xdr:row>2</xdr:row>
      <xdr:rowOff>190499</xdr:rowOff>
    </xdr:from>
    <xdr:to>
      <xdr:col>1</xdr:col>
      <xdr:colOff>727364</xdr:colOff>
      <xdr:row>5</xdr:row>
      <xdr:rowOff>51955</xdr:rowOff>
    </xdr:to>
    <xdr:sp macro="[0]!AbrirPreCalcETrabPrec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73182" y="609599"/>
          <a:ext cx="1373332" cy="575831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2020</a:t>
          </a:r>
        </a:p>
      </xdr:txBody>
    </xdr:sp>
    <xdr:clientData/>
  </xdr:twoCellAnchor>
  <xdr:twoCellAnchor>
    <xdr:from>
      <xdr:col>12</xdr:col>
      <xdr:colOff>1385454</xdr:colOff>
      <xdr:row>84</xdr:row>
      <xdr:rowOff>623454</xdr:rowOff>
    </xdr:from>
    <xdr:to>
      <xdr:col>13</xdr:col>
      <xdr:colOff>69272</xdr:colOff>
      <xdr:row>85</xdr:row>
      <xdr:rowOff>571500</xdr:rowOff>
    </xdr:to>
    <xdr:sp macro="[0]!SalvarComoPDF" textlink="">
      <xdr:nvSpPr>
        <xdr:cNvPr id="5" name="Botaosalvar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4435954" y="30912954"/>
          <a:ext cx="1188893" cy="957696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kern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SALVAR</a:t>
          </a:r>
          <a:endParaRPr lang="pt-BR" sz="1100" kern="12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21</xdr:col>
      <xdr:colOff>1039091</xdr:colOff>
      <xdr:row>94</xdr:row>
      <xdr:rowOff>207817</xdr:rowOff>
    </xdr:from>
    <xdr:to>
      <xdr:col>21</xdr:col>
      <xdr:colOff>3099955</xdr:colOff>
      <xdr:row>94</xdr:row>
      <xdr:rowOff>1264227</xdr:rowOff>
    </xdr:to>
    <xdr:sp macro="" textlink="">
      <xdr:nvSpPr>
        <xdr:cNvPr id="6" name="Retângulo: Canto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50769116" y="35869417"/>
          <a:ext cx="2060864" cy="989735"/>
        </a:xfrm>
        <a:prstGeom prst="roundRect">
          <a:avLst/>
        </a:prstGeom>
        <a:solidFill>
          <a:srgbClr val="FF7C80"/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kern="1200">
              <a:solidFill>
                <a:schemeClr val="tx1"/>
              </a:solidFill>
              <a:latin typeface="Cascadia Code ExtraLight" panose="020B0609020000020004" pitchFamily="49" charset="0"/>
              <a:ea typeface="Cascadia Code ExtraLight" panose="020B0609020000020004" pitchFamily="49" charset="0"/>
              <a:cs typeface="Cascadia Code ExtraLight" panose="020B0609020000020004" pitchFamily="49" charset="0"/>
            </a:rPr>
            <a:t>PARA</a:t>
          </a:r>
          <a:r>
            <a:rPr lang="pt-BR" sz="1800" kern="1200" baseline="0">
              <a:solidFill>
                <a:schemeClr val="tx1"/>
              </a:solidFill>
              <a:latin typeface="Cascadia Code ExtraLight" panose="020B0609020000020004" pitchFamily="49" charset="0"/>
              <a:ea typeface="Cascadia Code ExtraLight" panose="020B0609020000020004" pitchFamily="49" charset="0"/>
              <a:cs typeface="Cascadia Code ExtraLight" panose="020B0609020000020004" pitchFamily="49" charset="0"/>
            </a:rPr>
            <a:t> CALCULAR PREV. OUTRAS PLANILHAS</a:t>
          </a:r>
          <a:endParaRPr lang="pt-BR" sz="1800" kern="1200">
            <a:solidFill>
              <a:schemeClr val="tx1"/>
            </a:solidFill>
            <a:latin typeface="Cascadia Code ExtraLight" panose="020B0609020000020004" pitchFamily="49" charset="0"/>
            <a:ea typeface="Cascadia Code ExtraLight" panose="020B0609020000020004" pitchFamily="49" charset="0"/>
            <a:cs typeface="Cascadia Code ExtraLight" panose="020B0609020000020004" pitchFamily="49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Gabriel\Downloads\PreCalc\PreCalc.xlsm" TargetMode="External"/><Relationship Id="rId1" Type="http://schemas.openxmlformats.org/officeDocument/2006/relationships/externalLinkPath" Target="/Users/Gabriel/Downloads/PreCalc/PreCal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"/>
      <sheetName val="USUARIO"/>
      <sheetName val="MENU"/>
      <sheetName val="GILBERTO"/>
      <sheetName val="Juros "/>
      <sheetName val="Selic e IPCA"/>
      <sheetName val="IR"/>
      <sheetName val="AJUDA E ATALHOS"/>
      <sheetName val="CREDITOS"/>
      <sheetName val="RESOLUÇÃO 303"/>
      <sheetName val="PreCalc"/>
    </sheetNames>
    <definedNames>
      <definedName name="LimparCálculos"/>
    </definedNames>
    <sheetDataSet>
      <sheetData sheetId="0"/>
      <sheetData sheetId="1"/>
      <sheetData sheetId="2">
        <row r="8">
          <cell r="C8"/>
        </row>
        <row r="10">
          <cell r="C10" t="str">
            <v>Digite o orçamento</v>
          </cell>
        </row>
        <row r="12">
          <cell r="C12" t="str">
            <v>Digite a Data do Protocolo</v>
          </cell>
        </row>
        <row r="14">
          <cell r="C14" t="str">
            <v>Digite Nome do Exequente</v>
          </cell>
        </row>
        <row r="16">
          <cell r="C16" t="str">
            <v>Digite Nome do Executado</v>
          </cell>
        </row>
        <row r="18">
          <cell r="AD18" t="str">
            <v>Digite a Data do Cálculo Homologado</v>
          </cell>
          <cell r="AE18" t="str">
            <v>Digite a Data do Cálculo Homologado</v>
          </cell>
          <cell r="AF18" t="e">
            <v>#VALUE!</v>
          </cell>
        </row>
        <row r="19">
          <cell r="AC19" t="e">
            <v>#N/A</v>
          </cell>
        </row>
        <row r="20">
          <cell r="C20"/>
        </row>
        <row r="22">
          <cell r="C22"/>
        </row>
        <row r="24">
          <cell r="AD24" t="str">
            <v>Gabriel de Jesus Silva</v>
          </cell>
        </row>
        <row r="25">
          <cell r="AD25" t="str">
            <v>Servidor TJ/PI - Coordenadoria de Precatórios</v>
          </cell>
        </row>
      </sheetData>
      <sheetData sheetId="3">
        <row r="1">
          <cell r="B1"/>
          <cell r="C1"/>
          <cell r="D1">
            <v>1964</v>
          </cell>
          <cell r="E1">
            <v>1965</v>
          </cell>
          <cell r="F1">
            <v>1966</v>
          </cell>
          <cell r="G1">
            <v>1967</v>
          </cell>
          <cell r="H1">
            <v>1968</v>
          </cell>
          <cell r="I1">
            <v>1969</v>
          </cell>
          <cell r="J1">
            <v>1970</v>
          </cell>
          <cell r="K1">
            <v>1971</v>
          </cell>
          <cell r="L1">
            <v>1972</v>
          </cell>
          <cell r="M1">
            <v>1973</v>
          </cell>
          <cell r="N1">
            <v>1974</v>
          </cell>
          <cell r="O1">
            <v>1975</v>
          </cell>
          <cell r="P1">
            <v>1976</v>
          </cell>
          <cell r="Q1">
            <v>1977</v>
          </cell>
          <cell r="R1">
            <v>1978</v>
          </cell>
          <cell r="S1">
            <v>1979</v>
          </cell>
          <cell r="T1">
            <v>1980</v>
          </cell>
          <cell r="U1">
            <v>1981</v>
          </cell>
          <cell r="V1">
            <v>1982</v>
          </cell>
          <cell r="W1">
            <v>1983</v>
          </cell>
          <cell r="X1">
            <v>1984</v>
          </cell>
          <cell r="Y1">
            <v>1985</v>
          </cell>
          <cell r="Z1">
            <v>1986</v>
          </cell>
          <cell r="AA1">
            <v>1987</v>
          </cell>
          <cell r="AB1">
            <v>1988</v>
          </cell>
          <cell r="AC1">
            <v>1989</v>
          </cell>
          <cell r="AD1">
            <v>1990</v>
          </cell>
          <cell r="AE1">
            <v>1991</v>
          </cell>
          <cell r="AF1">
            <v>1992</v>
          </cell>
          <cell r="AG1">
            <v>1993</v>
          </cell>
          <cell r="AH1">
            <v>1994</v>
          </cell>
          <cell r="AI1">
            <v>1995</v>
          </cell>
          <cell r="AJ1">
            <v>1996</v>
          </cell>
          <cell r="AK1">
            <v>1997</v>
          </cell>
          <cell r="AL1">
            <v>1998</v>
          </cell>
          <cell r="AM1">
            <v>1999</v>
          </cell>
          <cell r="AN1">
            <v>2000</v>
          </cell>
          <cell r="AO1">
            <v>2001</v>
          </cell>
          <cell r="AP1">
            <v>2002</v>
          </cell>
          <cell r="AQ1">
            <v>2003</v>
          </cell>
          <cell r="AR1">
            <v>2004</v>
          </cell>
          <cell r="AS1">
            <v>2005</v>
          </cell>
          <cell r="AT1">
            <v>2006</v>
          </cell>
          <cell r="AU1">
            <v>2007</v>
          </cell>
          <cell r="AV1">
            <v>2008</v>
          </cell>
          <cell r="AW1">
            <v>2009</v>
          </cell>
          <cell r="AX1">
            <v>2010</v>
          </cell>
          <cell r="AY1">
            <v>2011</v>
          </cell>
          <cell r="AZ1">
            <v>2012</v>
          </cell>
          <cell r="BA1">
            <v>2013</v>
          </cell>
          <cell r="BB1">
            <v>2014</v>
          </cell>
          <cell r="BC1">
            <v>2015</v>
          </cell>
          <cell r="BD1">
            <v>2016</v>
          </cell>
          <cell r="BE1">
            <v>2017</v>
          </cell>
          <cell r="BF1">
            <v>2018</v>
          </cell>
          <cell r="BG1">
            <v>2019</v>
          </cell>
          <cell r="BH1">
            <v>2020</v>
          </cell>
          <cell r="BI1">
            <v>2021</v>
          </cell>
          <cell r="BJ1"/>
          <cell r="BK1"/>
        </row>
        <row r="2">
          <cell r="A2">
            <v>1</v>
          </cell>
          <cell r="B2">
            <v>2</v>
          </cell>
          <cell r="C2">
            <v>3</v>
          </cell>
          <cell r="D2">
            <v>4</v>
          </cell>
          <cell r="E2">
            <v>5</v>
          </cell>
          <cell r="F2">
            <v>6</v>
          </cell>
          <cell r="G2">
            <v>7</v>
          </cell>
          <cell r="H2">
            <v>8</v>
          </cell>
          <cell r="I2">
            <v>9</v>
          </cell>
          <cell r="J2">
            <v>10</v>
          </cell>
          <cell r="K2">
            <v>11</v>
          </cell>
          <cell r="L2">
            <v>12</v>
          </cell>
          <cell r="M2">
            <v>13</v>
          </cell>
          <cell r="N2">
            <v>14</v>
          </cell>
          <cell r="O2">
            <v>15</v>
          </cell>
          <cell r="P2">
            <v>16</v>
          </cell>
          <cell r="Q2">
            <v>17</v>
          </cell>
          <cell r="R2">
            <v>18</v>
          </cell>
          <cell r="S2">
            <v>19</v>
          </cell>
          <cell r="T2">
            <v>20</v>
          </cell>
          <cell r="U2">
            <v>21</v>
          </cell>
          <cell r="V2">
            <v>22</v>
          </cell>
          <cell r="W2">
            <v>23</v>
          </cell>
          <cell r="X2">
            <v>24</v>
          </cell>
          <cell r="Y2">
            <v>25</v>
          </cell>
          <cell r="Z2">
            <v>26</v>
          </cell>
          <cell r="AA2">
            <v>27</v>
          </cell>
          <cell r="AB2">
            <v>28</v>
          </cell>
          <cell r="AC2">
            <v>29</v>
          </cell>
          <cell r="AD2">
            <v>30</v>
          </cell>
          <cell r="AE2">
            <v>31</v>
          </cell>
          <cell r="AF2">
            <v>32</v>
          </cell>
          <cell r="AG2">
            <v>33</v>
          </cell>
          <cell r="AH2">
            <v>34</v>
          </cell>
          <cell r="AI2">
            <v>35</v>
          </cell>
          <cell r="AJ2">
            <v>36</v>
          </cell>
          <cell r="AK2">
            <v>37</v>
          </cell>
          <cell r="AL2">
            <v>38</v>
          </cell>
          <cell r="AM2">
            <v>39</v>
          </cell>
          <cell r="AN2">
            <v>40</v>
          </cell>
          <cell r="AO2">
            <v>41</v>
          </cell>
          <cell r="AP2">
            <v>42</v>
          </cell>
          <cell r="AQ2">
            <v>43</v>
          </cell>
          <cell r="AR2">
            <v>44</v>
          </cell>
          <cell r="AS2">
            <v>45</v>
          </cell>
          <cell r="AT2">
            <v>46</v>
          </cell>
          <cell r="AU2">
            <v>47</v>
          </cell>
          <cell r="AV2">
            <v>48</v>
          </cell>
          <cell r="AW2">
            <v>49</v>
          </cell>
          <cell r="AX2">
            <v>50</v>
          </cell>
          <cell r="AY2">
            <v>51</v>
          </cell>
          <cell r="AZ2">
            <v>52</v>
          </cell>
          <cell r="BA2">
            <v>53</v>
          </cell>
          <cell r="BB2">
            <v>54</v>
          </cell>
          <cell r="BC2">
            <v>55</v>
          </cell>
          <cell r="BD2">
            <v>56</v>
          </cell>
          <cell r="BE2">
            <v>57</v>
          </cell>
          <cell r="BF2">
            <v>58</v>
          </cell>
          <cell r="BG2">
            <v>59</v>
          </cell>
          <cell r="BH2">
            <v>60</v>
          </cell>
          <cell r="BI2">
            <v>61</v>
          </cell>
          <cell r="BJ2">
            <v>62</v>
          </cell>
          <cell r="BK2">
            <v>63</v>
          </cell>
        </row>
        <row r="3">
          <cell r="A3" t="str">
            <v>a</v>
          </cell>
          <cell r="B3" t="str">
            <v>Janeiro</v>
          </cell>
          <cell r="C3" t="str">
            <v>JAN</v>
          </cell>
          <cell r="D3"/>
          <cell r="E3">
            <v>6.7492000000000003E-3</v>
          </cell>
          <cell r="F3">
            <v>4.5942999999999999E-3</v>
          </cell>
          <cell r="G3">
            <v>3.2831000000000002E-3</v>
          </cell>
          <cell r="H3">
            <v>2.6778762</v>
          </cell>
          <cell r="I3">
            <v>2.1410980999999998</v>
          </cell>
          <cell r="J3">
            <v>1.800848</v>
          </cell>
          <cell r="K3">
            <v>1.5099171</v>
          </cell>
          <cell r="L3">
            <v>1.2396929999999999</v>
          </cell>
          <cell r="M3">
            <v>1.0761381999999999</v>
          </cell>
          <cell r="N3">
            <v>0.94599250000000001</v>
          </cell>
          <cell r="O3">
            <v>0.71436789999999994</v>
          </cell>
          <cell r="P3">
            <v>0.57196579999999997</v>
          </cell>
          <cell r="Q3">
            <v>0.4152786</v>
          </cell>
          <cell r="R3">
            <v>0.32001469999999999</v>
          </cell>
          <cell r="S3">
            <v>0.2333575</v>
          </cell>
          <cell r="T3">
            <v>0.15633710000000001</v>
          </cell>
          <cell r="U3">
            <v>0.1032714</v>
          </cell>
          <cell r="V3">
            <v>5.2453899999999998E-2</v>
          </cell>
          <cell r="W3">
            <v>2.6199799999999999E-2</v>
          </cell>
          <cell r="X3">
            <v>1.0106800000000001E-2</v>
          </cell>
          <cell r="Y3">
            <v>3.1216E-3</v>
          </cell>
          <cell r="Z3">
            <v>9.5279999999999996E-4</v>
          </cell>
          <cell r="AA3">
            <v>0.58675109999999997</v>
          </cell>
          <cell r="AB3">
            <v>0.1277614</v>
          </cell>
          <cell r="AC3">
            <v>12.360383300000001</v>
          </cell>
          <cell r="AD3">
            <v>0.74383440000000001</v>
          </cell>
          <cell r="AE3">
            <v>3.9255900000000003E-2</v>
          </cell>
          <cell r="AF3">
            <v>6.7999999999999996E-3</v>
          </cell>
          <cell r="AG3">
            <v>5.4770000000000003E-4</v>
          </cell>
          <cell r="AH3">
            <v>2.1622099999999998E-2</v>
          </cell>
          <cell r="AI3">
            <v>5.9996803999999999</v>
          </cell>
          <cell r="AJ3">
            <v>4.8992201</v>
          </cell>
          <cell r="AK3">
            <v>4.4576017999999999</v>
          </cell>
          <cell r="AL3">
            <v>4.2243094000000001</v>
          </cell>
          <cell r="AM3">
            <v>4.1555616000000004</v>
          </cell>
          <cell r="AN3">
            <v>3.8154156000000001</v>
          </cell>
          <cell r="AO3">
            <v>3.5982417</v>
          </cell>
          <cell r="AP3">
            <v>3.3468057</v>
          </cell>
          <cell r="AQ3">
            <v>2.9885712999999998</v>
          </cell>
          <cell r="AR3">
            <v>2.7203151000000001</v>
          </cell>
          <cell r="AS3">
            <v>2.5296911999999998</v>
          </cell>
          <cell r="AT3">
            <v>2.3892386000000001</v>
          </cell>
          <cell r="AU3">
            <v>2.3206174000000002</v>
          </cell>
          <cell r="AV3">
            <v>2.2235865000000001</v>
          </cell>
          <cell r="AW3">
            <v>2.0957091000000001</v>
          </cell>
          <cell r="AX3">
            <v>2.0114919000000002</v>
          </cell>
          <cell r="AY3">
            <v>1.9013556</v>
          </cell>
          <cell r="AZ3">
            <v>1.7843784</v>
          </cell>
          <cell r="BA3">
            <v>1.6869392999999999</v>
          </cell>
          <cell r="BB3">
            <v>1.5937357999999999</v>
          </cell>
          <cell r="BC3">
            <v>1.4970131</v>
          </cell>
          <cell r="BD3">
            <v>1.3522358000000001</v>
          </cell>
          <cell r="BE3">
            <v>1.2687124000000001</v>
          </cell>
          <cell r="BF3">
            <v>1.2325123</v>
          </cell>
          <cell r="BG3">
            <v>1.1866992999999999</v>
          </cell>
          <cell r="BH3">
            <v>1.14201</v>
          </cell>
          <cell r="BI3">
            <v>1.0956900999999999</v>
          </cell>
          <cell r="BJ3"/>
          <cell r="BK3"/>
        </row>
        <row r="4">
          <cell r="A4" t="str">
            <v>b</v>
          </cell>
          <cell r="B4" t="str">
            <v>Fevereiro</v>
          </cell>
          <cell r="C4" t="str">
            <v>FEV</v>
          </cell>
          <cell r="D4"/>
          <cell r="E4">
            <v>6.7492000000000003E-3</v>
          </cell>
          <cell r="F4">
            <v>4.4730999999999998E-3</v>
          </cell>
          <cell r="G4">
            <v>3.2071451999999998</v>
          </cell>
          <cell r="H4">
            <v>2.6316739999999998</v>
          </cell>
          <cell r="I4">
            <v>2.1027271000000001</v>
          </cell>
          <cell r="J4">
            <v>1.7613375</v>
          </cell>
          <cell r="K4">
            <v>1.4826188</v>
          </cell>
          <cell r="L4">
            <v>1.2249585000000001</v>
          </cell>
          <cell r="M4">
            <v>1.0656129000000001</v>
          </cell>
          <cell r="N4">
            <v>0.93612269999999997</v>
          </cell>
          <cell r="O4">
            <v>0.70368989999999998</v>
          </cell>
          <cell r="P4">
            <v>0.56119140000000001</v>
          </cell>
          <cell r="Q4">
            <v>0.40821020000000002</v>
          </cell>
          <cell r="R4">
            <v>0.31340010000000001</v>
          </cell>
          <cell r="S4">
            <v>0.2282044</v>
          </cell>
          <cell r="T4">
            <v>0.15003230000000001</v>
          </cell>
          <cell r="U4">
            <v>9.8353099999999999E-2</v>
          </cell>
          <cell r="V4">
            <v>4.9956100000000003E-2</v>
          </cell>
          <cell r="W4">
            <v>2.4716800000000001E-2</v>
          </cell>
          <cell r="X4">
            <v>9.2048000000000008E-3</v>
          </cell>
          <cell r="Y4">
            <v>2.7721999999999998E-3</v>
          </cell>
          <cell r="Z4">
            <v>8.1970000000000003E-4</v>
          </cell>
          <cell r="AA4">
            <v>0.50227809999999995</v>
          </cell>
          <cell r="AB4">
            <v>0.1096562</v>
          </cell>
          <cell r="AC4">
            <v>8.6605825000000003</v>
          </cell>
          <cell r="AD4">
            <v>0.47648249999999998</v>
          </cell>
          <cell r="AE4">
            <v>3.2737799999999997E-2</v>
          </cell>
          <cell r="AF4">
            <v>5.4140000000000004E-3</v>
          </cell>
          <cell r="AG4">
            <v>4.2299999999999998E-4</v>
          </cell>
          <cell r="AH4">
            <v>1.5536400000000001E-2</v>
          </cell>
          <cell r="AI4">
            <v>5.9996803999999999</v>
          </cell>
          <cell r="AJ4">
            <v>4.8992201</v>
          </cell>
          <cell r="AK4">
            <v>4.4576017999999999</v>
          </cell>
          <cell r="AL4">
            <v>4.2243094000000001</v>
          </cell>
          <cell r="AM4">
            <v>4.1555616000000004</v>
          </cell>
          <cell r="AN4">
            <v>3.8154156000000001</v>
          </cell>
          <cell r="AO4">
            <v>3.5757146999999998</v>
          </cell>
          <cell r="AP4">
            <v>3.3261834000000001</v>
          </cell>
          <cell r="AQ4">
            <v>2.9305465000000002</v>
          </cell>
          <cell r="AR4">
            <v>2.7019419</v>
          </cell>
          <cell r="AS4">
            <v>2.5126054999999998</v>
          </cell>
          <cell r="AT4">
            <v>2.3771152999999998</v>
          </cell>
          <cell r="AU4">
            <v>2.3086126999999999</v>
          </cell>
          <cell r="AV4">
            <v>2.2081295999999999</v>
          </cell>
          <cell r="AW4">
            <v>2.0873596999999999</v>
          </cell>
          <cell r="AX4">
            <v>2.0010862</v>
          </cell>
          <cell r="AY4">
            <v>1.8870142999999999</v>
          </cell>
          <cell r="AZ4">
            <v>1.7728548</v>
          </cell>
          <cell r="BA4">
            <v>1.6722237</v>
          </cell>
          <cell r="BB4">
            <v>1.5831287999999999</v>
          </cell>
          <cell r="BC4">
            <v>1.4838072</v>
          </cell>
          <cell r="BD4">
            <v>1.3399087000000001</v>
          </cell>
          <cell r="BE4">
            <v>1.2647915000000001</v>
          </cell>
          <cell r="BF4">
            <v>1.2277241999999999</v>
          </cell>
          <cell r="BG4">
            <v>1.1831498</v>
          </cell>
          <cell r="BH4">
            <v>1.1339589000000001</v>
          </cell>
          <cell r="BI4">
            <v>1.0872099</v>
          </cell>
          <cell r="BJ4"/>
          <cell r="BK4"/>
        </row>
        <row r="5">
          <cell r="A5" t="str">
            <v>c</v>
          </cell>
          <cell r="B5" t="str">
            <v>Março</v>
          </cell>
          <cell r="C5" t="str">
            <v>MAR</v>
          </cell>
          <cell r="D5"/>
          <cell r="E5">
            <v>6.7492000000000003E-3</v>
          </cell>
          <cell r="F5">
            <v>4.4083999999999998E-3</v>
          </cell>
          <cell r="G5">
            <v>3.1411001999999999</v>
          </cell>
          <cell r="H5">
            <v>2.5940786999999998</v>
          </cell>
          <cell r="I5">
            <v>2.0662669999999999</v>
          </cell>
          <cell r="J5">
            <v>1.7266451</v>
          </cell>
          <cell r="K5">
            <v>1.4632753999999999</v>
          </cell>
          <cell r="L5">
            <v>1.2088430999999999</v>
          </cell>
          <cell r="M5">
            <v>1.0545618999999999</v>
          </cell>
          <cell r="N5">
            <v>0.9223112</v>
          </cell>
          <cell r="O5">
            <v>0.69219379999999997</v>
          </cell>
          <cell r="P5">
            <v>0.54891259999999997</v>
          </cell>
          <cell r="Q5">
            <v>0.40032499999999999</v>
          </cell>
          <cell r="R5">
            <v>0.30630109999999999</v>
          </cell>
          <cell r="S5">
            <v>0.2230193</v>
          </cell>
          <cell r="T5">
            <v>0.14467869999999999</v>
          </cell>
          <cell r="U5">
            <v>9.2350600000000005E-2</v>
          </cell>
          <cell r="V5">
            <v>4.7577300000000003E-2</v>
          </cell>
          <cell r="W5">
            <v>2.3164799999999999E-2</v>
          </cell>
          <cell r="X5">
            <v>8.1966000000000001E-3</v>
          </cell>
          <cell r="Y5">
            <v>2.5157000000000001E-3</v>
          </cell>
          <cell r="Z5">
            <v>0.71678489999999995</v>
          </cell>
          <cell r="AA5">
            <v>0.41994340000000002</v>
          </cell>
          <cell r="AB5">
            <v>9.2959600000000003E-2</v>
          </cell>
          <cell r="AC5">
            <v>7.8632489999999997</v>
          </cell>
          <cell r="AD5">
            <v>0.27577360000000001</v>
          </cell>
          <cell r="AE5">
            <v>2.6862899999999999E-2</v>
          </cell>
          <cell r="AF5">
            <v>4.2934000000000002E-3</v>
          </cell>
          <cell r="AG5">
            <v>3.3379999999999998E-4</v>
          </cell>
          <cell r="AH5">
            <v>1.11214E-2</v>
          </cell>
          <cell r="AI5">
            <v>5.9996803999999999</v>
          </cell>
          <cell r="AJ5">
            <v>4.8992201</v>
          </cell>
          <cell r="AK5">
            <v>4.4576017999999999</v>
          </cell>
          <cell r="AL5">
            <v>4.2243094000000001</v>
          </cell>
          <cell r="AM5">
            <v>4.1555616000000004</v>
          </cell>
          <cell r="AN5">
            <v>3.8154156000000001</v>
          </cell>
          <cell r="AO5">
            <v>3.557925</v>
          </cell>
          <cell r="AP5">
            <v>3.3116123000000002</v>
          </cell>
          <cell r="AQ5">
            <v>2.8677429000000001</v>
          </cell>
          <cell r="AR5">
            <v>2.6778412999999999</v>
          </cell>
          <cell r="AS5">
            <v>2.4941488000000001</v>
          </cell>
          <cell r="AT5">
            <v>2.3648182000000002</v>
          </cell>
          <cell r="AU5">
            <v>2.2980417000000002</v>
          </cell>
          <cell r="AV5">
            <v>2.1940875000000002</v>
          </cell>
          <cell r="AW5">
            <v>2.0742916999999998</v>
          </cell>
          <cell r="AX5">
            <v>1.9824512000000001</v>
          </cell>
          <cell r="AY5">
            <v>1.8688861000000001</v>
          </cell>
          <cell r="AZ5">
            <v>1.7635083</v>
          </cell>
          <cell r="BA5">
            <v>1.6609293999999999</v>
          </cell>
          <cell r="BB5">
            <v>1.5721240000000001</v>
          </cell>
          <cell r="BC5">
            <v>1.4643316</v>
          </cell>
          <cell r="BD5">
            <v>1.3211484</v>
          </cell>
          <cell r="BE5">
            <v>1.2579982999999999</v>
          </cell>
          <cell r="BF5">
            <v>1.2230764999999999</v>
          </cell>
          <cell r="BG5">
            <v>1.1791408000000001</v>
          </cell>
          <cell r="BH5">
            <v>1.1314697</v>
          </cell>
          <cell r="BI5">
            <v>1.0820162</v>
          </cell>
          <cell r="BJ5"/>
          <cell r="BK5"/>
        </row>
        <row r="6">
          <cell r="A6" t="str">
            <v>d</v>
          </cell>
          <cell r="B6" t="str">
            <v>Abril</v>
          </cell>
          <cell r="C6" t="str">
            <v>ABR</v>
          </cell>
          <cell r="D6"/>
          <cell r="E6">
            <v>5.6915000000000004E-3</v>
          </cell>
          <cell r="F6">
            <v>4.3333E-3</v>
          </cell>
          <cell r="G6">
            <v>3.0952074999999999</v>
          </cell>
          <cell r="H6">
            <v>2.5566849999999999</v>
          </cell>
          <cell r="I6">
            <v>2.0375611</v>
          </cell>
          <cell r="J6">
            <v>1.7073183999999999</v>
          </cell>
          <cell r="K6">
            <v>1.4488205000000001</v>
          </cell>
          <cell r="L6">
            <v>1.1952031999999999</v>
          </cell>
          <cell r="M6">
            <v>1.0420263999999999</v>
          </cell>
          <cell r="N6">
            <v>0.91085530000000003</v>
          </cell>
          <cell r="O6">
            <v>0.67942910000000001</v>
          </cell>
          <cell r="P6">
            <v>0.53617769999999998</v>
          </cell>
          <cell r="Q6">
            <v>0.39144849999999998</v>
          </cell>
          <cell r="R6">
            <v>0.29860189999999998</v>
          </cell>
          <cell r="S6">
            <v>0.21758559999999999</v>
          </cell>
          <cell r="T6">
            <v>0.13951759999999999</v>
          </cell>
          <cell r="U6">
            <v>8.6877099999999999E-2</v>
          </cell>
          <cell r="V6">
            <v>4.5311700000000003E-2</v>
          </cell>
          <cell r="W6">
            <v>2.1252099999999999E-2</v>
          </cell>
          <cell r="X6">
            <v>7.4514000000000004E-3</v>
          </cell>
          <cell r="Y6">
            <v>2.2322000000000002E-3</v>
          </cell>
          <cell r="Z6">
            <v>0.71759419999999996</v>
          </cell>
          <cell r="AA6">
            <v>0.36671589999999998</v>
          </cell>
          <cell r="AB6">
            <v>8.0130599999999996E-2</v>
          </cell>
          <cell r="AC6">
            <v>7.4118151000000001</v>
          </cell>
          <cell r="AD6">
            <v>0.14961679999999999</v>
          </cell>
          <cell r="AE6">
            <v>2.40298E-2</v>
          </cell>
          <cell r="AF6">
            <v>3.5182999999999998E-3</v>
          </cell>
          <cell r="AG6">
            <v>2.6499999999999999E-4</v>
          </cell>
          <cell r="AH6">
            <v>7.7429999999999999E-3</v>
          </cell>
          <cell r="AI6">
            <v>5.7498706999999998</v>
          </cell>
          <cell r="AJ6">
            <v>4.8992201</v>
          </cell>
          <cell r="AK6">
            <v>4.4576017999999999</v>
          </cell>
          <cell r="AL6">
            <v>4.2243094000000001</v>
          </cell>
          <cell r="AM6">
            <v>4.1555616000000004</v>
          </cell>
          <cell r="AN6">
            <v>3.8154156000000001</v>
          </cell>
          <cell r="AO6">
            <v>3.5451624000000002</v>
          </cell>
          <cell r="AP6">
            <v>3.2984186000000002</v>
          </cell>
          <cell r="AQ6">
            <v>2.8354191000000002</v>
          </cell>
          <cell r="AR6">
            <v>2.6671725999999998</v>
          </cell>
          <cell r="AS6">
            <v>2.4854498</v>
          </cell>
          <cell r="AT6">
            <v>2.3561006999999998</v>
          </cell>
          <cell r="AU6">
            <v>2.2886582</v>
          </cell>
          <cell r="AV6">
            <v>2.1890526000000001</v>
          </cell>
          <cell r="AW6">
            <v>2.0720124000000002</v>
          </cell>
          <cell r="AX6">
            <v>1.9716073000000001</v>
          </cell>
          <cell r="AY6">
            <v>1.8577395999999999</v>
          </cell>
          <cell r="AZ6">
            <v>1.7591105</v>
          </cell>
          <cell r="BA6">
            <v>1.6528305000000001</v>
          </cell>
          <cell r="BB6">
            <v>1.5607306000000001</v>
          </cell>
          <cell r="BC6">
            <v>1.4463963</v>
          </cell>
          <cell r="BD6">
            <v>1.3154918</v>
          </cell>
          <cell r="BE6">
            <v>1.2561142000000001</v>
          </cell>
          <cell r="BF6">
            <v>1.2218547</v>
          </cell>
          <cell r="BG6">
            <v>1.1728076000000001</v>
          </cell>
          <cell r="BH6">
            <v>1.1312434</v>
          </cell>
          <cell r="BI6">
            <v>1.0720461999999999</v>
          </cell>
          <cell r="BJ6"/>
          <cell r="BK6"/>
        </row>
        <row r="7">
          <cell r="A7" t="str">
            <v>e</v>
          </cell>
          <cell r="B7" t="str">
            <v>Maio</v>
          </cell>
          <cell r="C7" t="str">
            <v>MAI</v>
          </cell>
          <cell r="D7"/>
          <cell r="E7">
            <v>5.6915000000000004E-3</v>
          </cell>
          <cell r="F7">
            <v>4.1720999999999998E-3</v>
          </cell>
          <cell r="G7">
            <v>3.0494167999999999</v>
          </cell>
          <cell r="H7">
            <v>2.5095727000000001</v>
          </cell>
          <cell r="I7">
            <v>2.0064696999999998</v>
          </cell>
          <cell r="J7">
            <v>1.6917903999999999</v>
          </cell>
          <cell r="K7">
            <v>1.4322237</v>
          </cell>
          <cell r="L7">
            <v>1.1794914000000001</v>
          </cell>
          <cell r="M7">
            <v>1.0302028000000001</v>
          </cell>
          <cell r="N7">
            <v>0.89619170000000004</v>
          </cell>
          <cell r="O7">
            <v>0.66613599999999995</v>
          </cell>
          <cell r="P7">
            <v>0.52297819999999995</v>
          </cell>
          <cell r="Q7">
            <v>0.38047350000000002</v>
          </cell>
          <cell r="R7">
            <v>0.29012789999999999</v>
          </cell>
          <cell r="S7">
            <v>0.2097292</v>
          </cell>
          <cell r="T7">
            <v>0.13454099999999999</v>
          </cell>
          <cell r="U7">
            <v>8.1959699999999996E-2</v>
          </cell>
          <cell r="V7">
            <v>4.2949500000000002E-2</v>
          </cell>
          <cell r="W7">
            <v>1.9497299999999999E-2</v>
          </cell>
          <cell r="X7">
            <v>6.8424999999999996E-3</v>
          </cell>
          <cell r="Y7">
            <v>1.9959999999999999E-3</v>
          </cell>
          <cell r="Z7">
            <v>0.71203349999999999</v>
          </cell>
          <cell r="AA7">
            <v>0.30317189999999999</v>
          </cell>
          <cell r="AB7">
            <v>6.7178699999999994E-2</v>
          </cell>
          <cell r="AC7">
            <v>6.9071781999999997</v>
          </cell>
          <cell r="AD7">
            <v>0.1033265</v>
          </cell>
          <cell r="AE7">
            <v>2.2883299999999999E-2</v>
          </cell>
          <cell r="AF7">
            <v>2.9361000000000001E-3</v>
          </cell>
          <cell r="AG7">
            <v>2.0809999999999999E-4</v>
          </cell>
          <cell r="AH7">
            <v>5.4818000000000002E-3</v>
          </cell>
          <cell r="AI7">
            <v>5.7498706999999998</v>
          </cell>
          <cell r="AJ7">
            <v>4.8992201</v>
          </cell>
          <cell r="AK7">
            <v>4.4576017999999999</v>
          </cell>
          <cell r="AL7">
            <v>4.2243094000000001</v>
          </cell>
          <cell r="AM7">
            <v>4.1555616000000004</v>
          </cell>
          <cell r="AN7">
            <v>3.8154156000000001</v>
          </cell>
          <cell r="AO7">
            <v>3.5275248000000001</v>
          </cell>
          <cell r="AP7">
            <v>3.2728901000000001</v>
          </cell>
          <cell r="AQ7">
            <v>2.8034596999999999</v>
          </cell>
          <cell r="AR7">
            <v>2.6615833000000002</v>
          </cell>
          <cell r="AS7">
            <v>2.4671924999999999</v>
          </cell>
          <cell r="AT7">
            <v>2.3521021000000002</v>
          </cell>
          <cell r="AU7">
            <v>2.2836341999999998</v>
          </cell>
          <cell r="AV7">
            <v>2.1762130000000002</v>
          </cell>
          <cell r="AW7">
            <v>2.0645799999999999</v>
          </cell>
          <cell r="AX7">
            <v>1.9621888000000001</v>
          </cell>
          <cell r="AY7">
            <v>1.8435443</v>
          </cell>
          <cell r="AZ7">
            <v>1.7515787</v>
          </cell>
          <cell r="BA7">
            <v>1.6444439</v>
          </cell>
          <cell r="BB7">
            <v>1.5486511999999999</v>
          </cell>
          <cell r="BC7">
            <v>1.4310837000000001</v>
          </cell>
          <cell r="BD7">
            <v>1.3088168</v>
          </cell>
          <cell r="BE7">
            <v>1.2534818999999999</v>
          </cell>
          <cell r="BF7">
            <v>1.2192942</v>
          </cell>
          <cell r="BG7">
            <v>1.1644237</v>
          </cell>
          <cell r="BH7">
            <v>1.1313565000000001</v>
          </cell>
          <cell r="BI7">
            <v>1.0656523</v>
          </cell>
          <cell r="BJ7"/>
          <cell r="BK7"/>
        </row>
        <row r="8">
          <cell r="A8" t="str">
            <v>f</v>
          </cell>
          <cell r="B8" t="str">
            <v>Junho</v>
          </cell>
          <cell r="C8" t="str">
            <v>JUN</v>
          </cell>
          <cell r="D8"/>
          <cell r="E8">
            <v>5.6915000000000004E-3</v>
          </cell>
          <cell r="F8">
            <v>3.9950999999999997E-3</v>
          </cell>
          <cell r="G8">
            <v>2.9955189999999998</v>
          </cell>
          <cell r="H8">
            <v>2.4444203</v>
          </cell>
          <cell r="I8">
            <v>1.9819624</v>
          </cell>
          <cell r="J8">
            <v>1.6761739</v>
          </cell>
          <cell r="K8">
            <v>1.4120702000000001</v>
          </cell>
          <cell r="L8">
            <v>1.1599378</v>
          </cell>
          <cell r="M8">
            <v>1.0172858</v>
          </cell>
          <cell r="N8">
            <v>0.87752750000000002</v>
          </cell>
          <cell r="O8">
            <v>0.65112190000000003</v>
          </cell>
          <cell r="P8">
            <v>0.50786379999999998</v>
          </cell>
          <cell r="Q8">
            <v>0.36861240000000001</v>
          </cell>
          <cell r="R8">
            <v>0.28154869999999999</v>
          </cell>
          <cell r="S8">
            <v>0.20200750000000001</v>
          </cell>
          <cell r="T8">
            <v>0.1301177</v>
          </cell>
          <cell r="U8">
            <v>7.7320600000000003E-2</v>
          </cell>
          <cell r="V8">
            <v>4.0710499999999997E-2</v>
          </cell>
          <cell r="W8">
            <v>1.8053099999999999E-2</v>
          </cell>
          <cell r="X8">
            <v>6.2832000000000001E-3</v>
          </cell>
          <cell r="Y8">
            <v>1.8144999999999999E-3</v>
          </cell>
          <cell r="Z8">
            <v>0.70219969999999998</v>
          </cell>
          <cell r="AA8">
            <v>0.24559919999999999</v>
          </cell>
          <cell r="AB8">
            <v>5.7037400000000002E-2</v>
          </cell>
          <cell r="AC8">
            <v>6.2828366000000004</v>
          </cell>
          <cell r="AD8">
            <v>9.5787999999999998E-2</v>
          </cell>
          <cell r="AE8">
            <v>2.1450400000000001E-2</v>
          </cell>
          <cell r="AF8">
            <v>2.3784000000000001E-3</v>
          </cell>
          <cell r="AG8">
            <v>1.616E-4</v>
          </cell>
          <cell r="AH8">
            <v>3.8013000000000001E-3</v>
          </cell>
          <cell r="AI8">
            <v>5.7498706999999998</v>
          </cell>
          <cell r="AJ8">
            <v>4.8992201</v>
          </cell>
          <cell r="AK8">
            <v>4.4576017999999999</v>
          </cell>
          <cell r="AL8">
            <v>4.2243094000000001</v>
          </cell>
          <cell r="AM8">
            <v>4.1555616000000004</v>
          </cell>
          <cell r="AN8">
            <v>3.8154156000000001</v>
          </cell>
          <cell r="AO8">
            <v>3.5103241999999999</v>
          </cell>
          <cell r="AP8">
            <v>3.2592013999999998</v>
          </cell>
          <cell r="AQ8">
            <v>2.7798311</v>
          </cell>
          <cell r="AR8">
            <v>2.6472878999999998</v>
          </cell>
          <cell r="AS8">
            <v>2.4468833999999999</v>
          </cell>
          <cell r="AT8">
            <v>2.3457685000000001</v>
          </cell>
          <cell r="AU8">
            <v>2.2777121</v>
          </cell>
          <cell r="AV8">
            <v>2.1640940999999998</v>
          </cell>
          <cell r="AW8">
            <v>2.0524703999999998</v>
          </cell>
          <cell r="AX8">
            <v>1.9499044000000001</v>
          </cell>
          <cell r="AY8">
            <v>1.8307291999999999</v>
          </cell>
          <cell r="AZ8">
            <v>1.742691</v>
          </cell>
          <cell r="BA8">
            <v>1.6369141</v>
          </cell>
          <cell r="BB8">
            <v>1.5397208</v>
          </cell>
          <cell r="BC8">
            <v>1.4225483999999999</v>
          </cell>
          <cell r="BD8">
            <v>1.2976569</v>
          </cell>
          <cell r="BE8">
            <v>1.2504807</v>
          </cell>
          <cell r="BF8">
            <v>1.2175895000000001</v>
          </cell>
          <cell r="BG8">
            <v>1.1603625</v>
          </cell>
          <cell r="BH8">
            <v>1.1380711999999999</v>
          </cell>
          <cell r="BI8">
            <v>1.0609839999999999</v>
          </cell>
          <cell r="BJ8"/>
          <cell r="BK8"/>
        </row>
        <row r="9">
          <cell r="A9" t="str">
            <v>g</v>
          </cell>
          <cell r="B9" t="str">
            <v>Julho</v>
          </cell>
          <cell r="C9" t="str">
            <v>JUL</v>
          </cell>
          <cell r="D9"/>
          <cell r="E9">
            <v>5.0175000000000003E-3</v>
          </cell>
          <cell r="F9">
            <v>3.8381999999999999E-3</v>
          </cell>
          <cell r="G9">
            <v>2.9131364999999998</v>
          </cell>
          <cell r="H9">
            <v>2.3766254999999998</v>
          </cell>
          <cell r="I9">
            <v>1.9555362000000001</v>
          </cell>
          <cell r="J9">
            <v>1.6507772999999999</v>
          </cell>
          <cell r="K9">
            <v>1.3846388999999999</v>
          </cell>
          <cell r="L9">
            <v>1.1394877000000001</v>
          </cell>
          <cell r="M9">
            <v>1.0061465999999999</v>
          </cell>
          <cell r="N9">
            <v>0.84928630000000005</v>
          </cell>
          <cell r="O9">
            <v>0.63943919999999999</v>
          </cell>
          <cell r="P9">
            <v>0.49331120000000001</v>
          </cell>
          <cell r="Q9">
            <v>0.35671619999999998</v>
          </cell>
          <cell r="R9">
            <v>0.27331529999999998</v>
          </cell>
          <cell r="S9">
            <v>0.1955035</v>
          </cell>
          <cell r="T9">
            <v>0.12608230000000001</v>
          </cell>
          <cell r="U9">
            <v>7.2943999999999995E-2</v>
          </cell>
          <cell r="V9">
            <v>3.85881E-2</v>
          </cell>
          <cell r="W9">
            <v>1.6746799999999999E-2</v>
          </cell>
          <cell r="X9">
            <v>5.7539000000000002E-3</v>
          </cell>
          <cell r="Y9">
            <v>1.6615E-3</v>
          </cell>
          <cell r="Z9">
            <v>0.69338949999999999</v>
          </cell>
          <cell r="AA9">
            <v>0.20809820000000001</v>
          </cell>
          <cell r="AB9">
            <v>4.7718099999999999E-2</v>
          </cell>
          <cell r="AC9">
            <v>5.0329457</v>
          </cell>
          <cell r="AD9">
            <v>8.7437699999999993E-2</v>
          </cell>
          <cell r="AE9">
            <v>1.9354400000000001E-2</v>
          </cell>
          <cell r="AF9">
            <v>1.9294E-3</v>
          </cell>
          <cell r="AG9">
            <v>1.2400000000000001E-4</v>
          </cell>
          <cell r="AH9">
            <v>7.2267421000000001</v>
          </cell>
          <cell r="AI9">
            <v>5.3675088999999998</v>
          </cell>
          <cell r="AJ9">
            <v>4.5891079000000001</v>
          </cell>
          <cell r="AK9">
            <v>4.4576017999999999</v>
          </cell>
          <cell r="AL9">
            <v>4.2243094000000001</v>
          </cell>
          <cell r="AM9">
            <v>4.1555616000000004</v>
          </cell>
          <cell r="AN9">
            <v>3.8154156000000001</v>
          </cell>
          <cell r="AO9">
            <v>3.4970355</v>
          </cell>
          <cell r="AP9">
            <v>3.2484814000000002</v>
          </cell>
          <cell r="AQ9">
            <v>2.7737289000000001</v>
          </cell>
          <cell r="AR9">
            <v>2.6325457000000001</v>
          </cell>
          <cell r="AS9">
            <v>2.4439506999999998</v>
          </cell>
          <cell r="AT9">
            <v>2.3492924999999998</v>
          </cell>
          <cell r="AU9">
            <v>2.2711258999999999</v>
          </cell>
          <cell r="AV9">
            <v>2.1447908999999998</v>
          </cell>
          <cell r="AW9">
            <v>2.0447004999999998</v>
          </cell>
          <cell r="AX9">
            <v>1.9462066</v>
          </cell>
          <cell r="AY9">
            <v>1.8265282</v>
          </cell>
          <cell r="AZ9">
            <v>1.7395598000000001</v>
          </cell>
          <cell r="BA9">
            <v>1.6307174</v>
          </cell>
          <cell r="BB9">
            <v>1.532518</v>
          </cell>
          <cell r="BC9">
            <v>1.4086031999999999</v>
          </cell>
          <cell r="BD9">
            <v>1.2924869999999999</v>
          </cell>
          <cell r="BE9">
            <v>1.2484831000000001</v>
          </cell>
          <cell r="BF9">
            <v>1.2042227000000001</v>
          </cell>
          <cell r="BG9">
            <v>1.1596667000000001</v>
          </cell>
          <cell r="BH9">
            <v>1.1378436000000001</v>
          </cell>
          <cell r="BI9">
            <v>1.0522503000000001</v>
          </cell>
          <cell r="BJ9"/>
          <cell r="BK9"/>
        </row>
        <row r="10">
          <cell r="A10" t="str">
            <v>h</v>
          </cell>
          <cell r="B10" t="str">
            <v>Agosto</v>
          </cell>
          <cell r="C10" t="str">
            <v>AGO</v>
          </cell>
          <cell r="D10"/>
          <cell r="E10">
            <v>5.0175000000000003E-3</v>
          </cell>
          <cell r="F10">
            <v>3.7330000000000002E-3</v>
          </cell>
          <cell r="G10">
            <v>2.8415020000000002</v>
          </cell>
          <cell r="H10">
            <v>2.3244715999999999</v>
          </cell>
          <cell r="I10">
            <v>1.942091</v>
          </cell>
          <cell r="J10">
            <v>1.6362565</v>
          </cell>
          <cell r="K10">
            <v>1.3575278</v>
          </cell>
          <cell r="L10">
            <v>1.1233747999999999</v>
          </cell>
          <cell r="M10">
            <v>0.99720070000000005</v>
          </cell>
          <cell r="N10">
            <v>0.81350310000000003</v>
          </cell>
          <cell r="O10">
            <v>0.62868610000000003</v>
          </cell>
          <cell r="P10">
            <v>0.48102119999999998</v>
          </cell>
          <cell r="Q10">
            <v>0.3474371</v>
          </cell>
          <cell r="R10">
            <v>0.26519890000000002</v>
          </cell>
          <cell r="S10">
            <v>0.190327</v>
          </cell>
          <cell r="T10">
            <v>0.12217210000000001</v>
          </cell>
          <cell r="U10">
            <v>6.8815299999999996E-2</v>
          </cell>
          <cell r="V10">
            <v>3.6403999999999999E-2</v>
          </cell>
          <cell r="W10">
            <v>1.53641E-2</v>
          </cell>
          <cell r="X10">
            <v>5.2166000000000001E-3</v>
          </cell>
          <cell r="Y10">
            <v>1.5439E-3</v>
          </cell>
          <cell r="Z10">
            <v>0.68522830000000001</v>
          </cell>
          <cell r="AA10">
            <v>0.20193800000000001</v>
          </cell>
          <cell r="AB10">
            <v>3.8469999999999997E-2</v>
          </cell>
          <cell r="AC10">
            <v>3.9086105</v>
          </cell>
          <cell r="AD10">
            <v>7.7433299999999997E-2</v>
          </cell>
          <cell r="AE10">
            <v>1.7259099999999999E-2</v>
          </cell>
          <cell r="AF10">
            <v>1.5943999999999999E-3</v>
          </cell>
          <cell r="AG10">
            <v>9.4881599999999996E-2</v>
          </cell>
          <cell r="AH10">
            <v>6.8685226000000004</v>
          </cell>
          <cell r="AI10">
            <v>5.3675088999999998</v>
          </cell>
          <cell r="AJ10">
            <v>4.5891079000000001</v>
          </cell>
          <cell r="AK10">
            <v>4.4576017999999999</v>
          </cell>
          <cell r="AL10">
            <v>4.2243094000000001</v>
          </cell>
          <cell r="AM10">
            <v>4.1555616000000004</v>
          </cell>
          <cell r="AN10">
            <v>3.8154156000000001</v>
          </cell>
          <cell r="AO10">
            <v>3.4644694999999999</v>
          </cell>
          <cell r="AP10">
            <v>3.2236593</v>
          </cell>
          <cell r="AQ10">
            <v>2.7787305999999998</v>
          </cell>
          <cell r="AR10">
            <v>2.6082885999999998</v>
          </cell>
          <cell r="AS10">
            <v>2.4412653</v>
          </cell>
          <cell r="AT10">
            <v>2.3497623999999999</v>
          </cell>
          <cell r="AU10">
            <v>2.2656882</v>
          </cell>
          <cell r="AV10">
            <v>2.1313634000000001</v>
          </cell>
          <cell r="AW10">
            <v>2.0402121000000002</v>
          </cell>
          <cell r="AX10">
            <v>1.9479598</v>
          </cell>
          <cell r="AY10">
            <v>1.8247035</v>
          </cell>
          <cell r="AZ10">
            <v>1.7338381</v>
          </cell>
          <cell r="BA10">
            <v>1.6295766</v>
          </cell>
          <cell r="BB10">
            <v>1.5299171</v>
          </cell>
          <cell r="BC10">
            <v>1.4003412</v>
          </cell>
          <cell r="BD10">
            <v>1.2855451</v>
          </cell>
          <cell r="BE10">
            <v>1.2507344</v>
          </cell>
          <cell r="BF10">
            <v>1.1965646000000001</v>
          </cell>
          <cell r="BG10">
            <v>1.1586239</v>
          </cell>
          <cell r="BH10">
            <v>1.1344403000000001</v>
          </cell>
          <cell r="BI10">
            <v>1.0447282</v>
          </cell>
          <cell r="BJ10"/>
          <cell r="BK10"/>
        </row>
        <row r="11">
          <cell r="A11" t="str">
            <v>i</v>
          </cell>
          <cell r="B11" t="str">
            <v>Setembro</v>
          </cell>
          <cell r="C11" t="str">
            <v>SET</v>
          </cell>
          <cell r="D11"/>
          <cell r="E11">
            <v>4.8577000000000004E-3</v>
          </cell>
          <cell r="F11">
            <v>3.63E-3</v>
          </cell>
          <cell r="G11">
            <v>2.7987491000000002</v>
          </cell>
          <cell r="H11">
            <v>2.2827270999999998</v>
          </cell>
          <cell r="I11">
            <v>1.9278542000000001</v>
          </cell>
          <cell r="J11">
            <v>1.6209545999999999</v>
          </cell>
          <cell r="K11">
            <v>1.329601</v>
          </cell>
          <cell r="L11">
            <v>1.1140215</v>
          </cell>
          <cell r="M11">
            <v>0.98892519999999995</v>
          </cell>
          <cell r="N11">
            <v>0.77648050000000002</v>
          </cell>
          <cell r="O11">
            <v>0.61904150000000002</v>
          </cell>
          <cell r="P11">
            <v>0.46797519999999998</v>
          </cell>
          <cell r="Q11">
            <v>0.34045760000000003</v>
          </cell>
          <cell r="R11">
            <v>0.25802999999999998</v>
          </cell>
          <cell r="S11">
            <v>0.18500369999999999</v>
          </cell>
          <cell r="T11">
            <v>0.1183831</v>
          </cell>
          <cell r="U11">
            <v>6.5042799999999998E-2</v>
          </cell>
          <cell r="V11">
            <v>3.4022400000000001E-2</v>
          </cell>
          <cell r="W11">
            <v>1.41604E-2</v>
          </cell>
          <cell r="X11">
            <v>4.7165999999999996E-3</v>
          </cell>
          <cell r="Y11">
            <v>1.4272E-3</v>
          </cell>
          <cell r="Z11">
            <v>0.67390570000000005</v>
          </cell>
          <cell r="AA11">
            <v>0.18986259999999999</v>
          </cell>
          <cell r="AB11">
            <v>3.1882899999999999E-2</v>
          </cell>
          <cell r="AC11">
            <v>3.0220826000000001</v>
          </cell>
          <cell r="AD11">
            <v>6.9118399999999997E-2</v>
          </cell>
          <cell r="AE11">
            <v>1.49274E-2</v>
          </cell>
          <cell r="AF11">
            <v>1.2948E-3</v>
          </cell>
          <cell r="AG11">
            <v>7.1883600000000006E-2</v>
          </cell>
          <cell r="AH11">
            <v>6.5409759000000003</v>
          </cell>
          <cell r="AI11">
            <v>5.3675088999999998</v>
          </cell>
          <cell r="AJ11">
            <v>4.5891079000000001</v>
          </cell>
          <cell r="AK11">
            <v>4.4576017999999999</v>
          </cell>
          <cell r="AL11">
            <v>4.2243094000000001</v>
          </cell>
          <cell r="AM11">
            <v>4.1555616000000004</v>
          </cell>
          <cell r="AN11">
            <v>3.8154156000000001</v>
          </cell>
          <cell r="AO11">
            <v>3.4240655000000002</v>
          </cell>
          <cell r="AP11">
            <v>3.1917418</v>
          </cell>
          <cell r="AQ11">
            <v>2.7712482999999999</v>
          </cell>
          <cell r="AR11">
            <v>2.5878445999999999</v>
          </cell>
          <cell r="AS11">
            <v>2.4344488000000002</v>
          </cell>
          <cell r="AT11">
            <v>2.3453062999999998</v>
          </cell>
          <cell r="AU11">
            <v>2.2562120999999999</v>
          </cell>
          <cell r="AV11">
            <v>2.1239295999999999</v>
          </cell>
          <cell r="AW11">
            <v>2.0355303</v>
          </cell>
          <cell r="AX11">
            <v>1.9489342999999999</v>
          </cell>
          <cell r="AY11">
            <v>1.8197901000000001</v>
          </cell>
          <cell r="AZ11">
            <v>1.7271023999999999</v>
          </cell>
          <cell r="BA11">
            <v>1.6269735000000001</v>
          </cell>
          <cell r="BB11">
            <v>1.5277782</v>
          </cell>
          <cell r="BC11">
            <v>1.3943455</v>
          </cell>
          <cell r="BD11">
            <v>1.2797860000000001</v>
          </cell>
          <cell r="BE11">
            <v>1.2463721000000001</v>
          </cell>
          <cell r="BF11">
            <v>1.1950111000000001</v>
          </cell>
          <cell r="BG11">
            <v>1.1576978</v>
          </cell>
          <cell r="BH11">
            <v>1.1318371</v>
          </cell>
          <cell r="BI11">
            <v>1.0355122000000001</v>
          </cell>
          <cell r="BJ11"/>
          <cell r="BK11"/>
        </row>
        <row r="12">
          <cell r="A12" t="str">
            <v>j</v>
          </cell>
          <cell r="B12" t="str">
            <v>Outubro</v>
          </cell>
          <cell r="C12" t="str">
            <v>OUT</v>
          </cell>
          <cell r="D12">
            <v>7.6265999999999999E-3</v>
          </cell>
          <cell r="E12">
            <v>4.7965999999999998E-3</v>
          </cell>
          <cell r="F12">
            <v>3.5292000000000001E-3</v>
          </cell>
          <cell r="G12">
            <v>2.7854606999999998</v>
          </cell>
          <cell r="H12">
            <v>2.2510599999999998</v>
          </cell>
          <cell r="I12">
            <v>1.9104688000000001</v>
          </cell>
          <cell r="J12">
            <v>1.6018885</v>
          </cell>
          <cell r="K12">
            <v>1.3012440000000001</v>
          </cell>
          <cell r="L12">
            <v>1.1061046000000001</v>
          </cell>
          <cell r="M12">
            <v>0.97940050000000001</v>
          </cell>
          <cell r="N12">
            <v>0.74843879999999996</v>
          </cell>
          <cell r="O12">
            <v>0.60672959999999998</v>
          </cell>
          <cell r="P12">
            <v>0.45307380000000003</v>
          </cell>
          <cell r="Q12">
            <v>0.33575129999999997</v>
          </cell>
          <cell r="R12">
            <v>0.25146200000000002</v>
          </cell>
          <cell r="S12">
            <v>0.17785889999999999</v>
          </cell>
          <cell r="T12">
            <v>0.1149345</v>
          </cell>
          <cell r="U12">
            <v>6.1534999999999999E-2</v>
          </cell>
          <cell r="V12">
            <v>3.1796699999999997E-2</v>
          </cell>
          <cell r="W12">
            <v>1.29319E-2</v>
          </cell>
          <cell r="X12">
            <v>4.2684000000000003E-3</v>
          </cell>
          <cell r="Y12">
            <v>1.3082E-3</v>
          </cell>
          <cell r="Z12">
            <v>0.66249060000000004</v>
          </cell>
          <cell r="AA12">
            <v>0.17965629999999999</v>
          </cell>
          <cell r="AB12">
            <v>2.571E-2</v>
          </cell>
          <cell r="AC12">
            <v>2.2229176000000002</v>
          </cell>
          <cell r="AD12">
            <v>6.1296900000000001E-2</v>
          </cell>
          <cell r="AE12">
            <v>1.29108E-2</v>
          </cell>
          <cell r="AF12">
            <v>1.0499000000000001E-3</v>
          </cell>
          <cell r="AG12">
            <v>5.3491200000000003E-2</v>
          </cell>
          <cell r="AH12">
            <v>6.4362456000000003</v>
          </cell>
          <cell r="AI12">
            <v>5.1056132999999999</v>
          </cell>
          <cell r="AJ12">
            <v>4.5891079000000001</v>
          </cell>
          <cell r="AK12">
            <v>4.4576017999999999</v>
          </cell>
          <cell r="AL12">
            <v>4.2243094000000001</v>
          </cell>
          <cell r="AM12">
            <v>4.1555616000000004</v>
          </cell>
          <cell r="AN12">
            <v>3.8154156000000001</v>
          </cell>
          <cell r="AO12">
            <v>3.4111033000000002</v>
          </cell>
          <cell r="AP12">
            <v>3.172075</v>
          </cell>
          <cell r="AQ12">
            <v>2.7555417000000002</v>
          </cell>
          <cell r="AR12">
            <v>2.5752259999999998</v>
          </cell>
          <cell r="AS12">
            <v>2.4305599</v>
          </cell>
          <cell r="AT12">
            <v>2.3441342999999999</v>
          </cell>
          <cell r="AU12">
            <v>2.2496879999999999</v>
          </cell>
          <cell r="AV12">
            <v>2.1184216999999999</v>
          </cell>
          <cell r="AW12">
            <v>2.0316702000000002</v>
          </cell>
          <cell r="AX12">
            <v>1.9429111999999999</v>
          </cell>
          <cell r="AY12">
            <v>1.8101961</v>
          </cell>
          <cell r="AZ12">
            <v>1.7188519</v>
          </cell>
          <cell r="BA12">
            <v>1.6225925000000001</v>
          </cell>
          <cell r="BB12">
            <v>1.5218430000000001</v>
          </cell>
          <cell r="BC12">
            <v>1.3889286999999999</v>
          </cell>
          <cell r="BD12">
            <v>1.2768493000000001</v>
          </cell>
          <cell r="BE12">
            <v>1.2450026000000001</v>
          </cell>
          <cell r="BF12">
            <v>1.1939366</v>
          </cell>
          <cell r="BG12">
            <v>1.1566567999999999</v>
          </cell>
          <cell r="BH12">
            <v>1.1267666000000001</v>
          </cell>
          <cell r="BI12">
            <v>1.0238404000000001</v>
          </cell>
          <cell r="BJ12"/>
          <cell r="BK12"/>
        </row>
        <row r="13">
          <cell r="A13" t="str">
            <v>k</v>
          </cell>
          <cell r="B13" t="str">
            <v>Novembro</v>
          </cell>
          <cell r="C13" t="str">
            <v>NOV</v>
          </cell>
          <cell r="D13">
            <v>7.6265999999999999E-3</v>
          </cell>
          <cell r="E13">
            <v>4.7517999999999996E-3</v>
          </cell>
          <cell r="F13">
            <v>3.4385000000000002E-3</v>
          </cell>
          <cell r="G13">
            <v>2.7662645000000001</v>
          </cell>
          <cell r="H13">
            <v>2.2176770000000001</v>
          </cell>
          <cell r="I13">
            <v>1.8798598</v>
          </cell>
          <cell r="J13">
            <v>1.5721689000000001</v>
          </cell>
          <cell r="K13">
            <v>1.275563</v>
          </cell>
          <cell r="L13">
            <v>1.0956172</v>
          </cell>
          <cell r="M13">
            <v>0.97277950000000002</v>
          </cell>
          <cell r="N13">
            <v>0.73262159999999998</v>
          </cell>
          <cell r="O13">
            <v>0.59383249999999999</v>
          </cell>
          <cell r="P13">
            <v>0.43730449999999998</v>
          </cell>
          <cell r="Q13">
            <v>0.33115899999999998</v>
          </cell>
          <cell r="R13">
            <v>0.24563080000000001</v>
          </cell>
          <cell r="S13">
            <v>0.17005799999999999</v>
          </cell>
          <cell r="T13">
            <v>0.1113712</v>
          </cell>
          <cell r="U13">
            <v>5.8216499999999997E-2</v>
          </cell>
          <cell r="V13">
            <v>2.97165E-2</v>
          </cell>
          <cell r="W13">
            <v>1.1788399999999999E-2</v>
          </cell>
          <cell r="X13">
            <v>3.7908E-3</v>
          </cell>
          <cell r="Y13">
            <v>1.2001E-3</v>
          </cell>
          <cell r="Z13">
            <v>0.65012289999999995</v>
          </cell>
          <cell r="AA13">
            <v>0.16455059999999999</v>
          </cell>
          <cell r="AB13">
            <v>2.0204300000000001E-2</v>
          </cell>
          <cell r="AC13">
            <v>1.6152449</v>
          </cell>
          <cell r="AD13">
            <v>5.3675E-2</v>
          </cell>
          <cell r="AE13">
            <v>1.0663000000000001E-2</v>
          </cell>
          <cell r="AF13">
            <v>8.3670000000000001E-4</v>
          </cell>
          <cell r="AG13">
            <v>3.95748E-2</v>
          </cell>
          <cell r="AH13">
            <v>6.3160917000000003</v>
          </cell>
          <cell r="AI13">
            <v>5.1056132999999999</v>
          </cell>
          <cell r="AJ13">
            <v>4.5891079000000001</v>
          </cell>
          <cell r="AK13">
            <v>4.4576017999999999</v>
          </cell>
          <cell r="AL13">
            <v>4.2243094000000001</v>
          </cell>
          <cell r="AM13">
            <v>4.1555616000000004</v>
          </cell>
          <cell r="AN13">
            <v>3.8154156000000001</v>
          </cell>
          <cell r="AO13">
            <v>3.3985287999999998</v>
          </cell>
          <cell r="AP13">
            <v>3.1437808999999999</v>
          </cell>
          <cell r="AQ13">
            <v>2.7374743000000001</v>
          </cell>
          <cell r="AR13">
            <v>2.5670115999999998</v>
          </cell>
          <cell r="AS13">
            <v>2.4170246</v>
          </cell>
          <cell r="AT13">
            <v>2.3373558999999999</v>
          </cell>
          <cell r="AU13">
            <v>2.2443016999999998</v>
          </cell>
          <cell r="AV13">
            <v>2.1120853999999998</v>
          </cell>
          <cell r="AW13">
            <v>2.0280197000000002</v>
          </cell>
          <cell r="AX13">
            <v>1.9309394</v>
          </cell>
          <cell r="AY13">
            <v>1.8026249999999999</v>
          </cell>
          <cell r="AZ13">
            <v>1.7077515000000001</v>
          </cell>
          <cell r="BA13">
            <v>1.6148412999999999</v>
          </cell>
          <cell r="BB13">
            <v>1.5145731</v>
          </cell>
          <cell r="BC13">
            <v>1.3798219</v>
          </cell>
          <cell r="BD13">
            <v>1.2744279000000001</v>
          </cell>
          <cell r="BE13">
            <v>1.2407840000000001</v>
          </cell>
          <cell r="BF13">
            <v>1.1870517</v>
          </cell>
          <cell r="BG13">
            <v>1.1556166999999999</v>
          </cell>
          <cell r="BH13">
            <v>1.1162736</v>
          </cell>
          <cell r="BI13">
            <v>1.0117</v>
          </cell>
          <cell r="BJ13"/>
          <cell r="BK13"/>
        </row>
        <row r="14">
          <cell r="A14" t="str">
            <v>l</v>
          </cell>
          <cell r="B14" t="str">
            <v>Dezembro</v>
          </cell>
          <cell r="C14" t="str">
            <v>DEZ</v>
          </cell>
          <cell r="D14">
            <v>7.6265999999999999E-3</v>
          </cell>
          <cell r="E14">
            <v>4.6788999999999997E-3</v>
          </cell>
          <cell r="F14">
            <v>3.3612E-3</v>
          </cell>
          <cell r="G14">
            <v>2.7276793000000001</v>
          </cell>
          <cell r="H14">
            <v>2.1821434000000002</v>
          </cell>
          <cell r="I14">
            <v>1.8412823</v>
          </cell>
          <cell r="J14">
            <v>1.5394814999999999</v>
          </cell>
          <cell r="K14">
            <v>1.2549927999999999</v>
          </cell>
          <cell r="L14">
            <v>1.0884246</v>
          </cell>
          <cell r="M14">
            <v>0.96453670000000002</v>
          </cell>
          <cell r="N14">
            <v>0.72351690000000002</v>
          </cell>
          <cell r="O14">
            <v>0.58249379999999995</v>
          </cell>
          <cell r="P14">
            <v>0.4244541</v>
          </cell>
          <cell r="Q14">
            <v>0.3262852</v>
          </cell>
          <cell r="R14">
            <v>0.2394985</v>
          </cell>
          <cell r="S14">
            <v>0.16271450000000001</v>
          </cell>
          <cell r="T14">
            <v>0.1079184</v>
          </cell>
          <cell r="U14">
            <v>5.5181599999999997E-2</v>
          </cell>
          <cell r="V14">
            <v>2.7902799999999998E-2</v>
          </cell>
          <cell r="W14">
            <v>1.08749E-2</v>
          </cell>
          <cell r="X14">
            <v>3.4493000000000002E-3</v>
          </cell>
          <cell r="Y14">
            <v>1.08E-3</v>
          </cell>
          <cell r="Z14">
            <v>0.62941250000000004</v>
          </cell>
          <cell r="AA14">
            <v>0.1458267</v>
          </cell>
          <cell r="AB14">
            <v>1.59189E-2</v>
          </cell>
          <cell r="AC14">
            <v>1.1421577999999999</v>
          </cell>
          <cell r="AD14">
            <v>4.64397E-2</v>
          </cell>
          <cell r="AE14">
            <v>8.4305999999999999E-3</v>
          </cell>
          <cell r="AF14">
            <v>6.7639999999999996E-4</v>
          </cell>
          <cell r="AG14">
            <v>2.9555100000000001E-2</v>
          </cell>
          <cell r="AH14">
            <v>6.1347592999999998</v>
          </cell>
          <cell r="AI14">
            <v>5.1056132999999999</v>
          </cell>
          <cell r="AJ14">
            <v>4.5891079000000001</v>
          </cell>
          <cell r="AK14">
            <v>4.4576017999999999</v>
          </cell>
          <cell r="AL14">
            <v>4.2243094000000001</v>
          </cell>
          <cell r="AM14">
            <v>4.1555616000000004</v>
          </cell>
          <cell r="AN14">
            <v>3.8154156000000001</v>
          </cell>
          <cell r="AO14">
            <v>3.3652131999999999</v>
          </cell>
          <cell r="AP14">
            <v>3.0797227</v>
          </cell>
          <cell r="AQ14">
            <v>2.7328285000000001</v>
          </cell>
          <cell r="AR14">
            <v>2.5509406999999999</v>
          </cell>
          <cell r="AS14">
            <v>2.3983177000000002</v>
          </cell>
          <cell r="AT14">
            <v>2.3287396</v>
          </cell>
          <cell r="AU14">
            <v>2.2391516</v>
          </cell>
          <cell r="AV14">
            <v>2.1017866999999999</v>
          </cell>
          <cell r="AW14">
            <v>2.0191355</v>
          </cell>
          <cell r="AX14">
            <v>1.9144749000000001</v>
          </cell>
          <cell r="AY14">
            <v>1.7943709000000001</v>
          </cell>
          <cell r="AZ14">
            <v>1.6985792</v>
          </cell>
          <cell r="BA14">
            <v>1.6056888</v>
          </cell>
          <cell r="BB14">
            <v>1.5088394999999999</v>
          </cell>
          <cell r="BC14">
            <v>1.3681922</v>
          </cell>
          <cell r="BD14">
            <v>1.2711228999999999</v>
          </cell>
          <cell r="BE14">
            <v>1.2368261</v>
          </cell>
          <cell r="BF14">
            <v>1.1848006</v>
          </cell>
          <cell r="BG14">
            <v>1.1540010999999999</v>
          </cell>
          <cell r="BH14">
            <v>1.1073044999999999</v>
          </cell>
          <cell r="BI14">
            <v>1</v>
          </cell>
          <cell r="BJ14"/>
          <cell r="BK14"/>
        </row>
        <row r="15">
          <cell r="B15"/>
          <cell r="C15"/>
          <cell r="D15"/>
          <cell r="E15"/>
          <cell r="F15"/>
          <cell r="G15"/>
          <cell r="H15"/>
          <cell r="I15"/>
          <cell r="J15"/>
          <cell r="K15"/>
          <cell r="L15"/>
          <cell r="M15"/>
          <cell r="N15"/>
          <cell r="O15"/>
          <cell r="P15"/>
          <cell r="Q15"/>
          <cell r="R15"/>
          <cell r="S15"/>
          <cell r="T15"/>
          <cell r="U15"/>
          <cell r="V15"/>
          <cell r="W15"/>
          <cell r="X15"/>
          <cell r="Y15"/>
          <cell r="Z15"/>
          <cell r="AA15"/>
          <cell r="AB15"/>
          <cell r="AC15"/>
          <cell r="AD15"/>
          <cell r="AE15"/>
          <cell r="AF15"/>
          <cell r="AG15"/>
          <cell r="AH15"/>
          <cell r="AI15"/>
          <cell r="AJ15"/>
          <cell r="AK15"/>
          <cell r="AL15"/>
          <cell r="AM15"/>
          <cell r="AN15"/>
          <cell r="AO15"/>
          <cell r="AP15"/>
          <cell r="AQ15"/>
          <cell r="AR15"/>
          <cell r="AS15"/>
          <cell r="AT15"/>
          <cell r="AU15"/>
          <cell r="AV15"/>
          <cell r="AW15"/>
          <cell r="AX15"/>
          <cell r="AY15"/>
          <cell r="AZ15"/>
          <cell r="BA15"/>
          <cell r="BB15"/>
          <cell r="BC15"/>
          <cell r="BD15"/>
          <cell r="BE15"/>
          <cell r="BF15"/>
          <cell r="BG15"/>
          <cell r="BH15"/>
          <cell r="BI15"/>
          <cell r="BJ15"/>
          <cell r="BK15"/>
        </row>
        <row r="17">
          <cell r="C17" t="str">
            <v># MENU</v>
          </cell>
        </row>
      </sheetData>
      <sheetData sheetId="4">
        <row r="5">
          <cell r="H5" t="b">
            <v>0</v>
          </cell>
          <cell r="I5" t="b">
            <v>0</v>
          </cell>
          <cell r="J5" t="b">
            <v>0</v>
          </cell>
          <cell r="K5" t="b">
            <v>0</v>
          </cell>
          <cell r="L5" t="b">
            <v>0</v>
          </cell>
          <cell r="M5" t="b">
            <v>0</v>
          </cell>
          <cell r="N5" t="b">
            <v>0</v>
          </cell>
          <cell r="O5" t="b">
            <v>0</v>
          </cell>
          <cell r="P5" t="b">
            <v>0</v>
          </cell>
          <cell r="Q5" t="b">
            <v>0</v>
          </cell>
          <cell r="W5" t="e">
            <v>#REF!</v>
          </cell>
        </row>
        <row r="6">
          <cell r="H6" t="b">
            <v>0</v>
          </cell>
          <cell r="I6" t="b">
            <v>0</v>
          </cell>
          <cell r="J6" t="b">
            <v>0</v>
          </cell>
          <cell r="K6" t="b">
            <v>0</v>
          </cell>
          <cell r="L6" t="b">
            <v>0</v>
          </cell>
          <cell r="M6" t="b">
            <v>0</v>
          </cell>
          <cell r="N6" t="b">
            <v>0</v>
          </cell>
          <cell r="O6" t="b">
            <v>0</v>
          </cell>
          <cell r="P6" t="b">
            <v>0</v>
          </cell>
          <cell r="Q6" t="b">
            <v>0</v>
          </cell>
          <cell r="W6" t="e">
            <v>#REF!</v>
          </cell>
        </row>
        <row r="7">
          <cell r="H7" t="b">
            <v>0</v>
          </cell>
          <cell r="I7" t="b">
            <v>0</v>
          </cell>
          <cell r="J7" t="b">
            <v>0</v>
          </cell>
          <cell r="K7" t="b">
            <v>0</v>
          </cell>
          <cell r="L7" t="b">
            <v>0</v>
          </cell>
          <cell r="M7" t="b">
            <v>0</v>
          </cell>
          <cell r="N7" t="b">
            <v>0</v>
          </cell>
          <cell r="O7" t="b">
            <v>0</v>
          </cell>
          <cell r="P7" t="b">
            <v>0</v>
          </cell>
          <cell r="Q7" t="b">
            <v>0</v>
          </cell>
          <cell r="W7" t="e">
            <v>#REF!</v>
          </cell>
        </row>
        <row r="8">
          <cell r="H8" t="b">
            <v>0</v>
          </cell>
          <cell r="I8" t="b">
            <v>0</v>
          </cell>
          <cell r="J8" t="b">
            <v>0</v>
          </cell>
          <cell r="K8" t="b">
            <v>0</v>
          </cell>
          <cell r="L8" t="b">
            <v>0</v>
          </cell>
          <cell r="M8" t="b">
            <v>0</v>
          </cell>
          <cell r="N8" t="b">
            <v>0</v>
          </cell>
          <cell r="O8" t="b">
            <v>0</v>
          </cell>
          <cell r="P8" t="b">
            <v>0</v>
          </cell>
          <cell r="Q8" t="b">
            <v>0</v>
          </cell>
          <cell r="W8" t="e">
            <v>#REF!</v>
          </cell>
        </row>
        <row r="9">
          <cell r="H9" t="b">
            <v>0</v>
          </cell>
          <cell r="I9" t="b">
            <v>0</v>
          </cell>
          <cell r="J9" t="b">
            <v>0</v>
          </cell>
          <cell r="K9" t="b">
            <v>0</v>
          </cell>
          <cell r="L9" t="b">
            <v>0</v>
          </cell>
          <cell r="M9" t="b">
            <v>0</v>
          </cell>
          <cell r="N9" t="b">
            <v>0</v>
          </cell>
          <cell r="O9" t="b">
            <v>0</v>
          </cell>
          <cell r="P9" t="b">
            <v>0</v>
          </cell>
          <cell r="Q9" t="b">
            <v>0</v>
          </cell>
          <cell r="W9" t="e">
            <v>#REF!</v>
          </cell>
        </row>
        <row r="10">
          <cell r="H10" t="b">
            <v>0</v>
          </cell>
          <cell r="I10" t="b">
            <v>0</v>
          </cell>
          <cell r="J10" t="b">
            <v>0</v>
          </cell>
          <cell r="K10" t="b">
            <v>0</v>
          </cell>
          <cell r="L10" t="b">
            <v>0</v>
          </cell>
          <cell r="M10" t="b">
            <v>0</v>
          </cell>
          <cell r="N10" t="b">
            <v>0</v>
          </cell>
          <cell r="O10" t="b">
            <v>0</v>
          </cell>
          <cell r="P10" t="b">
            <v>0</v>
          </cell>
          <cell r="Q10" t="b">
            <v>0</v>
          </cell>
          <cell r="W10" t="e">
            <v>#REF!</v>
          </cell>
        </row>
        <row r="11">
          <cell r="H11" t="b">
            <v>0</v>
          </cell>
          <cell r="I11" t="b">
            <v>0</v>
          </cell>
          <cell r="J11" t="b">
            <v>0</v>
          </cell>
          <cell r="K11" t="b">
            <v>0</v>
          </cell>
          <cell r="L11" t="b">
            <v>0</v>
          </cell>
          <cell r="M11" t="b">
            <v>0</v>
          </cell>
          <cell r="N11" t="b">
            <v>0</v>
          </cell>
          <cell r="O11" t="b">
            <v>0</v>
          </cell>
          <cell r="P11" t="b">
            <v>0</v>
          </cell>
          <cell r="Q11" t="b">
            <v>0</v>
          </cell>
          <cell r="W11" t="e">
            <v>#REF!</v>
          </cell>
        </row>
        <row r="12">
          <cell r="H12" t="b">
            <v>0</v>
          </cell>
          <cell r="I12" t="b">
            <v>0</v>
          </cell>
          <cell r="J12" t="b">
            <v>0</v>
          </cell>
          <cell r="K12" t="b">
            <v>0</v>
          </cell>
          <cell r="L12" t="b">
            <v>0</v>
          </cell>
          <cell r="M12" t="b">
            <v>0</v>
          </cell>
          <cell r="N12" t="b">
            <v>0</v>
          </cell>
          <cell r="O12" t="b">
            <v>0</v>
          </cell>
          <cell r="P12" t="b">
            <v>0</v>
          </cell>
          <cell r="Q12" t="b">
            <v>0</v>
          </cell>
          <cell r="W12" t="e">
            <v>#REF!</v>
          </cell>
        </row>
        <row r="13">
          <cell r="H13" t="b">
            <v>0</v>
          </cell>
          <cell r="I13" t="b">
            <v>0</v>
          </cell>
          <cell r="J13" t="b">
            <v>0</v>
          </cell>
          <cell r="K13" t="b">
            <v>0</v>
          </cell>
          <cell r="L13" t="b">
            <v>0</v>
          </cell>
          <cell r="M13" t="b">
            <v>0</v>
          </cell>
          <cell r="N13" t="b">
            <v>0</v>
          </cell>
          <cell r="O13" t="b">
            <v>0</v>
          </cell>
          <cell r="P13" t="b">
            <v>0</v>
          </cell>
          <cell r="Q13" t="b">
            <v>0</v>
          </cell>
          <cell r="W13" t="e">
            <v>#REF!</v>
          </cell>
        </row>
        <row r="14">
          <cell r="H14" t="b">
            <v>0</v>
          </cell>
          <cell r="I14" t="b">
            <v>0</v>
          </cell>
          <cell r="J14" t="b">
            <v>0</v>
          </cell>
          <cell r="K14" t="b">
            <v>0</v>
          </cell>
          <cell r="L14" t="b">
            <v>0</v>
          </cell>
          <cell r="M14" t="b">
            <v>0</v>
          </cell>
          <cell r="N14" t="b">
            <v>0</v>
          </cell>
          <cell r="O14" t="b">
            <v>0</v>
          </cell>
          <cell r="P14" t="b">
            <v>0</v>
          </cell>
          <cell r="Q14" t="b">
            <v>0</v>
          </cell>
          <cell r="W14" t="e">
            <v>#REF!</v>
          </cell>
        </row>
        <row r="15">
          <cell r="H15" t="b">
            <v>0</v>
          </cell>
          <cell r="I15" t="b">
            <v>0</v>
          </cell>
          <cell r="J15" t="b">
            <v>0</v>
          </cell>
          <cell r="K15" t="b">
            <v>0</v>
          </cell>
          <cell r="L15" t="b">
            <v>0</v>
          </cell>
          <cell r="M15" t="b">
            <v>0</v>
          </cell>
          <cell r="N15" t="b">
            <v>0</v>
          </cell>
          <cell r="O15" t="b">
            <v>0</v>
          </cell>
          <cell r="P15" t="b">
            <v>0</v>
          </cell>
          <cell r="Q15" t="b">
            <v>0</v>
          </cell>
          <cell r="W15" t="e">
            <v>#REF!</v>
          </cell>
        </row>
        <row r="16">
          <cell r="H16" t="b">
            <v>0</v>
          </cell>
          <cell r="I16" t="b">
            <v>0</v>
          </cell>
          <cell r="J16" t="b">
            <v>0</v>
          </cell>
          <cell r="K16" t="b">
            <v>0</v>
          </cell>
          <cell r="L16" t="b">
            <v>0</v>
          </cell>
          <cell r="M16" t="b">
            <v>0</v>
          </cell>
          <cell r="N16" t="b">
            <v>0</v>
          </cell>
          <cell r="O16" t="b">
            <v>0</v>
          </cell>
          <cell r="P16" t="b">
            <v>0</v>
          </cell>
          <cell r="Q16" t="b">
            <v>0</v>
          </cell>
          <cell r="W16" t="e">
            <v>#REF!</v>
          </cell>
        </row>
        <row r="17">
          <cell r="H17" t="b">
            <v>0</v>
          </cell>
          <cell r="I17" t="b">
            <v>0</v>
          </cell>
          <cell r="J17" t="b">
            <v>0</v>
          </cell>
          <cell r="K17" t="b">
            <v>0</v>
          </cell>
          <cell r="L17" t="b">
            <v>0</v>
          </cell>
          <cell r="M17" t="b">
            <v>0</v>
          </cell>
          <cell r="N17" t="b">
            <v>0</v>
          </cell>
          <cell r="O17" t="b">
            <v>0</v>
          </cell>
          <cell r="P17" t="b">
            <v>0</v>
          </cell>
          <cell r="Q17" t="b">
            <v>0</v>
          </cell>
          <cell r="W17" t="e">
            <v>#REF!</v>
          </cell>
        </row>
        <row r="18">
          <cell r="H18" t="b">
            <v>0</v>
          </cell>
          <cell r="I18" t="b">
            <v>0</v>
          </cell>
          <cell r="J18" t="b">
            <v>0</v>
          </cell>
          <cell r="K18" t="b">
            <v>0</v>
          </cell>
          <cell r="L18" t="b">
            <v>0</v>
          </cell>
          <cell r="M18" t="b">
            <v>0</v>
          </cell>
          <cell r="N18" t="b">
            <v>0</v>
          </cell>
          <cell r="O18" t="b">
            <v>0</v>
          </cell>
          <cell r="P18" t="b">
            <v>0</v>
          </cell>
          <cell r="Q18" t="b">
            <v>0</v>
          </cell>
          <cell r="W18" t="e">
            <v>#REF!</v>
          </cell>
        </row>
        <row r="19">
          <cell r="H19" t="b">
            <v>0</v>
          </cell>
          <cell r="I19" t="b">
            <v>0</v>
          </cell>
          <cell r="J19" t="b">
            <v>0</v>
          </cell>
          <cell r="K19" t="b">
            <v>0</v>
          </cell>
          <cell r="L19" t="b">
            <v>0</v>
          </cell>
          <cell r="M19" t="b">
            <v>0</v>
          </cell>
          <cell r="N19" t="b">
            <v>0</v>
          </cell>
          <cell r="O19" t="b">
            <v>0</v>
          </cell>
          <cell r="P19" t="b">
            <v>0</v>
          </cell>
          <cell r="Q19" t="b">
            <v>0</v>
          </cell>
          <cell r="W19" t="e">
            <v>#REF!</v>
          </cell>
        </row>
        <row r="20">
          <cell r="H20" t="b">
            <v>0</v>
          </cell>
          <cell r="I20" t="b">
            <v>0</v>
          </cell>
          <cell r="J20" t="b">
            <v>0</v>
          </cell>
          <cell r="K20" t="b">
            <v>0</v>
          </cell>
          <cell r="L20" t="b">
            <v>0</v>
          </cell>
          <cell r="M20" t="b">
            <v>0</v>
          </cell>
          <cell r="N20" t="b">
            <v>0</v>
          </cell>
          <cell r="O20" t="b">
            <v>0</v>
          </cell>
          <cell r="P20" t="b">
            <v>0</v>
          </cell>
          <cell r="Q20" t="b">
            <v>0</v>
          </cell>
          <cell r="W20" t="e">
            <v>#REF!</v>
          </cell>
        </row>
        <row r="21">
          <cell r="H21" t="b">
            <v>0</v>
          </cell>
          <cell r="I21" t="b">
            <v>0</v>
          </cell>
          <cell r="J21" t="b">
            <v>0</v>
          </cell>
          <cell r="K21" t="b">
            <v>0</v>
          </cell>
          <cell r="L21" t="b">
            <v>0</v>
          </cell>
          <cell r="M21" t="b">
            <v>0</v>
          </cell>
          <cell r="N21" t="b">
            <v>0</v>
          </cell>
          <cell r="O21" t="b">
            <v>0</v>
          </cell>
          <cell r="P21" t="b">
            <v>0</v>
          </cell>
          <cell r="Q21" t="b">
            <v>0</v>
          </cell>
          <cell r="W21" t="e">
            <v>#REF!</v>
          </cell>
        </row>
        <row r="22">
          <cell r="H22" t="b">
            <v>0</v>
          </cell>
          <cell r="I22" t="b">
            <v>0</v>
          </cell>
          <cell r="J22" t="b">
            <v>0</v>
          </cell>
          <cell r="K22" t="b">
            <v>0</v>
          </cell>
          <cell r="L22" t="b">
            <v>0</v>
          </cell>
          <cell r="M22" t="b">
            <v>0</v>
          </cell>
          <cell r="N22" t="b">
            <v>0</v>
          </cell>
          <cell r="O22" t="b">
            <v>0</v>
          </cell>
          <cell r="P22" t="b">
            <v>0</v>
          </cell>
          <cell r="Q22" t="b">
            <v>0</v>
          </cell>
          <cell r="W22" t="e">
            <v>#REF!</v>
          </cell>
        </row>
        <row r="23">
          <cell r="H23" t="b">
            <v>0</v>
          </cell>
          <cell r="I23" t="b">
            <v>0</v>
          </cell>
          <cell r="J23" t="b">
            <v>0</v>
          </cell>
          <cell r="K23" t="b">
            <v>0</v>
          </cell>
          <cell r="L23" t="b">
            <v>0</v>
          </cell>
          <cell r="M23" t="b">
            <v>0</v>
          </cell>
          <cell r="N23" t="b">
            <v>0</v>
          </cell>
          <cell r="O23" t="b">
            <v>0</v>
          </cell>
          <cell r="P23" t="b">
            <v>0</v>
          </cell>
          <cell r="Q23" t="b">
            <v>0</v>
          </cell>
          <cell r="W23" t="e">
            <v>#REF!</v>
          </cell>
        </row>
        <row r="24">
          <cell r="H24" t="b">
            <v>0</v>
          </cell>
          <cell r="I24" t="b">
            <v>0</v>
          </cell>
          <cell r="J24" t="b">
            <v>0</v>
          </cell>
          <cell r="K24" t="b">
            <v>0</v>
          </cell>
          <cell r="L24" t="b">
            <v>0</v>
          </cell>
          <cell r="M24" t="b">
            <v>0</v>
          </cell>
          <cell r="N24" t="b">
            <v>0</v>
          </cell>
          <cell r="O24" t="b">
            <v>0</v>
          </cell>
          <cell r="P24" t="b">
            <v>0</v>
          </cell>
          <cell r="Q24" t="b">
            <v>0</v>
          </cell>
          <cell r="W24" t="e">
            <v>#REF!</v>
          </cell>
        </row>
        <row r="25">
          <cell r="H25" t="b">
            <v>0</v>
          </cell>
          <cell r="I25" t="b">
            <v>0</v>
          </cell>
          <cell r="J25" t="b">
            <v>0</v>
          </cell>
          <cell r="K25" t="b">
            <v>0</v>
          </cell>
          <cell r="L25" t="b">
            <v>0</v>
          </cell>
          <cell r="M25" t="b">
            <v>0</v>
          </cell>
          <cell r="N25" t="b">
            <v>0</v>
          </cell>
          <cell r="O25" t="b">
            <v>0</v>
          </cell>
          <cell r="P25" t="b">
            <v>0</v>
          </cell>
          <cell r="Q25" t="b">
            <v>0</v>
          </cell>
          <cell r="W25" t="e">
            <v>#REF!</v>
          </cell>
        </row>
        <row r="26">
          <cell r="H26" t="b">
            <v>0</v>
          </cell>
          <cell r="I26" t="b">
            <v>0</v>
          </cell>
          <cell r="J26" t="b">
            <v>0</v>
          </cell>
          <cell r="K26" t="b">
            <v>0</v>
          </cell>
          <cell r="L26" t="b">
            <v>0</v>
          </cell>
          <cell r="M26" t="b">
            <v>0</v>
          </cell>
          <cell r="N26" t="b">
            <v>0</v>
          </cell>
          <cell r="O26" t="b">
            <v>0</v>
          </cell>
          <cell r="P26" t="b">
            <v>0</v>
          </cell>
          <cell r="Q26" t="b">
            <v>0</v>
          </cell>
          <cell r="W26" t="e">
            <v>#REF!</v>
          </cell>
        </row>
        <row r="27">
          <cell r="H27" t="b">
            <v>0</v>
          </cell>
          <cell r="I27" t="b">
            <v>0</v>
          </cell>
          <cell r="J27" t="b">
            <v>0</v>
          </cell>
          <cell r="K27" t="b">
            <v>0</v>
          </cell>
          <cell r="L27" t="b">
            <v>0</v>
          </cell>
          <cell r="M27" t="b">
            <v>0</v>
          </cell>
          <cell r="N27" t="b">
            <v>0</v>
          </cell>
          <cell r="O27" t="b">
            <v>0</v>
          </cell>
          <cell r="P27" t="b">
            <v>0</v>
          </cell>
          <cell r="Q27" t="b">
            <v>0</v>
          </cell>
          <cell r="W27" t="e">
            <v>#REF!</v>
          </cell>
        </row>
        <row r="28">
          <cell r="H28" t="b">
            <v>0</v>
          </cell>
          <cell r="I28" t="b">
            <v>0</v>
          </cell>
          <cell r="J28" t="b">
            <v>0</v>
          </cell>
          <cell r="K28" t="b">
            <v>0</v>
          </cell>
          <cell r="L28" t="b">
            <v>0</v>
          </cell>
          <cell r="M28" t="b">
            <v>0</v>
          </cell>
          <cell r="N28" t="b">
            <v>0</v>
          </cell>
          <cell r="O28" t="b">
            <v>0</v>
          </cell>
          <cell r="P28" t="b">
            <v>0</v>
          </cell>
          <cell r="Q28" t="b">
            <v>0</v>
          </cell>
          <cell r="W28" t="e">
            <v>#REF!</v>
          </cell>
        </row>
        <row r="29">
          <cell r="H29" t="b">
            <v>0</v>
          </cell>
          <cell r="I29" t="b">
            <v>0</v>
          </cell>
          <cell r="J29" t="b">
            <v>0</v>
          </cell>
          <cell r="K29" t="b">
            <v>0</v>
          </cell>
          <cell r="L29" t="b">
            <v>0</v>
          </cell>
          <cell r="M29" t="b">
            <v>0</v>
          </cell>
          <cell r="N29" t="b">
            <v>0</v>
          </cell>
          <cell r="O29" t="b">
            <v>0</v>
          </cell>
          <cell r="P29" t="b">
            <v>0</v>
          </cell>
          <cell r="Q29" t="b">
            <v>0</v>
          </cell>
          <cell r="W29" t="e">
            <v>#REF!</v>
          </cell>
        </row>
        <row r="30">
          <cell r="H30" t="b">
            <v>0</v>
          </cell>
          <cell r="I30" t="b">
            <v>0</v>
          </cell>
          <cell r="J30" t="b">
            <v>0</v>
          </cell>
          <cell r="K30" t="b">
            <v>0</v>
          </cell>
          <cell r="L30" t="b">
            <v>0</v>
          </cell>
          <cell r="M30" t="b">
            <v>0</v>
          </cell>
          <cell r="N30" t="b">
            <v>0</v>
          </cell>
          <cell r="O30" t="b">
            <v>0</v>
          </cell>
          <cell r="P30" t="b">
            <v>0</v>
          </cell>
          <cell r="Q30" t="b">
            <v>0</v>
          </cell>
          <cell r="W30" t="e">
            <v>#REF!</v>
          </cell>
        </row>
        <row r="31">
          <cell r="H31" t="b">
            <v>0</v>
          </cell>
          <cell r="I31" t="b">
            <v>0</v>
          </cell>
          <cell r="J31" t="b">
            <v>0</v>
          </cell>
          <cell r="K31" t="b">
            <v>0</v>
          </cell>
          <cell r="L31" t="b">
            <v>0</v>
          </cell>
          <cell r="M31" t="b">
            <v>0</v>
          </cell>
          <cell r="N31" t="b">
            <v>0</v>
          </cell>
          <cell r="O31" t="b">
            <v>0</v>
          </cell>
          <cell r="P31" t="b">
            <v>0</v>
          </cell>
          <cell r="Q31" t="b">
            <v>0</v>
          </cell>
          <cell r="W31" t="e">
            <v>#REF!</v>
          </cell>
        </row>
        <row r="32">
          <cell r="H32" t="b">
            <v>0</v>
          </cell>
          <cell r="I32" t="b">
            <v>0</v>
          </cell>
          <cell r="J32" t="b">
            <v>0</v>
          </cell>
          <cell r="K32" t="b">
            <v>0</v>
          </cell>
          <cell r="L32" t="b">
            <v>0</v>
          </cell>
          <cell r="M32" t="b">
            <v>0</v>
          </cell>
          <cell r="N32" t="b">
            <v>0</v>
          </cell>
          <cell r="O32" t="b">
            <v>0</v>
          </cell>
          <cell r="P32" t="b">
            <v>0</v>
          </cell>
          <cell r="Q32" t="b">
            <v>0</v>
          </cell>
          <cell r="W32" t="e">
            <v>#REF!</v>
          </cell>
        </row>
        <row r="33">
          <cell r="H33" t="b">
            <v>0</v>
          </cell>
          <cell r="I33" t="b">
            <v>0</v>
          </cell>
          <cell r="J33" t="b">
            <v>0</v>
          </cell>
          <cell r="K33" t="b">
            <v>0</v>
          </cell>
          <cell r="L33" t="b">
            <v>0</v>
          </cell>
          <cell r="M33" t="b">
            <v>0</v>
          </cell>
          <cell r="N33" t="b">
            <v>0</v>
          </cell>
          <cell r="O33" t="b">
            <v>0</v>
          </cell>
          <cell r="P33" t="b">
            <v>0</v>
          </cell>
          <cell r="Q33" t="b">
            <v>0</v>
          </cell>
          <cell r="W33" t="e">
            <v>#REF!</v>
          </cell>
        </row>
        <row r="34">
          <cell r="H34" t="b">
            <v>0</v>
          </cell>
          <cell r="I34" t="b">
            <v>0</v>
          </cell>
          <cell r="J34" t="b">
            <v>0</v>
          </cell>
          <cell r="K34" t="b">
            <v>0</v>
          </cell>
          <cell r="L34" t="b">
            <v>0</v>
          </cell>
          <cell r="M34" t="b">
            <v>0</v>
          </cell>
          <cell r="N34" t="b">
            <v>0</v>
          </cell>
          <cell r="O34" t="b">
            <v>0</v>
          </cell>
          <cell r="P34" t="b">
            <v>0</v>
          </cell>
          <cell r="Q34" t="b">
            <v>0</v>
          </cell>
          <cell r="W34" t="e">
            <v>#REF!</v>
          </cell>
        </row>
        <row r="35">
          <cell r="H35" t="b">
            <v>0</v>
          </cell>
          <cell r="I35" t="b">
            <v>0</v>
          </cell>
          <cell r="J35" t="b">
            <v>0</v>
          </cell>
          <cell r="K35" t="b">
            <v>0</v>
          </cell>
          <cell r="L35" t="b">
            <v>0</v>
          </cell>
          <cell r="M35" t="b">
            <v>0</v>
          </cell>
          <cell r="N35" t="b">
            <v>0</v>
          </cell>
          <cell r="O35" t="b">
            <v>0</v>
          </cell>
          <cell r="P35" t="b">
            <v>0</v>
          </cell>
          <cell r="Q35" t="b">
            <v>0</v>
          </cell>
          <cell r="W35" t="e">
            <v>#REF!</v>
          </cell>
        </row>
        <row r="36">
          <cell r="H36" t="b">
            <v>0</v>
          </cell>
          <cell r="I36" t="b">
            <v>0</v>
          </cell>
          <cell r="J36" t="b">
            <v>0</v>
          </cell>
          <cell r="K36" t="b">
            <v>0</v>
          </cell>
          <cell r="L36" t="b">
            <v>0</v>
          </cell>
          <cell r="M36" t="b">
            <v>0</v>
          </cell>
          <cell r="N36" t="b">
            <v>0</v>
          </cell>
          <cell r="O36" t="b">
            <v>0</v>
          </cell>
          <cell r="P36" t="b">
            <v>0</v>
          </cell>
          <cell r="Q36" t="b">
            <v>0</v>
          </cell>
          <cell r="W36" t="e">
            <v>#REF!</v>
          </cell>
        </row>
        <row r="37">
          <cell r="H37" t="b">
            <v>0</v>
          </cell>
          <cell r="I37" t="b">
            <v>0</v>
          </cell>
          <cell r="J37" t="b">
            <v>0</v>
          </cell>
          <cell r="K37" t="b">
            <v>0</v>
          </cell>
          <cell r="L37" t="b">
            <v>0</v>
          </cell>
          <cell r="M37" t="b">
            <v>0</v>
          </cell>
          <cell r="N37" t="b">
            <v>0</v>
          </cell>
          <cell r="O37" t="b">
            <v>0</v>
          </cell>
          <cell r="P37" t="b">
            <v>0</v>
          </cell>
          <cell r="Q37" t="b">
            <v>0</v>
          </cell>
          <cell r="W37" t="e">
            <v>#REF!</v>
          </cell>
        </row>
        <row r="38">
          <cell r="H38" t="b">
            <v>0</v>
          </cell>
          <cell r="I38" t="b">
            <v>0</v>
          </cell>
          <cell r="J38" t="b">
            <v>0</v>
          </cell>
          <cell r="K38" t="b">
            <v>0</v>
          </cell>
          <cell r="L38" t="b">
            <v>0</v>
          </cell>
          <cell r="M38" t="b">
            <v>0</v>
          </cell>
          <cell r="N38" t="b">
            <v>0</v>
          </cell>
          <cell r="O38" t="b">
            <v>0</v>
          </cell>
          <cell r="P38" t="b">
            <v>0</v>
          </cell>
          <cell r="Q38" t="b">
            <v>0</v>
          </cell>
          <cell r="W38" t="e">
            <v>#REF!</v>
          </cell>
        </row>
        <row r="39">
          <cell r="H39" t="b">
            <v>0</v>
          </cell>
          <cell r="I39" t="b">
            <v>0</v>
          </cell>
          <cell r="J39" t="b">
            <v>0</v>
          </cell>
          <cell r="K39" t="b">
            <v>0</v>
          </cell>
          <cell r="L39" t="b">
            <v>0</v>
          </cell>
          <cell r="M39" t="b">
            <v>0</v>
          </cell>
          <cell r="N39" t="b">
            <v>0</v>
          </cell>
          <cell r="O39" t="b">
            <v>0</v>
          </cell>
          <cell r="P39" t="b">
            <v>0</v>
          </cell>
          <cell r="Q39" t="b">
            <v>0</v>
          </cell>
          <cell r="W39" t="e">
            <v>#REF!</v>
          </cell>
        </row>
        <row r="40">
          <cell r="H40" t="b">
            <v>0</v>
          </cell>
          <cell r="I40" t="b">
            <v>0</v>
          </cell>
          <cell r="J40" t="b">
            <v>0</v>
          </cell>
          <cell r="K40" t="b">
            <v>0</v>
          </cell>
          <cell r="L40" t="b">
            <v>0</v>
          </cell>
          <cell r="M40" t="b">
            <v>0</v>
          </cell>
          <cell r="N40" t="b">
            <v>0</v>
          </cell>
          <cell r="O40" t="b">
            <v>0</v>
          </cell>
          <cell r="P40" t="b">
            <v>0</v>
          </cell>
          <cell r="Q40" t="b">
            <v>0</v>
          </cell>
          <cell r="W40" t="e">
            <v>#REF!</v>
          </cell>
        </row>
        <row r="41">
          <cell r="H41" t="b">
            <v>0</v>
          </cell>
          <cell r="I41" t="b">
            <v>0</v>
          </cell>
          <cell r="J41" t="b">
            <v>0</v>
          </cell>
          <cell r="K41" t="b">
            <v>0</v>
          </cell>
          <cell r="L41" t="b">
            <v>0</v>
          </cell>
          <cell r="M41" t="b">
            <v>0</v>
          </cell>
          <cell r="N41" t="b">
            <v>0</v>
          </cell>
          <cell r="O41" t="b">
            <v>0</v>
          </cell>
          <cell r="P41" t="b">
            <v>0</v>
          </cell>
          <cell r="Q41" t="b">
            <v>0</v>
          </cell>
          <cell r="W41" t="e">
            <v>#REF!</v>
          </cell>
        </row>
        <row r="42">
          <cell r="H42" t="b">
            <v>0</v>
          </cell>
          <cell r="I42" t="b">
            <v>0</v>
          </cell>
          <cell r="J42" t="b">
            <v>0</v>
          </cell>
          <cell r="K42" t="b">
            <v>0</v>
          </cell>
          <cell r="L42" t="b">
            <v>0</v>
          </cell>
          <cell r="M42" t="b">
            <v>0</v>
          </cell>
          <cell r="N42" t="b">
            <v>0</v>
          </cell>
          <cell r="O42" t="b">
            <v>0</v>
          </cell>
          <cell r="P42" t="b">
            <v>0</v>
          </cell>
          <cell r="Q42" t="b">
            <v>0</v>
          </cell>
          <cell r="W42" t="e">
            <v>#REF!</v>
          </cell>
        </row>
        <row r="43">
          <cell r="H43" t="b">
            <v>0</v>
          </cell>
          <cell r="I43" t="b">
            <v>0</v>
          </cell>
          <cell r="J43" t="b">
            <v>0</v>
          </cell>
          <cell r="K43" t="b">
            <v>0</v>
          </cell>
          <cell r="L43" t="b">
            <v>0</v>
          </cell>
          <cell r="M43" t="b">
            <v>0</v>
          </cell>
          <cell r="N43" t="b">
            <v>0</v>
          </cell>
          <cell r="O43" t="b">
            <v>0</v>
          </cell>
          <cell r="P43" t="b">
            <v>0</v>
          </cell>
          <cell r="Q43" t="b">
            <v>0</v>
          </cell>
          <cell r="W43" t="e">
            <v>#REF!</v>
          </cell>
        </row>
        <row r="44">
          <cell r="H44" t="b">
            <v>0</v>
          </cell>
          <cell r="I44" t="b">
            <v>0</v>
          </cell>
          <cell r="J44" t="b">
            <v>0</v>
          </cell>
          <cell r="K44" t="b">
            <v>0</v>
          </cell>
          <cell r="L44" t="b">
            <v>0</v>
          </cell>
          <cell r="M44" t="b">
            <v>0</v>
          </cell>
          <cell r="N44" t="b">
            <v>0</v>
          </cell>
          <cell r="O44" t="b">
            <v>0</v>
          </cell>
          <cell r="P44" t="b">
            <v>0</v>
          </cell>
          <cell r="Q44" t="b">
            <v>0</v>
          </cell>
          <cell r="W44" t="e">
            <v>#REF!</v>
          </cell>
        </row>
        <row r="45">
          <cell r="H45" t="b">
            <v>0</v>
          </cell>
          <cell r="I45" t="b">
            <v>0</v>
          </cell>
          <cell r="J45" t="b">
            <v>0</v>
          </cell>
          <cell r="K45" t="b">
            <v>0</v>
          </cell>
          <cell r="L45" t="b">
            <v>0</v>
          </cell>
          <cell r="M45" t="b">
            <v>0</v>
          </cell>
          <cell r="N45" t="b">
            <v>0</v>
          </cell>
          <cell r="O45" t="b">
            <v>0</v>
          </cell>
          <cell r="P45" t="b">
            <v>0</v>
          </cell>
          <cell r="Q45" t="b">
            <v>0</v>
          </cell>
          <cell r="W45" t="e">
            <v>#REF!</v>
          </cell>
        </row>
        <row r="46">
          <cell r="H46" t="b">
            <v>0</v>
          </cell>
          <cell r="I46" t="b">
            <v>0</v>
          </cell>
          <cell r="J46" t="b">
            <v>0</v>
          </cell>
          <cell r="K46" t="b">
            <v>0</v>
          </cell>
          <cell r="L46" t="b">
            <v>0</v>
          </cell>
          <cell r="M46" t="b">
            <v>0</v>
          </cell>
          <cell r="N46" t="b">
            <v>0</v>
          </cell>
          <cell r="O46" t="b">
            <v>0</v>
          </cell>
          <cell r="P46" t="b">
            <v>0</v>
          </cell>
          <cell r="Q46" t="b">
            <v>0</v>
          </cell>
          <cell r="W46" t="e">
            <v>#REF!</v>
          </cell>
        </row>
        <row r="47">
          <cell r="H47" t="b">
            <v>0</v>
          </cell>
          <cell r="I47" t="b">
            <v>0</v>
          </cell>
          <cell r="J47" t="b">
            <v>0</v>
          </cell>
          <cell r="K47" t="b">
            <v>0</v>
          </cell>
          <cell r="L47" t="b">
            <v>0</v>
          </cell>
          <cell r="M47" t="b">
            <v>0</v>
          </cell>
          <cell r="N47" t="b">
            <v>0</v>
          </cell>
          <cell r="O47" t="b">
            <v>0</v>
          </cell>
          <cell r="P47" t="b">
            <v>0</v>
          </cell>
          <cell r="Q47" t="b">
            <v>0</v>
          </cell>
          <cell r="W47" t="e">
            <v>#REF!</v>
          </cell>
        </row>
        <row r="48">
          <cell r="H48" t="b">
            <v>0</v>
          </cell>
          <cell r="I48" t="b">
            <v>0</v>
          </cell>
          <cell r="J48" t="b">
            <v>0</v>
          </cell>
          <cell r="K48" t="b">
            <v>0</v>
          </cell>
          <cell r="L48" t="b">
            <v>0</v>
          </cell>
          <cell r="M48" t="b">
            <v>0</v>
          </cell>
          <cell r="N48" t="b">
            <v>0</v>
          </cell>
          <cell r="O48" t="b">
            <v>0</v>
          </cell>
          <cell r="P48" t="b">
            <v>0</v>
          </cell>
          <cell r="Q48" t="b">
            <v>0</v>
          </cell>
          <cell r="W48" t="e">
            <v>#REF!</v>
          </cell>
        </row>
        <row r="49">
          <cell r="H49" t="b">
            <v>0</v>
          </cell>
          <cell r="I49" t="b">
            <v>0</v>
          </cell>
          <cell r="J49" t="b">
            <v>0</v>
          </cell>
          <cell r="K49" t="b">
            <v>0</v>
          </cell>
          <cell r="L49" t="b">
            <v>0</v>
          </cell>
          <cell r="M49" t="b">
            <v>0</v>
          </cell>
          <cell r="N49" t="b">
            <v>0</v>
          </cell>
          <cell r="O49" t="b">
            <v>0</v>
          </cell>
          <cell r="P49" t="b">
            <v>0</v>
          </cell>
          <cell r="Q49" t="b">
            <v>0</v>
          </cell>
          <cell r="W49" t="e">
            <v>#REF!</v>
          </cell>
        </row>
        <row r="50">
          <cell r="H50" t="b">
            <v>0</v>
          </cell>
          <cell r="I50" t="b">
            <v>0</v>
          </cell>
          <cell r="J50" t="b">
            <v>0</v>
          </cell>
          <cell r="K50" t="b">
            <v>0</v>
          </cell>
          <cell r="L50" t="b">
            <v>0</v>
          </cell>
          <cell r="M50" t="b">
            <v>0</v>
          </cell>
          <cell r="N50" t="b">
            <v>0</v>
          </cell>
          <cell r="O50" t="b">
            <v>0</v>
          </cell>
          <cell r="P50" t="b">
            <v>0</v>
          </cell>
          <cell r="Q50" t="b">
            <v>0</v>
          </cell>
          <cell r="W50" t="e">
            <v>#REF!</v>
          </cell>
        </row>
        <row r="51">
          <cell r="H51" t="b">
            <v>0</v>
          </cell>
          <cell r="I51" t="b">
            <v>0</v>
          </cell>
          <cell r="J51" t="b">
            <v>0</v>
          </cell>
          <cell r="K51" t="b">
            <v>0</v>
          </cell>
          <cell r="L51" t="b">
            <v>0</v>
          </cell>
          <cell r="M51" t="b">
            <v>0</v>
          </cell>
          <cell r="N51" t="b">
            <v>0</v>
          </cell>
          <cell r="O51" t="b">
            <v>0</v>
          </cell>
          <cell r="P51" t="b">
            <v>0</v>
          </cell>
          <cell r="Q51" t="b">
            <v>0</v>
          </cell>
          <cell r="W51" t="e">
            <v>#REF!</v>
          </cell>
        </row>
        <row r="52">
          <cell r="H52" t="b">
            <v>0</v>
          </cell>
          <cell r="I52" t="b">
            <v>0</v>
          </cell>
          <cell r="J52" t="b">
            <v>0</v>
          </cell>
          <cell r="K52" t="b">
            <v>0</v>
          </cell>
          <cell r="L52" t="b">
            <v>0</v>
          </cell>
          <cell r="M52" t="b">
            <v>0</v>
          </cell>
          <cell r="N52" t="b">
            <v>0</v>
          </cell>
          <cell r="O52" t="b">
            <v>0</v>
          </cell>
          <cell r="P52" t="b">
            <v>0</v>
          </cell>
          <cell r="Q52" t="b">
            <v>0</v>
          </cell>
          <cell r="W52" t="e">
            <v>#REF!</v>
          </cell>
        </row>
        <row r="53">
          <cell r="H53" t="b">
            <v>0</v>
          </cell>
          <cell r="I53" t="b">
            <v>0</v>
          </cell>
          <cell r="J53" t="b">
            <v>0</v>
          </cell>
          <cell r="K53" t="b">
            <v>0</v>
          </cell>
          <cell r="L53" t="b">
            <v>0</v>
          </cell>
          <cell r="M53" t="b">
            <v>0</v>
          </cell>
          <cell r="N53" t="b">
            <v>0</v>
          </cell>
          <cell r="O53" t="b">
            <v>0</v>
          </cell>
          <cell r="P53" t="b">
            <v>0</v>
          </cell>
          <cell r="Q53" t="b">
            <v>0</v>
          </cell>
          <cell r="W53" t="e">
            <v>#REF!</v>
          </cell>
        </row>
        <row r="54">
          <cell r="H54" t="b">
            <v>0</v>
          </cell>
          <cell r="I54" t="b">
            <v>0</v>
          </cell>
          <cell r="J54" t="b">
            <v>0</v>
          </cell>
          <cell r="K54" t="b">
            <v>0</v>
          </cell>
          <cell r="L54" t="b">
            <v>0</v>
          </cell>
          <cell r="M54" t="b">
            <v>0</v>
          </cell>
          <cell r="N54" t="b">
            <v>0</v>
          </cell>
          <cell r="O54" t="b">
            <v>0</v>
          </cell>
          <cell r="P54" t="b">
            <v>0</v>
          </cell>
          <cell r="Q54" t="b">
            <v>0</v>
          </cell>
          <cell r="W54" t="e">
            <v>#REF!</v>
          </cell>
        </row>
        <row r="55">
          <cell r="H55" t="b">
            <v>0</v>
          </cell>
          <cell r="I55" t="b">
            <v>0</v>
          </cell>
          <cell r="J55" t="b">
            <v>0</v>
          </cell>
          <cell r="K55" t="b">
            <v>0</v>
          </cell>
          <cell r="L55" t="b">
            <v>0</v>
          </cell>
          <cell r="M55" t="b">
            <v>0</v>
          </cell>
          <cell r="N55" t="b">
            <v>0</v>
          </cell>
          <cell r="O55" t="b">
            <v>0</v>
          </cell>
          <cell r="P55" t="b">
            <v>0</v>
          </cell>
          <cell r="Q55" t="b">
            <v>0</v>
          </cell>
          <cell r="W55" t="e">
            <v>#REF!</v>
          </cell>
        </row>
        <row r="56">
          <cell r="H56" t="b">
            <v>0</v>
          </cell>
          <cell r="I56" t="b">
            <v>0</v>
          </cell>
          <cell r="J56" t="b">
            <v>0</v>
          </cell>
          <cell r="K56" t="b">
            <v>0</v>
          </cell>
          <cell r="L56" t="b">
            <v>0</v>
          </cell>
          <cell r="M56" t="b">
            <v>0</v>
          </cell>
          <cell r="N56" t="b">
            <v>0</v>
          </cell>
          <cell r="O56" t="b">
            <v>0</v>
          </cell>
          <cell r="P56" t="b">
            <v>0</v>
          </cell>
          <cell r="Q56" t="b">
            <v>0</v>
          </cell>
          <cell r="W56" t="e">
            <v>#REF!</v>
          </cell>
        </row>
        <row r="57">
          <cell r="H57" t="b">
            <v>0</v>
          </cell>
          <cell r="I57" t="b">
            <v>0</v>
          </cell>
          <cell r="J57" t="b">
            <v>0</v>
          </cell>
          <cell r="K57" t="b">
            <v>0</v>
          </cell>
          <cell r="L57" t="b">
            <v>0</v>
          </cell>
          <cell r="M57" t="b">
            <v>0</v>
          </cell>
          <cell r="N57" t="b">
            <v>0</v>
          </cell>
          <cell r="O57" t="b">
            <v>0</v>
          </cell>
          <cell r="P57" t="b">
            <v>0</v>
          </cell>
          <cell r="Q57" t="b">
            <v>0</v>
          </cell>
          <cell r="W57" t="e">
            <v>#REF!</v>
          </cell>
        </row>
        <row r="58">
          <cell r="H58" t="b">
            <v>0</v>
          </cell>
          <cell r="I58" t="b">
            <v>0</v>
          </cell>
          <cell r="J58" t="b">
            <v>0</v>
          </cell>
          <cell r="K58" t="b">
            <v>0</v>
          </cell>
          <cell r="L58" t="b">
            <v>0</v>
          </cell>
          <cell r="M58" t="b">
            <v>0</v>
          </cell>
          <cell r="N58" t="b">
            <v>0</v>
          </cell>
          <cell r="O58" t="b">
            <v>0</v>
          </cell>
          <cell r="P58" t="b">
            <v>0</v>
          </cell>
          <cell r="Q58" t="b">
            <v>0</v>
          </cell>
          <cell r="W58" t="e">
            <v>#REF!</v>
          </cell>
        </row>
        <row r="59">
          <cell r="H59" t="b">
            <v>0</v>
          </cell>
          <cell r="I59" t="b">
            <v>0</v>
          </cell>
          <cell r="J59" t="b">
            <v>0</v>
          </cell>
          <cell r="K59" t="b">
            <v>0</v>
          </cell>
          <cell r="L59" t="b">
            <v>0</v>
          </cell>
          <cell r="M59" t="b">
            <v>0</v>
          </cell>
          <cell r="N59" t="b">
            <v>0</v>
          </cell>
          <cell r="O59" t="b">
            <v>0</v>
          </cell>
          <cell r="P59" t="b">
            <v>0</v>
          </cell>
          <cell r="Q59" t="b">
            <v>0</v>
          </cell>
          <cell r="W59" t="e">
            <v>#REF!</v>
          </cell>
        </row>
        <row r="60">
          <cell r="H60" t="b">
            <v>0</v>
          </cell>
          <cell r="I60" t="b">
            <v>0</v>
          </cell>
          <cell r="J60" t="b">
            <v>0</v>
          </cell>
          <cell r="K60" t="b">
            <v>0</v>
          </cell>
          <cell r="L60" t="b">
            <v>0</v>
          </cell>
          <cell r="M60" t="b">
            <v>0</v>
          </cell>
          <cell r="N60" t="b">
            <v>0</v>
          </cell>
          <cell r="O60" t="b">
            <v>0</v>
          </cell>
          <cell r="P60" t="b">
            <v>0</v>
          </cell>
          <cell r="Q60" t="b">
            <v>0</v>
          </cell>
          <cell r="W60" t="e">
            <v>#REF!</v>
          </cell>
        </row>
        <row r="61">
          <cell r="H61" t="b">
            <v>0</v>
          </cell>
          <cell r="I61" t="b">
            <v>0</v>
          </cell>
          <cell r="J61" t="b">
            <v>0</v>
          </cell>
          <cell r="K61" t="b">
            <v>0</v>
          </cell>
          <cell r="L61" t="b">
            <v>0</v>
          </cell>
          <cell r="M61" t="b">
            <v>0</v>
          </cell>
          <cell r="N61" t="b">
            <v>0</v>
          </cell>
          <cell r="O61" t="b">
            <v>0</v>
          </cell>
          <cell r="P61" t="b">
            <v>0</v>
          </cell>
          <cell r="Q61" t="b">
            <v>0</v>
          </cell>
          <cell r="W61" t="e">
            <v>#REF!</v>
          </cell>
        </row>
        <row r="62">
          <cell r="H62" t="b">
            <v>0</v>
          </cell>
          <cell r="I62" t="b">
            <v>0</v>
          </cell>
          <cell r="J62" t="b">
            <v>0</v>
          </cell>
          <cell r="K62" t="b">
            <v>0</v>
          </cell>
          <cell r="L62" t="b">
            <v>0</v>
          </cell>
          <cell r="M62" t="b">
            <v>0</v>
          </cell>
          <cell r="N62" t="b">
            <v>0</v>
          </cell>
          <cell r="O62" t="b">
            <v>0</v>
          </cell>
          <cell r="P62" t="b">
            <v>0</v>
          </cell>
          <cell r="Q62" t="b">
            <v>0</v>
          </cell>
          <cell r="W62" t="e">
            <v>#REF!</v>
          </cell>
        </row>
        <row r="63">
          <cell r="H63" t="b">
            <v>0</v>
          </cell>
          <cell r="I63" t="b">
            <v>0</v>
          </cell>
          <cell r="J63" t="b">
            <v>0</v>
          </cell>
          <cell r="K63" t="b">
            <v>0</v>
          </cell>
          <cell r="L63" t="b">
            <v>0</v>
          </cell>
          <cell r="M63" t="b">
            <v>0</v>
          </cell>
          <cell r="N63" t="b">
            <v>0</v>
          </cell>
          <cell r="O63" t="b">
            <v>0</v>
          </cell>
          <cell r="P63" t="b">
            <v>0</v>
          </cell>
          <cell r="Q63" t="b">
            <v>0</v>
          </cell>
          <cell r="W63" t="e">
            <v>#REF!</v>
          </cell>
        </row>
        <row r="64">
          <cell r="H64" t="b">
            <v>0</v>
          </cell>
          <cell r="I64" t="b">
            <v>0</v>
          </cell>
          <cell r="J64" t="b">
            <v>0</v>
          </cell>
          <cell r="K64" t="b">
            <v>0</v>
          </cell>
          <cell r="L64" t="b">
            <v>0</v>
          </cell>
          <cell r="M64" t="b">
            <v>0</v>
          </cell>
          <cell r="N64" t="b">
            <v>0</v>
          </cell>
          <cell r="O64" t="b">
            <v>0</v>
          </cell>
          <cell r="P64" t="b">
            <v>0</v>
          </cell>
          <cell r="Q64" t="b">
            <v>0</v>
          </cell>
          <cell r="W64" t="e">
            <v>#REF!</v>
          </cell>
        </row>
        <row r="65">
          <cell r="H65" t="b">
            <v>0</v>
          </cell>
          <cell r="I65" t="b">
            <v>0</v>
          </cell>
          <cell r="J65" t="b">
            <v>0</v>
          </cell>
          <cell r="K65" t="b">
            <v>0</v>
          </cell>
          <cell r="L65" t="b">
            <v>0</v>
          </cell>
          <cell r="M65" t="b">
            <v>0</v>
          </cell>
          <cell r="N65" t="b">
            <v>0</v>
          </cell>
          <cell r="O65" t="b">
            <v>0</v>
          </cell>
          <cell r="P65" t="b">
            <v>0</v>
          </cell>
          <cell r="Q65" t="b">
            <v>0</v>
          </cell>
          <cell r="W65" t="e">
            <v>#REF!</v>
          </cell>
        </row>
        <row r="66">
          <cell r="H66" t="b">
            <v>0</v>
          </cell>
          <cell r="I66" t="b">
            <v>0</v>
          </cell>
          <cell r="J66" t="b">
            <v>0</v>
          </cell>
          <cell r="K66" t="b">
            <v>0</v>
          </cell>
          <cell r="L66" t="b">
            <v>0</v>
          </cell>
          <cell r="M66" t="b">
            <v>0</v>
          </cell>
          <cell r="N66" t="b">
            <v>0</v>
          </cell>
          <cell r="O66" t="b">
            <v>0</v>
          </cell>
          <cell r="P66" t="b">
            <v>0</v>
          </cell>
          <cell r="Q66" t="b">
            <v>0</v>
          </cell>
          <cell r="W66" t="e">
            <v>#REF!</v>
          </cell>
        </row>
        <row r="67">
          <cell r="H67" t="b">
            <v>0</v>
          </cell>
          <cell r="I67" t="b">
            <v>0</v>
          </cell>
          <cell r="J67" t="b">
            <v>0</v>
          </cell>
          <cell r="K67" t="b">
            <v>0</v>
          </cell>
          <cell r="L67" t="b">
            <v>0</v>
          </cell>
          <cell r="M67" t="b">
            <v>0</v>
          </cell>
          <cell r="N67" t="b">
            <v>0</v>
          </cell>
          <cell r="O67" t="b">
            <v>0</v>
          </cell>
          <cell r="P67" t="b">
            <v>0</v>
          </cell>
          <cell r="Q67" t="b">
            <v>0</v>
          </cell>
          <cell r="W67" t="e">
            <v>#REF!</v>
          </cell>
        </row>
        <row r="68">
          <cell r="H68" t="b">
            <v>0</v>
          </cell>
          <cell r="I68" t="b">
            <v>0</v>
          </cell>
          <cell r="J68" t="b">
            <v>0</v>
          </cell>
          <cell r="K68" t="b">
            <v>0</v>
          </cell>
          <cell r="L68" t="b">
            <v>0</v>
          </cell>
          <cell r="M68" t="b">
            <v>0</v>
          </cell>
          <cell r="N68" t="b">
            <v>0</v>
          </cell>
          <cell r="O68" t="b">
            <v>0</v>
          </cell>
          <cell r="P68" t="b">
            <v>0</v>
          </cell>
          <cell r="Q68" t="b">
            <v>0</v>
          </cell>
          <cell r="W68" t="e">
            <v>#REF!</v>
          </cell>
        </row>
        <row r="69">
          <cell r="H69" t="b">
            <v>0</v>
          </cell>
          <cell r="I69" t="b">
            <v>0</v>
          </cell>
          <cell r="J69" t="b">
            <v>0</v>
          </cell>
          <cell r="K69" t="b">
            <v>0</v>
          </cell>
          <cell r="L69" t="b">
            <v>0</v>
          </cell>
          <cell r="M69" t="b">
            <v>0</v>
          </cell>
          <cell r="N69" t="b">
            <v>0</v>
          </cell>
          <cell r="O69" t="b">
            <v>0</v>
          </cell>
          <cell r="P69" t="b">
            <v>0</v>
          </cell>
          <cell r="Q69" t="b">
            <v>0</v>
          </cell>
          <cell r="W69" t="e">
            <v>#REF!</v>
          </cell>
        </row>
        <row r="70">
          <cell r="H70" t="b">
            <v>0</v>
          </cell>
          <cell r="I70" t="b">
            <v>0</v>
          </cell>
          <cell r="J70" t="b">
            <v>0</v>
          </cell>
          <cell r="K70" t="b">
            <v>0</v>
          </cell>
          <cell r="L70" t="b">
            <v>0</v>
          </cell>
          <cell r="M70" t="b">
            <v>0</v>
          </cell>
          <cell r="N70" t="b">
            <v>0</v>
          </cell>
          <cell r="O70" t="b">
            <v>0</v>
          </cell>
          <cell r="P70" t="b">
            <v>0</v>
          </cell>
          <cell r="Q70" t="b">
            <v>0</v>
          </cell>
          <cell r="W70" t="e">
            <v>#REF!</v>
          </cell>
        </row>
        <row r="71">
          <cell r="H71" t="b">
            <v>0</v>
          </cell>
          <cell r="I71" t="b">
            <v>0</v>
          </cell>
          <cell r="J71" t="b">
            <v>0</v>
          </cell>
          <cell r="K71" t="b">
            <v>0</v>
          </cell>
          <cell r="L71" t="b">
            <v>0</v>
          </cell>
          <cell r="M71" t="b">
            <v>0</v>
          </cell>
          <cell r="N71" t="b">
            <v>0</v>
          </cell>
          <cell r="O71" t="b">
            <v>0</v>
          </cell>
          <cell r="P71" t="b">
            <v>0</v>
          </cell>
          <cell r="Q71" t="b">
            <v>0</v>
          </cell>
          <cell r="W71" t="e">
            <v>#REF!</v>
          </cell>
        </row>
        <row r="72">
          <cell r="H72" t="b">
            <v>0</v>
          </cell>
          <cell r="I72" t="b">
            <v>0</v>
          </cell>
          <cell r="J72" t="b">
            <v>0</v>
          </cell>
          <cell r="K72" t="b">
            <v>0</v>
          </cell>
          <cell r="L72" t="b">
            <v>0</v>
          </cell>
          <cell r="M72" t="b">
            <v>0</v>
          </cell>
          <cell r="N72" t="b">
            <v>0</v>
          </cell>
          <cell r="O72" t="b">
            <v>0</v>
          </cell>
          <cell r="P72" t="b">
            <v>0</v>
          </cell>
          <cell r="Q72" t="b">
            <v>0</v>
          </cell>
          <cell r="W72" t="e">
            <v>#REF!</v>
          </cell>
        </row>
        <row r="73">
          <cell r="H73" t="b">
            <v>0</v>
          </cell>
          <cell r="I73" t="b">
            <v>0</v>
          </cell>
          <cell r="J73" t="b">
            <v>0</v>
          </cell>
          <cell r="K73" t="b">
            <v>0</v>
          </cell>
          <cell r="L73" t="b">
            <v>0</v>
          </cell>
          <cell r="M73" t="b">
            <v>0</v>
          </cell>
          <cell r="N73" t="b">
            <v>0</v>
          </cell>
          <cell r="O73" t="b">
            <v>0</v>
          </cell>
          <cell r="P73" t="b">
            <v>0</v>
          </cell>
          <cell r="Q73" t="b">
            <v>0</v>
          </cell>
          <cell r="W73" t="e">
            <v>#REF!</v>
          </cell>
        </row>
        <row r="74">
          <cell r="H74" t="b">
            <v>0</v>
          </cell>
          <cell r="I74" t="b">
            <v>0</v>
          </cell>
          <cell r="J74" t="b">
            <v>0</v>
          </cell>
          <cell r="K74" t="b">
            <v>0</v>
          </cell>
          <cell r="L74" t="b">
            <v>0</v>
          </cell>
          <cell r="M74" t="b">
            <v>0</v>
          </cell>
          <cell r="N74" t="b">
            <v>0</v>
          </cell>
          <cell r="O74" t="b">
            <v>0</v>
          </cell>
          <cell r="P74" t="b">
            <v>0</v>
          </cell>
          <cell r="Q74" t="b">
            <v>0</v>
          </cell>
          <cell r="W74" t="e">
            <v>#REF!</v>
          </cell>
        </row>
        <row r="75">
          <cell r="H75" t="b">
            <v>0</v>
          </cell>
          <cell r="I75" t="b">
            <v>0</v>
          </cell>
          <cell r="J75" t="b">
            <v>0</v>
          </cell>
          <cell r="K75" t="b">
            <v>0</v>
          </cell>
          <cell r="L75" t="b">
            <v>0</v>
          </cell>
          <cell r="M75" t="b">
            <v>0</v>
          </cell>
          <cell r="N75" t="b">
            <v>0</v>
          </cell>
          <cell r="O75" t="b">
            <v>0</v>
          </cell>
          <cell r="P75" t="b">
            <v>0</v>
          </cell>
          <cell r="Q75" t="b">
            <v>0</v>
          </cell>
          <cell r="W75" t="e">
            <v>#REF!</v>
          </cell>
        </row>
        <row r="76">
          <cell r="H76" t="b">
            <v>0</v>
          </cell>
          <cell r="I76" t="b">
            <v>0</v>
          </cell>
          <cell r="J76" t="b">
            <v>0</v>
          </cell>
          <cell r="K76" t="b">
            <v>0</v>
          </cell>
          <cell r="L76" t="b">
            <v>0</v>
          </cell>
          <cell r="M76" t="b">
            <v>0</v>
          </cell>
          <cell r="N76" t="b">
            <v>0</v>
          </cell>
          <cell r="O76" t="b">
            <v>0</v>
          </cell>
          <cell r="P76" t="b">
            <v>0</v>
          </cell>
          <cell r="Q76" t="b">
            <v>0</v>
          </cell>
          <cell r="W76" t="e">
            <v>#REF!</v>
          </cell>
        </row>
        <row r="77">
          <cell r="H77" t="b">
            <v>0</v>
          </cell>
          <cell r="I77" t="b">
            <v>0</v>
          </cell>
          <cell r="J77" t="b">
            <v>0</v>
          </cell>
          <cell r="K77" t="b">
            <v>0</v>
          </cell>
          <cell r="L77" t="b">
            <v>0</v>
          </cell>
          <cell r="M77" t="b">
            <v>0</v>
          </cell>
          <cell r="N77" t="b">
            <v>0</v>
          </cell>
          <cell r="O77" t="b">
            <v>0</v>
          </cell>
          <cell r="P77" t="b">
            <v>0</v>
          </cell>
          <cell r="Q77" t="b">
            <v>0</v>
          </cell>
          <cell r="W77" t="e">
            <v>#REF!</v>
          </cell>
        </row>
        <row r="78">
          <cell r="H78" t="b">
            <v>0</v>
          </cell>
          <cell r="I78" t="b">
            <v>0</v>
          </cell>
          <cell r="J78" t="b">
            <v>0</v>
          </cell>
          <cell r="K78" t="b">
            <v>0</v>
          </cell>
          <cell r="L78" t="b">
            <v>0</v>
          </cell>
          <cell r="M78" t="b">
            <v>0</v>
          </cell>
          <cell r="N78" t="b">
            <v>0</v>
          </cell>
          <cell r="O78" t="b">
            <v>0</v>
          </cell>
          <cell r="P78" t="b">
            <v>0</v>
          </cell>
          <cell r="Q78" t="b">
            <v>0</v>
          </cell>
          <cell r="W78" t="e">
            <v>#REF!</v>
          </cell>
        </row>
        <row r="79">
          <cell r="H79" t="b">
            <v>0</v>
          </cell>
          <cell r="I79" t="b">
            <v>0</v>
          </cell>
          <cell r="J79" t="b">
            <v>0</v>
          </cell>
          <cell r="K79" t="b">
            <v>0</v>
          </cell>
          <cell r="L79" t="b">
            <v>0</v>
          </cell>
          <cell r="M79" t="b">
            <v>0</v>
          </cell>
          <cell r="N79" t="b">
            <v>0</v>
          </cell>
          <cell r="O79" t="b">
            <v>0</v>
          </cell>
          <cell r="P79" t="b">
            <v>0</v>
          </cell>
          <cell r="Q79" t="b">
            <v>0</v>
          </cell>
          <cell r="W79" t="e">
            <v>#REF!</v>
          </cell>
        </row>
        <row r="80">
          <cell r="H80" t="b">
            <v>0</v>
          </cell>
          <cell r="I80" t="b">
            <v>0</v>
          </cell>
          <cell r="J80" t="b">
            <v>0</v>
          </cell>
          <cell r="K80" t="b">
            <v>0</v>
          </cell>
          <cell r="L80" t="b">
            <v>0</v>
          </cell>
          <cell r="M80" t="b">
            <v>0</v>
          </cell>
          <cell r="N80" t="b">
            <v>0</v>
          </cell>
          <cell r="O80" t="b">
            <v>0</v>
          </cell>
          <cell r="P80" t="b">
            <v>0</v>
          </cell>
          <cell r="Q80" t="b">
            <v>0</v>
          </cell>
          <cell r="W80" t="e">
            <v>#REF!</v>
          </cell>
        </row>
        <row r="81">
          <cell r="H81" t="b">
            <v>0</v>
          </cell>
          <cell r="I81" t="b">
            <v>0</v>
          </cell>
          <cell r="J81" t="b">
            <v>0</v>
          </cell>
          <cell r="K81" t="b">
            <v>0</v>
          </cell>
          <cell r="L81" t="b">
            <v>0</v>
          </cell>
          <cell r="M81" t="b">
            <v>0</v>
          </cell>
          <cell r="N81" t="b">
            <v>0</v>
          </cell>
          <cell r="O81" t="b">
            <v>0</v>
          </cell>
          <cell r="P81" t="b">
            <v>0</v>
          </cell>
          <cell r="Q81" t="b">
            <v>0</v>
          </cell>
          <cell r="W81" t="e">
            <v>#REF!</v>
          </cell>
        </row>
        <row r="82">
          <cell r="H82" t="b">
            <v>0</v>
          </cell>
          <cell r="I82" t="b">
            <v>0</v>
          </cell>
          <cell r="J82" t="b">
            <v>0</v>
          </cell>
          <cell r="K82" t="b">
            <v>0</v>
          </cell>
          <cell r="L82" t="b">
            <v>0</v>
          </cell>
          <cell r="M82" t="b">
            <v>0</v>
          </cell>
          <cell r="N82" t="b">
            <v>0</v>
          </cell>
          <cell r="O82" t="b">
            <v>0</v>
          </cell>
          <cell r="P82" t="b">
            <v>0</v>
          </cell>
          <cell r="Q82" t="b">
            <v>0</v>
          </cell>
          <cell r="W82" t="e">
            <v>#REF!</v>
          </cell>
        </row>
        <row r="83">
          <cell r="H83" t="b">
            <v>0</v>
          </cell>
          <cell r="I83" t="b">
            <v>0</v>
          </cell>
          <cell r="J83" t="b">
            <v>0</v>
          </cell>
          <cell r="K83" t="b">
            <v>0</v>
          </cell>
          <cell r="L83" t="b">
            <v>0</v>
          </cell>
          <cell r="M83" t="b">
            <v>0</v>
          </cell>
          <cell r="N83" t="b">
            <v>0</v>
          </cell>
          <cell r="O83" t="b">
            <v>0</v>
          </cell>
          <cell r="P83" t="b">
            <v>0</v>
          </cell>
          <cell r="Q83" t="b">
            <v>0</v>
          </cell>
          <cell r="W83" t="e">
            <v>#REF!</v>
          </cell>
        </row>
        <row r="84">
          <cell r="H84" t="b">
            <v>0</v>
          </cell>
          <cell r="I84" t="b">
            <v>0</v>
          </cell>
          <cell r="J84" t="b">
            <v>0</v>
          </cell>
          <cell r="K84" t="b">
            <v>0</v>
          </cell>
          <cell r="L84" t="b">
            <v>0</v>
          </cell>
          <cell r="M84" t="b">
            <v>0</v>
          </cell>
          <cell r="N84" t="b">
            <v>0</v>
          </cell>
          <cell r="O84" t="b">
            <v>0</v>
          </cell>
          <cell r="P84" t="b">
            <v>0</v>
          </cell>
          <cell r="Q84" t="b">
            <v>0</v>
          </cell>
          <cell r="W84" t="e">
            <v>#REF!</v>
          </cell>
        </row>
        <row r="85">
          <cell r="H85" t="b">
            <v>0</v>
          </cell>
          <cell r="I85" t="b">
            <v>0</v>
          </cell>
          <cell r="J85" t="b">
            <v>0</v>
          </cell>
          <cell r="K85" t="b">
            <v>0</v>
          </cell>
          <cell r="L85" t="b">
            <v>0</v>
          </cell>
          <cell r="M85" t="b">
            <v>0</v>
          </cell>
          <cell r="N85" t="b">
            <v>0</v>
          </cell>
          <cell r="O85" t="b">
            <v>0</v>
          </cell>
          <cell r="P85" t="b">
            <v>0</v>
          </cell>
          <cell r="Q85" t="b">
            <v>0</v>
          </cell>
          <cell r="W85" t="e">
            <v>#REF!</v>
          </cell>
        </row>
        <row r="86">
          <cell r="H86" t="b">
            <v>0</v>
          </cell>
          <cell r="I86" t="b">
            <v>0</v>
          </cell>
          <cell r="J86" t="b">
            <v>0</v>
          </cell>
          <cell r="K86" t="b">
            <v>0</v>
          </cell>
          <cell r="L86" t="b">
            <v>0</v>
          </cell>
          <cell r="M86" t="b">
            <v>0</v>
          </cell>
          <cell r="N86" t="b">
            <v>0</v>
          </cell>
          <cell r="O86" t="b">
            <v>0</v>
          </cell>
          <cell r="P86" t="b">
            <v>0</v>
          </cell>
          <cell r="Q86" t="b">
            <v>0</v>
          </cell>
          <cell r="W86" t="e">
            <v>#REF!</v>
          </cell>
        </row>
        <row r="87">
          <cell r="H87" t="b">
            <v>0</v>
          </cell>
          <cell r="I87" t="b">
            <v>0</v>
          </cell>
          <cell r="J87" t="b">
            <v>0</v>
          </cell>
          <cell r="K87" t="b">
            <v>0</v>
          </cell>
          <cell r="L87" t="b">
            <v>0</v>
          </cell>
          <cell r="M87" t="b">
            <v>0</v>
          </cell>
          <cell r="N87" t="b">
            <v>0</v>
          </cell>
          <cell r="O87" t="b">
            <v>0</v>
          </cell>
          <cell r="P87" t="b">
            <v>0</v>
          </cell>
          <cell r="Q87" t="b">
            <v>0</v>
          </cell>
          <cell r="W87" t="e">
            <v>#REF!</v>
          </cell>
        </row>
        <row r="88">
          <cell r="H88" t="b">
            <v>0</v>
          </cell>
          <cell r="I88" t="b">
            <v>0</v>
          </cell>
          <cell r="J88" t="b">
            <v>0</v>
          </cell>
          <cell r="K88" t="b">
            <v>0</v>
          </cell>
          <cell r="L88" t="b">
            <v>0</v>
          </cell>
          <cell r="M88" t="b">
            <v>0</v>
          </cell>
          <cell r="N88" t="b">
            <v>0</v>
          </cell>
          <cell r="O88" t="b">
            <v>0</v>
          </cell>
          <cell r="P88" t="b">
            <v>0</v>
          </cell>
          <cell r="Q88" t="b">
            <v>0</v>
          </cell>
          <cell r="W88" t="e">
            <v>#REF!</v>
          </cell>
        </row>
        <row r="89">
          <cell r="H89" t="b">
            <v>0</v>
          </cell>
          <cell r="I89" t="b">
            <v>0</v>
          </cell>
          <cell r="J89" t="b">
            <v>0</v>
          </cell>
          <cell r="K89" t="b">
            <v>0</v>
          </cell>
          <cell r="L89" t="b">
            <v>0</v>
          </cell>
          <cell r="M89" t="b">
            <v>0</v>
          </cell>
          <cell r="N89" t="b">
            <v>0</v>
          </cell>
          <cell r="O89" t="b">
            <v>0</v>
          </cell>
          <cell r="P89" t="b">
            <v>0</v>
          </cell>
          <cell r="Q89" t="b">
            <v>0</v>
          </cell>
          <cell r="W89" t="e">
            <v>#REF!</v>
          </cell>
        </row>
        <row r="90">
          <cell r="H90" t="b">
            <v>0</v>
          </cell>
          <cell r="I90" t="b">
            <v>0</v>
          </cell>
          <cell r="J90" t="b">
            <v>0</v>
          </cell>
          <cell r="K90" t="b">
            <v>0</v>
          </cell>
          <cell r="L90" t="b">
            <v>0</v>
          </cell>
          <cell r="M90" t="b">
            <v>0</v>
          </cell>
          <cell r="N90" t="b">
            <v>0</v>
          </cell>
          <cell r="O90" t="b">
            <v>0</v>
          </cell>
          <cell r="P90" t="b">
            <v>0</v>
          </cell>
          <cell r="Q90" t="b">
            <v>0</v>
          </cell>
          <cell r="W90" t="e">
            <v>#REF!</v>
          </cell>
        </row>
        <row r="91">
          <cell r="H91" t="b">
            <v>0</v>
          </cell>
          <cell r="I91" t="b">
            <v>0</v>
          </cell>
          <cell r="J91" t="b">
            <v>0</v>
          </cell>
          <cell r="K91" t="b">
            <v>0</v>
          </cell>
          <cell r="L91" t="b">
            <v>0</v>
          </cell>
          <cell r="M91" t="b">
            <v>0</v>
          </cell>
          <cell r="N91" t="b">
            <v>0</v>
          </cell>
          <cell r="O91" t="b">
            <v>0</v>
          </cell>
          <cell r="P91" t="b">
            <v>0</v>
          </cell>
          <cell r="Q91" t="b">
            <v>0</v>
          </cell>
          <cell r="W91" t="e">
            <v>#REF!</v>
          </cell>
        </row>
        <row r="92">
          <cell r="H92" t="b">
            <v>0</v>
          </cell>
          <cell r="I92" t="b">
            <v>0</v>
          </cell>
          <cell r="J92" t="b">
            <v>0</v>
          </cell>
          <cell r="K92" t="b">
            <v>0</v>
          </cell>
          <cell r="L92" t="b">
            <v>0</v>
          </cell>
          <cell r="M92" t="b">
            <v>0</v>
          </cell>
          <cell r="N92" t="b">
            <v>0</v>
          </cell>
          <cell r="O92" t="b">
            <v>0</v>
          </cell>
          <cell r="P92" t="b">
            <v>0</v>
          </cell>
          <cell r="Q92" t="b">
            <v>0</v>
          </cell>
          <cell r="W92" t="e">
            <v>#REF!</v>
          </cell>
        </row>
        <row r="93">
          <cell r="H93" t="b">
            <v>0</v>
          </cell>
          <cell r="I93" t="b">
            <v>0</v>
          </cell>
          <cell r="J93" t="b">
            <v>0</v>
          </cell>
          <cell r="K93" t="b">
            <v>0</v>
          </cell>
          <cell r="L93" t="b">
            <v>0</v>
          </cell>
          <cell r="M93" t="b">
            <v>0</v>
          </cell>
          <cell r="N93" t="b">
            <v>0</v>
          </cell>
          <cell r="O93" t="b">
            <v>0</v>
          </cell>
          <cell r="P93" t="b">
            <v>0</v>
          </cell>
          <cell r="Q93" t="b">
            <v>0</v>
          </cell>
          <cell r="W93" t="e">
            <v>#REF!</v>
          </cell>
        </row>
        <row r="94">
          <cell r="H94" t="b">
            <v>0</v>
          </cell>
          <cell r="I94" t="b">
            <v>0</v>
          </cell>
          <cell r="J94" t="b">
            <v>0</v>
          </cell>
          <cell r="K94" t="b">
            <v>0</v>
          </cell>
          <cell r="L94" t="b">
            <v>0</v>
          </cell>
          <cell r="M94" t="b">
            <v>0</v>
          </cell>
          <cell r="N94" t="b">
            <v>0</v>
          </cell>
          <cell r="O94" t="b">
            <v>0</v>
          </cell>
          <cell r="P94" t="b">
            <v>0</v>
          </cell>
          <cell r="Q94" t="b">
            <v>0</v>
          </cell>
          <cell r="W94" t="e">
            <v>#REF!</v>
          </cell>
        </row>
        <row r="95">
          <cell r="H95" t="b">
            <v>0</v>
          </cell>
          <cell r="I95" t="b">
            <v>0</v>
          </cell>
          <cell r="J95" t="b">
            <v>0</v>
          </cell>
          <cell r="K95" t="b">
            <v>0</v>
          </cell>
          <cell r="L95" t="b">
            <v>0</v>
          </cell>
          <cell r="M95" t="b">
            <v>0</v>
          </cell>
          <cell r="N95" t="b">
            <v>0</v>
          </cell>
          <cell r="O95" t="b">
            <v>0</v>
          </cell>
          <cell r="P95" t="b">
            <v>0</v>
          </cell>
          <cell r="Q95" t="b">
            <v>0</v>
          </cell>
          <cell r="W95" t="e">
            <v>#REF!</v>
          </cell>
        </row>
        <row r="96">
          <cell r="H96" t="b">
            <v>0</v>
          </cell>
          <cell r="I96" t="b">
            <v>0</v>
          </cell>
          <cell r="J96" t="b">
            <v>0</v>
          </cell>
          <cell r="K96" t="b">
            <v>0</v>
          </cell>
          <cell r="L96" t="b">
            <v>0</v>
          </cell>
          <cell r="M96" t="b">
            <v>0</v>
          </cell>
          <cell r="N96" t="b">
            <v>0</v>
          </cell>
          <cell r="O96" t="b">
            <v>0</v>
          </cell>
          <cell r="P96" t="b">
            <v>0</v>
          </cell>
          <cell r="Q96" t="b">
            <v>0</v>
          </cell>
          <cell r="W96" t="e">
            <v>#REF!</v>
          </cell>
        </row>
        <row r="97">
          <cell r="H97" t="b">
            <v>0</v>
          </cell>
          <cell r="I97" t="b">
            <v>0</v>
          </cell>
          <cell r="J97" t="b">
            <v>0</v>
          </cell>
          <cell r="K97" t="b">
            <v>0</v>
          </cell>
          <cell r="L97" t="b">
            <v>0</v>
          </cell>
          <cell r="M97" t="b">
            <v>0</v>
          </cell>
          <cell r="N97" t="b">
            <v>0</v>
          </cell>
          <cell r="O97" t="b">
            <v>0</v>
          </cell>
          <cell r="P97" t="b">
            <v>0</v>
          </cell>
          <cell r="Q97" t="b">
            <v>0</v>
          </cell>
          <cell r="W97" t="e">
            <v>#REF!</v>
          </cell>
        </row>
        <row r="98">
          <cell r="H98" t="b">
            <v>0</v>
          </cell>
          <cell r="I98" t="b">
            <v>0</v>
          </cell>
          <cell r="J98" t="b">
            <v>0</v>
          </cell>
          <cell r="K98" t="b">
            <v>0</v>
          </cell>
          <cell r="L98" t="b">
            <v>0</v>
          </cell>
          <cell r="M98" t="b">
            <v>0</v>
          </cell>
          <cell r="N98" t="b">
            <v>0</v>
          </cell>
          <cell r="O98" t="b">
            <v>0</v>
          </cell>
          <cell r="P98" t="b">
            <v>0</v>
          </cell>
          <cell r="Q98" t="b">
            <v>0</v>
          </cell>
          <cell r="W98" t="e">
            <v>#REF!</v>
          </cell>
        </row>
        <row r="99">
          <cell r="H99" t="b">
            <v>0</v>
          </cell>
          <cell r="I99" t="b">
            <v>0</v>
          </cell>
          <cell r="J99" t="b">
            <v>0</v>
          </cell>
          <cell r="K99" t="b">
            <v>0</v>
          </cell>
          <cell r="L99" t="b">
            <v>0</v>
          </cell>
          <cell r="M99" t="b">
            <v>0</v>
          </cell>
          <cell r="N99" t="b">
            <v>0</v>
          </cell>
          <cell r="O99" t="b">
            <v>0</v>
          </cell>
          <cell r="P99" t="b">
            <v>0</v>
          </cell>
          <cell r="Q99" t="b">
            <v>0</v>
          </cell>
          <cell r="W99" t="e">
            <v>#REF!</v>
          </cell>
        </row>
        <row r="100">
          <cell r="H100" t="b">
            <v>0</v>
          </cell>
          <cell r="I100" t="b">
            <v>0</v>
          </cell>
          <cell r="J100" t="b">
            <v>0</v>
          </cell>
          <cell r="K100" t="b">
            <v>0</v>
          </cell>
          <cell r="L100" t="b">
            <v>0</v>
          </cell>
          <cell r="M100" t="b">
            <v>0</v>
          </cell>
          <cell r="N100" t="b">
            <v>0</v>
          </cell>
          <cell r="O100" t="b">
            <v>0</v>
          </cell>
          <cell r="P100" t="b">
            <v>0</v>
          </cell>
          <cell r="Q100" t="b">
            <v>0</v>
          </cell>
          <cell r="W100" t="e">
            <v>#REF!</v>
          </cell>
        </row>
        <row r="101">
          <cell r="H101" t="b">
            <v>0</v>
          </cell>
          <cell r="I101" t="b">
            <v>0</v>
          </cell>
          <cell r="J101" t="b">
            <v>0</v>
          </cell>
          <cell r="K101" t="b">
            <v>0</v>
          </cell>
          <cell r="L101" t="b">
            <v>0</v>
          </cell>
          <cell r="M101" t="b">
            <v>0</v>
          </cell>
          <cell r="N101" t="b">
            <v>0</v>
          </cell>
          <cell r="O101" t="b">
            <v>0</v>
          </cell>
          <cell r="P101" t="b">
            <v>0</v>
          </cell>
          <cell r="Q101" t="b">
            <v>0</v>
          </cell>
          <cell r="W101" t="e">
            <v>#REF!</v>
          </cell>
        </row>
        <row r="102">
          <cell r="H102" t="b">
            <v>0</v>
          </cell>
          <cell r="I102" t="b">
            <v>0</v>
          </cell>
          <cell r="J102" t="b">
            <v>0</v>
          </cell>
          <cell r="K102" t="b">
            <v>0</v>
          </cell>
          <cell r="L102" t="b">
            <v>0</v>
          </cell>
          <cell r="M102" t="b">
            <v>0</v>
          </cell>
          <cell r="N102" t="b">
            <v>0</v>
          </cell>
          <cell r="O102" t="b">
            <v>0</v>
          </cell>
          <cell r="P102" t="b">
            <v>0</v>
          </cell>
          <cell r="Q102" t="b">
            <v>0</v>
          </cell>
          <cell r="W102" t="e">
            <v>#REF!</v>
          </cell>
        </row>
        <row r="103">
          <cell r="H103" t="b">
            <v>0</v>
          </cell>
          <cell r="I103" t="b">
            <v>0</v>
          </cell>
          <cell r="J103" t="b">
            <v>0</v>
          </cell>
          <cell r="K103" t="b">
            <v>0</v>
          </cell>
          <cell r="L103" t="b">
            <v>0</v>
          </cell>
          <cell r="M103" t="b">
            <v>0</v>
          </cell>
          <cell r="N103" t="b">
            <v>0</v>
          </cell>
          <cell r="O103" t="b">
            <v>0</v>
          </cell>
          <cell r="P103" t="b">
            <v>0</v>
          </cell>
          <cell r="Q103" t="b">
            <v>0</v>
          </cell>
          <cell r="W103" t="e">
            <v>#REF!</v>
          </cell>
        </row>
        <row r="104">
          <cell r="H104" t="b">
            <v>0</v>
          </cell>
          <cell r="I104" t="b">
            <v>0</v>
          </cell>
          <cell r="J104" t="b">
            <v>0</v>
          </cell>
          <cell r="K104" t="b">
            <v>0</v>
          </cell>
          <cell r="L104" t="b">
            <v>0</v>
          </cell>
          <cell r="M104" t="b">
            <v>0</v>
          </cell>
          <cell r="N104" t="b">
            <v>0</v>
          </cell>
          <cell r="O104" t="b">
            <v>0</v>
          </cell>
          <cell r="P104" t="b">
            <v>0</v>
          </cell>
          <cell r="Q104" t="b">
            <v>0</v>
          </cell>
          <cell r="W104" t="e">
            <v>#REF!</v>
          </cell>
        </row>
        <row r="105">
          <cell r="H105" t="b">
            <v>0</v>
          </cell>
          <cell r="I105" t="b">
            <v>0</v>
          </cell>
          <cell r="J105" t="b">
            <v>0</v>
          </cell>
          <cell r="K105" t="b">
            <v>0</v>
          </cell>
          <cell r="L105" t="b">
            <v>0</v>
          </cell>
          <cell r="M105" t="b">
            <v>0</v>
          </cell>
          <cell r="N105" t="b">
            <v>0</v>
          </cell>
          <cell r="O105" t="b">
            <v>0</v>
          </cell>
          <cell r="P105" t="b">
            <v>0</v>
          </cell>
          <cell r="Q105" t="b">
            <v>0</v>
          </cell>
          <cell r="W105" t="e">
            <v>#REF!</v>
          </cell>
        </row>
        <row r="106">
          <cell r="H106" t="b">
            <v>0</v>
          </cell>
          <cell r="I106" t="b">
            <v>0</v>
          </cell>
          <cell r="J106" t="b">
            <v>0</v>
          </cell>
          <cell r="K106" t="b">
            <v>0</v>
          </cell>
          <cell r="L106" t="b">
            <v>0</v>
          </cell>
          <cell r="M106" t="b">
            <v>0</v>
          </cell>
          <cell r="N106" t="b">
            <v>0</v>
          </cell>
          <cell r="O106" t="b">
            <v>0</v>
          </cell>
          <cell r="P106" t="b">
            <v>0</v>
          </cell>
          <cell r="Q106" t="b">
            <v>0</v>
          </cell>
          <cell r="W106" t="e">
            <v>#REF!</v>
          </cell>
        </row>
        <row r="107">
          <cell r="H107" t="b">
            <v>0</v>
          </cell>
          <cell r="I107" t="b">
            <v>0</v>
          </cell>
          <cell r="J107" t="b">
            <v>0</v>
          </cell>
          <cell r="K107" t="b">
            <v>0</v>
          </cell>
          <cell r="L107" t="b">
            <v>0</v>
          </cell>
          <cell r="M107" t="b">
            <v>0</v>
          </cell>
          <cell r="N107" t="b">
            <v>0</v>
          </cell>
          <cell r="O107" t="b">
            <v>0</v>
          </cell>
          <cell r="P107" t="b">
            <v>0</v>
          </cell>
          <cell r="Q107" t="b">
            <v>0</v>
          </cell>
          <cell r="W107" t="e">
            <v>#REF!</v>
          </cell>
        </row>
        <row r="108">
          <cell r="H108" t="b">
            <v>0</v>
          </cell>
          <cell r="I108" t="b">
            <v>0</v>
          </cell>
          <cell r="J108" t="b">
            <v>0</v>
          </cell>
          <cell r="K108" t="b">
            <v>0</v>
          </cell>
          <cell r="L108" t="b">
            <v>0</v>
          </cell>
          <cell r="M108" t="b">
            <v>0</v>
          </cell>
          <cell r="N108" t="b">
            <v>0</v>
          </cell>
          <cell r="O108" t="b">
            <v>0</v>
          </cell>
          <cell r="P108" t="b">
            <v>0</v>
          </cell>
          <cell r="Q108" t="b">
            <v>0</v>
          </cell>
          <cell r="W108" t="e">
            <v>#REF!</v>
          </cell>
        </row>
        <row r="109">
          <cell r="H109" t="b">
            <v>0</v>
          </cell>
          <cell r="I109" t="b">
            <v>0</v>
          </cell>
          <cell r="J109" t="b">
            <v>0</v>
          </cell>
          <cell r="K109" t="b">
            <v>0</v>
          </cell>
          <cell r="L109" t="b">
            <v>0</v>
          </cell>
          <cell r="M109" t="b">
            <v>0</v>
          </cell>
          <cell r="N109" t="b">
            <v>0</v>
          </cell>
          <cell r="O109" t="b">
            <v>0</v>
          </cell>
          <cell r="P109" t="b">
            <v>0</v>
          </cell>
          <cell r="Q109" t="b">
            <v>0</v>
          </cell>
          <cell r="W109" t="e">
            <v>#REF!</v>
          </cell>
        </row>
        <row r="110">
          <cell r="H110" t="b">
            <v>0</v>
          </cell>
          <cell r="I110" t="b">
            <v>0</v>
          </cell>
          <cell r="J110" t="b">
            <v>0</v>
          </cell>
          <cell r="K110" t="b">
            <v>0</v>
          </cell>
          <cell r="L110" t="b">
            <v>0</v>
          </cell>
          <cell r="M110" t="b">
            <v>0</v>
          </cell>
          <cell r="N110" t="b">
            <v>0</v>
          </cell>
          <cell r="O110" t="b">
            <v>0</v>
          </cell>
          <cell r="P110" t="b">
            <v>0</v>
          </cell>
          <cell r="Q110" t="b">
            <v>0</v>
          </cell>
          <cell r="W110" t="e">
            <v>#REF!</v>
          </cell>
        </row>
        <row r="111">
          <cell r="H111" t="b">
            <v>0</v>
          </cell>
          <cell r="I111" t="b">
            <v>0</v>
          </cell>
          <cell r="J111" t="b">
            <v>0</v>
          </cell>
          <cell r="K111" t="b">
            <v>0</v>
          </cell>
          <cell r="L111" t="b">
            <v>0</v>
          </cell>
          <cell r="M111" t="b">
            <v>0</v>
          </cell>
          <cell r="N111" t="b">
            <v>0</v>
          </cell>
          <cell r="O111" t="b">
            <v>0</v>
          </cell>
          <cell r="P111" t="b">
            <v>0</v>
          </cell>
          <cell r="Q111" t="b">
            <v>0</v>
          </cell>
          <cell r="W111" t="e">
            <v>#REF!</v>
          </cell>
        </row>
        <row r="112">
          <cell r="H112" t="b">
            <v>0</v>
          </cell>
          <cell r="I112" t="b">
            <v>0</v>
          </cell>
          <cell r="J112" t="b">
            <v>0</v>
          </cell>
          <cell r="K112" t="b">
            <v>0</v>
          </cell>
          <cell r="L112" t="b">
            <v>0</v>
          </cell>
          <cell r="M112" t="b">
            <v>0</v>
          </cell>
          <cell r="N112" t="b">
            <v>0</v>
          </cell>
          <cell r="O112" t="b">
            <v>0</v>
          </cell>
          <cell r="P112" t="b">
            <v>0</v>
          </cell>
          <cell r="Q112" t="b">
            <v>0</v>
          </cell>
          <cell r="W112" t="e">
            <v>#REF!</v>
          </cell>
        </row>
        <row r="113">
          <cell r="H113" t="b">
            <v>0</v>
          </cell>
          <cell r="I113" t="b">
            <v>0</v>
          </cell>
          <cell r="J113" t="b">
            <v>0</v>
          </cell>
          <cell r="K113" t="b">
            <v>0</v>
          </cell>
          <cell r="L113" t="b">
            <v>0</v>
          </cell>
          <cell r="M113" t="b">
            <v>0</v>
          </cell>
          <cell r="N113" t="b">
            <v>0</v>
          </cell>
          <cell r="O113" t="b">
            <v>0</v>
          </cell>
          <cell r="P113" t="b">
            <v>0</v>
          </cell>
          <cell r="Q113" t="b">
            <v>0</v>
          </cell>
          <cell r="W113" t="e">
            <v>#REF!</v>
          </cell>
        </row>
        <row r="114">
          <cell r="H114" t="b">
            <v>0</v>
          </cell>
          <cell r="I114" t="b">
            <v>0</v>
          </cell>
          <cell r="J114" t="b">
            <v>0</v>
          </cell>
          <cell r="K114" t="b">
            <v>0</v>
          </cell>
          <cell r="L114" t="b">
            <v>0</v>
          </cell>
          <cell r="M114" t="b">
            <v>0</v>
          </cell>
          <cell r="N114" t="b">
            <v>0</v>
          </cell>
          <cell r="O114" t="b">
            <v>0</v>
          </cell>
          <cell r="P114" t="b">
            <v>0</v>
          </cell>
          <cell r="Q114" t="b">
            <v>0</v>
          </cell>
          <cell r="W114" t="e">
            <v>#REF!</v>
          </cell>
        </row>
        <row r="115">
          <cell r="H115" t="b">
            <v>0</v>
          </cell>
          <cell r="I115" t="b">
            <v>0</v>
          </cell>
          <cell r="J115" t="b">
            <v>0</v>
          </cell>
          <cell r="K115" t="b">
            <v>0</v>
          </cell>
          <cell r="L115" t="b">
            <v>0</v>
          </cell>
          <cell r="M115" t="b">
            <v>0</v>
          </cell>
          <cell r="N115" t="b">
            <v>0</v>
          </cell>
          <cell r="O115" t="b">
            <v>0</v>
          </cell>
          <cell r="P115" t="b">
            <v>0</v>
          </cell>
          <cell r="Q115" t="b">
            <v>0</v>
          </cell>
          <cell r="W115" t="e">
            <v>#REF!</v>
          </cell>
        </row>
        <row r="116">
          <cell r="H116" t="b">
            <v>0</v>
          </cell>
          <cell r="I116" t="b">
            <v>0</v>
          </cell>
          <cell r="J116" t="b">
            <v>0</v>
          </cell>
          <cell r="K116" t="b">
            <v>0</v>
          </cell>
          <cell r="L116" t="b">
            <v>0</v>
          </cell>
          <cell r="M116" t="b">
            <v>0</v>
          </cell>
          <cell r="N116" t="b">
            <v>0</v>
          </cell>
          <cell r="O116" t="b">
            <v>0</v>
          </cell>
          <cell r="P116" t="b">
            <v>0</v>
          </cell>
          <cell r="Q116" t="b">
            <v>0</v>
          </cell>
          <cell r="W116" t="e">
            <v>#REF!</v>
          </cell>
        </row>
        <row r="117">
          <cell r="H117" t="b">
            <v>0</v>
          </cell>
          <cell r="I117" t="b">
            <v>0</v>
          </cell>
          <cell r="J117" t="b">
            <v>0</v>
          </cell>
          <cell r="K117" t="b">
            <v>0</v>
          </cell>
          <cell r="L117" t="b">
            <v>0</v>
          </cell>
          <cell r="M117" t="b">
            <v>0</v>
          </cell>
          <cell r="N117" t="b">
            <v>0</v>
          </cell>
          <cell r="O117" t="b">
            <v>0</v>
          </cell>
          <cell r="P117" t="b">
            <v>0</v>
          </cell>
          <cell r="Q117" t="b">
            <v>0</v>
          </cell>
          <cell r="W117" t="e">
            <v>#REF!</v>
          </cell>
        </row>
        <row r="118">
          <cell r="H118" t="b">
            <v>0</v>
          </cell>
          <cell r="I118" t="b">
            <v>0</v>
          </cell>
          <cell r="J118" t="b">
            <v>0</v>
          </cell>
          <cell r="K118" t="b">
            <v>0</v>
          </cell>
          <cell r="L118" t="b">
            <v>0</v>
          </cell>
          <cell r="M118" t="b">
            <v>0</v>
          </cell>
          <cell r="N118" t="b">
            <v>0</v>
          </cell>
          <cell r="O118" t="b">
            <v>0</v>
          </cell>
          <cell r="P118" t="b">
            <v>0</v>
          </cell>
          <cell r="Q118" t="b">
            <v>0</v>
          </cell>
          <cell r="W118" t="e">
            <v>#REF!</v>
          </cell>
        </row>
        <row r="119">
          <cell r="H119" t="b">
            <v>0</v>
          </cell>
          <cell r="I119" t="b">
            <v>0</v>
          </cell>
          <cell r="J119" t="b">
            <v>0</v>
          </cell>
          <cell r="K119" t="b">
            <v>0</v>
          </cell>
          <cell r="L119" t="b">
            <v>0</v>
          </cell>
          <cell r="M119" t="b">
            <v>0</v>
          </cell>
          <cell r="N119" t="b">
            <v>0</v>
          </cell>
          <cell r="O119" t="b">
            <v>0</v>
          </cell>
          <cell r="P119" t="b">
            <v>0</v>
          </cell>
          <cell r="Q119" t="b">
            <v>0</v>
          </cell>
          <cell r="W119" t="e">
            <v>#REF!</v>
          </cell>
        </row>
        <row r="120">
          <cell r="H120" t="b">
            <v>0</v>
          </cell>
          <cell r="I120" t="b">
            <v>0</v>
          </cell>
          <cell r="J120" t="b">
            <v>0</v>
          </cell>
          <cell r="K120" t="b">
            <v>0</v>
          </cell>
          <cell r="L120" t="b">
            <v>0</v>
          </cell>
          <cell r="M120" t="b">
            <v>0</v>
          </cell>
          <cell r="N120" t="b">
            <v>0</v>
          </cell>
          <cell r="O120" t="b">
            <v>0</v>
          </cell>
          <cell r="P120" t="b">
            <v>0</v>
          </cell>
          <cell r="Q120" t="b">
            <v>0</v>
          </cell>
          <cell r="W120" t="e">
            <v>#REF!</v>
          </cell>
        </row>
        <row r="121">
          <cell r="H121" t="b">
            <v>0</v>
          </cell>
          <cell r="I121" t="b">
            <v>0</v>
          </cell>
          <cell r="J121" t="b">
            <v>0</v>
          </cell>
          <cell r="K121" t="b">
            <v>0</v>
          </cell>
          <cell r="L121" t="b">
            <v>0</v>
          </cell>
          <cell r="M121" t="b">
            <v>0</v>
          </cell>
          <cell r="N121" t="b">
            <v>0</v>
          </cell>
          <cell r="O121" t="b">
            <v>0</v>
          </cell>
          <cell r="P121" t="b">
            <v>0</v>
          </cell>
          <cell r="Q121" t="b">
            <v>0</v>
          </cell>
          <cell r="W121" t="e">
            <v>#REF!</v>
          </cell>
        </row>
        <row r="122">
          <cell r="H122" t="b">
            <v>0</v>
          </cell>
          <cell r="I122" t="b">
            <v>0</v>
          </cell>
          <cell r="J122" t="b">
            <v>0</v>
          </cell>
          <cell r="K122" t="b">
            <v>0</v>
          </cell>
          <cell r="L122" t="b">
            <v>0</v>
          </cell>
          <cell r="M122" t="b">
            <v>0</v>
          </cell>
          <cell r="N122" t="b">
            <v>0</v>
          </cell>
          <cell r="O122" t="b">
            <v>0</v>
          </cell>
          <cell r="P122" t="b">
            <v>0</v>
          </cell>
          <cell r="Q122" t="b">
            <v>0</v>
          </cell>
          <cell r="W122" t="e">
            <v>#REF!</v>
          </cell>
        </row>
        <row r="123">
          <cell r="H123" t="b">
            <v>0</v>
          </cell>
          <cell r="I123" t="b">
            <v>0</v>
          </cell>
          <cell r="J123" t="b">
            <v>0</v>
          </cell>
          <cell r="K123" t="b">
            <v>0</v>
          </cell>
          <cell r="L123" t="b">
            <v>0</v>
          </cell>
          <cell r="M123" t="b">
            <v>0</v>
          </cell>
          <cell r="N123" t="b">
            <v>0</v>
          </cell>
          <cell r="O123" t="b">
            <v>0</v>
          </cell>
          <cell r="P123" t="b">
            <v>0</v>
          </cell>
          <cell r="Q123" t="b">
            <v>0</v>
          </cell>
          <cell r="W123" t="e">
            <v>#REF!</v>
          </cell>
        </row>
        <row r="124">
          <cell r="H124" t="b">
            <v>0</v>
          </cell>
          <cell r="I124" t="b">
            <v>0</v>
          </cell>
          <cell r="J124" t="b">
            <v>0</v>
          </cell>
          <cell r="K124" t="b">
            <v>0</v>
          </cell>
          <cell r="L124" t="b">
            <v>0</v>
          </cell>
          <cell r="M124" t="b">
            <v>0</v>
          </cell>
          <cell r="N124" t="b">
            <v>0</v>
          </cell>
          <cell r="O124" t="b">
            <v>0</v>
          </cell>
          <cell r="P124" t="b">
            <v>0</v>
          </cell>
          <cell r="Q124" t="b">
            <v>0</v>
          </cell>
          <cell r="W124" t="e">
            <v>#REF!</v>
          </cell>
        </row>
        <row r="125">
          <cell r="H125" t="b">
            <v>0</v>
          </cell>
          <cell r="I125" t="b">
            <v>0</v>
          </cell>
          <cell r="J125" t="b">
            <v>0</v>
          </cell>
          <cell r="K125" t="b">
            <v>0</v>
          </cell>
          <cell r="L125" t="b">
            <v>0</v>
          </cell>
          <cell r="M125" t="b">
            <v>0</v>
          </cell>
          <cell r="N125" t="b">
            <v>0</v>
          </cell>
          <cell r="O125" t="b">
            <v>0</v>
          </cell>
          <cell r="P125" t="b">
            <v>0</v>
          </cell>
          <cell r="Q125" t="b">
            <v>0</v>
          </cell>
          <cell r="W125" t="e">
            <v>#REF!</v>
          </cell>
        </row>
        <row r="126">
          <cell r="H126" t="b">
            <v>0</v>
          </cell>
          <cell r="I126" t="b">
            <v>0</v>
          </cell>
          <cell r="J126" t="b">
            <v>0</v>
          </cell>
          <cell r="K126" t="b">
            <v>0</v>
          </cell>
          <cell r="L126" t="b">
            <v>0</v>
          </cell>
          <cell r="M126" t="b">
            <v>0</v>
          </cell>
          <cell r="N126" t="b">
            <v>0</v>
          </cell>
          <cell r="O126" t="b">
            <v>0</v>
          </cell>
          <cell r="P126" t="b">
            <v>0</v>
          </cell>
          <cell r="Q126" t="b">
            <v>0</v>
          </cell>
          <cell r="W126" t="e">
            <v>#REF!</v>
          </cell>
        </row>
        <row r="127">
          <cell r="H127" t="b">
            <v>0</v>
          </cell>
          <cell r="I127" t="b">
            <v>0</v>
          </cell>
          <cell r="J127" t="b">
            <v>0</v>
          </cell>
          <cell r="K127" t="b">
            <v>0</v>
          </cell>
          <cell r="L127" t="b">
            <v>0</v>
          </cell>
          <cell r="M127" t="b">
            <v>0</v>
          </cell>
          <cell r="N127" t="b">
            <v>0</v>
          </cell>
          <cell r="O127" t="b">
            <v>0</v>
          </cell>
          <cell r="P127" t="b">
            <v>0</v>
          </cell>
          <cell r="Q127" t="b">
            <v>0</v>
          </cell>
          <cell r="W127" t="e">
            <v>#REF!</v>
          </cell>
        </row>
        <row r="128">
          <cell r="H128" t="b">
            <v>0</v>
          </cell>
          <cell r="I128" t="b">
            <v>0</v>
          </cell>
          <cell r="J128" t="b">
            <v>0</v>
          </cell>
          <cell r="K128" t="b">
            <v>0</v>
          </cell>
          <cell r="L128" t="b">
            <v>0</v>
          </cell>
          <cell r="M128" t="b">
            <v>0</v>
          </cell>
          <cell r="N128" t="b">
            <v>0</v>
          </cell>
          <cell r="O128" t="b">
            <v>0</v>
          </cell>
          <cell r="P128" t="b">
            <v>0</v>
          </cell>
          <cell r="Q128" t="b">
            <v>0</v>
          </cell>
          <cell r="W128" t="e">
            <v>#REF!</v>
          </cell>
        </row>
        <row r="129">
          <cell r="H129" t="b">
            <v>0</v>
          </cell>
          <cell r="I129" t="b">
            <v>0</v>
          </cell>
          <cell r="J129" t="b">
            <v>0</v>
          </cell>
          <cell r="K129" t="b">
            <v>0</v>
          </cell>
          <cell r="L129" t="b">
            <v>0</v>
          </cell>
          <cell r="M129" t="b">
            <v>0</v>
          </cell>
          <cell r="N129" t="b">
            <v>0</v>
          </cell>
          <cell r="O129" t="b">
            <v>0</v>
          </cell>
          <cell r="P129" t="b">
            <v>0</v>
          </cell>
          <cell r="Q129" t="b">
            <v>0</v>
          </cell>
          <cell r="W129" t="e">
            <v>#REF!</v>
          </cell>
        </row>
        <row r="130">
          <cell r="H130" t="b">
            <v>0</v>
          </cell>
          <cell r="I130" t="b">
            <v>0</v>
          </cell>
          <cell r="J130" t="b">
            <v>0</v>
          </cell>
          <cell r="K130" t="b">
            <v>0</v>
          </cell>
          <cell r="L130" t="b">
            <v>0</v>
          </cell>
          <cell r="M130" t="b">
            <v>0</v>
          </cell>
          <cell r="N130" t="b">
            <v>0</v>
          </cell>
          <cell r="O130" t="b">
            <v>0</v>
          </cell>
          <cell r="P130" t="b">
            <v>0</v>
          </cell>
          <cell r="Q130" t="b">
            <v>0</v>
          </cell>
          <cell r="W130" t="e">
            <v>#REF!</v>
          </cell>
        </row>
        <row r="131">
          <cell r="H131" t="b">
            <v>0</v>
          </cell>
          <cell r="I131" t="b">
            <v>0</v>
          </cell>
          <cell r="J131" t="b">
            <v>0</v>
          </cell>
          <cell r="K131" t="b">
            <v>0</v>
          </cell>
          <cell r="L131" t="b">
            <v>0</v>
          </cell>
          <cell r="M131" t="b">
            <v>0</v>
          </cell>
          <cell r="N131" t="b">
            <v>0</v>
          </cell>
          <cell r="O131" t="b">
            <v>0</v>
          </cell>
          <cell r="P131" t="b">
            <v>0</v>
          </cell>
          <cell r="Q131" t="b">
            <v>0</v>
          </cell>
          <cell r="W131" t="e">
            <v>#REF!</v>
          </cell>
        </row>
        <row r="132">
          <cell r="H132" t="b">
            <v>0</v>
          </cell>
          <cell r="I132" t="b">
            <v>0</v>
          </cell>
          <cell r="J132" t="b">
            <v>0</v>
          </cell>
          <cell r="K132" t="b">
            <v>0</v>
          </cell>
          <cell r="L132" t="b">
            <v>0</v>
          </cell>
          <cell r="M132" t="b">
            <v>0</v>
          </cell>
          <cell r="N132" t="b">
            <v>0</v>
          </cell>
          <cell r="O132" t="b">
            <v>0</v>
          </cell>
          <cell r="P132" t="b">
            <v>0</v>
          </cell>
          <cell r="Q132" t="b">
            <v>0</v>
          </cell>
          <cell r="W132" t="e">
            <v>#REF!</v>
          </cell>
        </row>
        <row r="133">
          <cell r="H133" t="b">
            <v>0</v>
          </cell>
          <cell r="I133" t="b">
            <v>0</v>
          </cell>
          <cell r="J133" t="b">
            <v>0</v>
          </cell>
          <cell r="K133" t="b">
            <v>0</v>
          </cell>
          <cell r="L133" t="b">
            <v>0</v>
          </cell>
          <cell r="M133" t="b">
            <v>0</v>
          </cell>
          <cell r="N133" t="b">
            <v>0</v>
          </cell>
          <cell r="O133" t="b">
            <v>0</v>
          </cell>
          <cell r="P133" t="b">
            <v>0</v>
          </cell>
          <cell r="Q133" t="b">
            <v>0</v>
          </cell>
          <cell r="W133" t="e">
            <v>#REF!</v>
          </cell>
        </row>
        <row r="134">
          <cell r="H134" t="b">
            <v>0</v>
          </cell>
          <cell r="I134" t="b">
            <v>0</v>
          </cell>
          <cell r="J134" t="b">
            <v>0</v>
          </cell>
          <cell r="K134" t="b">
            <v>0</v>
          </cell>
          <cell r="L134" t="b">
            <v>0</v>
          </cell>
          <cell r="M134" t="b">
            <v>0</v>
          </cell>
          <cell r="N134" t="b">
            <v>0</v>
          </cell>
          <cell r="O134" t="b">
            <v>0</v>
          </cell>
          <cell r="P134" t="b">
            <v>0</v>
          </cell>
          <cell r="Q134" t="b">
            <v>0</v>
          </cell>
          <cell r="W134" t="e">
            <v>#REF!</v>
          </cell>
        </row>
        <row r="135">
          <cell r="H135" t="b">
            <v>0</v>
          </cell>
          <cell r="I135" t="b">
            <v>0</v>
          </cell>
          <cell r="J135" t="b">
            <v>0</v>
          </cell>
          <cell r="K135" t="b">
            <v>0</v>
          </cell>
          <cell r="L135" t="b">
            <v>0</v>
          </cell>
          <cell r="M135" t="b">
            <v>0</v>
          </cell>
          <cell r="N135" t="b">
            <v>0</v>
          </cell>
          <cell r="O135" t="b">
            <v>0</v>
          </cell>
          <cell r="P135" t="b">
            <v>0</v>
          </cell>
          <cell r="Q135" t="b">
            <v>0</v>
          </cell>
          <cell r="W135" t="e">
            <v>#REF!</v>
          </cell>
        </row>
        <row r="136">
          <cell r="H136" t="b">
            <v>0</v>
          </cell>
          <cell r="I136" t="b">
            <v>0</v>
          </cell>
          <cell r="J136" t="b">
            <v>0</v>
          </cell>
          <cell r="K136" t="b">
            <v>0</v>
          </cell>
          <cell r="L136" t="b">
            <v>0</v>
          </cell>
          <cell r="M136" t="b">
            <v>0</v>
          </cell>
          <cell r="N136" t="b">
            <v>0</v>
          </cell>
          <cell r="O136" t="b">
            <v>0</v>
          </cell>
          <cell r="P136" t="b">
            <v>0</v>
          </cell>
          <cell r="Q136" t="b">
            <v>0</v>
          </cell>
          <cell r="W136" t="e">
            <v>#REF!</v>
          </cell>
        </row>
        <row r="137">
          <cell r="H137" t="b">
            <v>0</v>
          </cell>
          <cell r="I137" t="b">
            <v>0</v>
          </cell>
          <cell r="J137" t="b">
            <v>0</v>
          </cell>
          <cell r="K137" t="b">
            <v>0</v>
          </cell>
          <cell r="L137" t="b">
            <v>0</v>
          </cell>
          <cell r="M137" t="b">
            <v>0</v>
          </cell>
          <cell r="N137" t="b">
            <v>0</v>
          </cell>
          <cell r="O137" t="b">
            <v>0</v>
          </cell>
          <cell r="P137" t="b">
            <v>0</v>
          </cell>
          <cell r="Q137" t="b">
            <v>0</v>
          </cell>
          <cell r="W137" t="e">
            <v>#REF!</v>
          </cell>
        </row>
        <row r="138">
          <cell r="H138" t="b">
            <v>0</v>
          </cell>
          <cell r="I138" t="b">
            <v>0</v>
          </cell>
          <cell r="J138" t="b">
            <v>0</v>
          </cell>
          <cell r="K138" t="b">
            <v>0</v>
          </cell>
          <cell r="L138" t="b">
            <v>0</v>
          </cell>
          <cell r="M138" t="b">
            <v>0</v>
          </cell>
          <cell r="N138" t="b">
            <v>0</v>
          </cell>
          <cell r="O138" t="b">
            <v>0</v>
          </cell>
          <cell r="P138" t="b">
            <v>0</v>
          </cell>
          <cell r="Q138" t="b">
            <v>0</v>
          </cell>
          <cell r="W138" t="e">
            <v>#REF!</v>
          </cell>
        </row>
        <row r="139">
          <cell r="H139" t="b">
            <v>0</v>
          </cell>
          <cell r="I139" t="b">
            <v>0</v>
          </cell>
          <cell r="J139" t="b">
            <v>0</v>
          </cell>
          <cell r="K139" t="b">
            <v>0</v>
          </cell>
          <cell r="L139" t="b">
            <v>0</v>
          </cell>
          <cell r="M139" t="b">
            <v>0</v>
          </cell>
          <cell r="N139" t="b">
            <v>0</v>
          </cell>
          <cell r="O139" t="b">
            <v>0</v>
          </cell>
          <cell r="P139" t="b">
            <v>0</v>
          </cell>
          <cell r="Q139" t="b">
            <v>0</v>
          </cell>
          <cell r="W139" t="e">
            <v>#REF!</v>
          </cell>
        </row>
        <row r="140">
          <cell r="H140" t="b">
            <v>0</v>
          </cell>
          <cell r="I140" t="b">
            <v>0</v>
          </cell>
          <cell r="J140" t="b">
            <v>0</v>
          </cell>
          <cell r="K140" t="b">
            <v>0</v>
          </cell>
          <cell r="L140" t="b">
            <v>0</v>
          </cell>
          <cell r="M140" t="b">
            <v>0</v>
          </cell>
          <cell r="N140" t="b">
            <v>0</v>
          </cell>
          <cell r="O140" t="b">
            <v>0</v>
          </cell>
          <cell r="P140" t="b">
            <v>0</v>
          </cell>
          <cell r="Q140" t="b">
            <v>0</v>
          </cell>
          <cell r="W140" t="e">
            <v>#REF!</v>
          </cell>
        </row>
        <row r="141">
          <cell r="H141" t="b">
            <v>0</v>
          </cell>
          <cell r="I141" t="b">
            <v>0</v>
          </cell>
          <cell r="J141" t="b">
            <v>0</v>
          </cell>
          <cell r="K141" t="b">
            <v>0</v>
          </cell>
          <cell r="L141" t="b">
            <v>0</v>
          </cell>
          <cell r="M141" t="b">
            <v>0</v>
          </cell>
          <cell r="N141" t="b">
            <v>0</v>
          </cell>
          <cell r="O141" t="b">
            <v>0</v>
          </cell>
          <cell r="P141" t="b">
            <v>0</v>
          </cell>
          <cell r="Q141" t="b">
            <v>0</v>
          </cell>
          <cell r="W141" t="e">
            <v>#REF!</v>
          </cell>
        </row>
        <row r="142">
          <cell r="H142" t="b">
            <v>0</v>
          </cell>
          <cell r="I142" t="b">
            <v>0</v>
          </cell>
          <cell r="J142" t="b">
            <v>0</v>
          </cell>
          <cell r="K142" t="b">
            <v>0</v>
          </cell>
          <cell r="L142" t="b">
            <v>0</v>
          </cell>
          <cell r="M142" t="b">
            <v>0</v>
          </cell>
          <cell r="N142" t="b">
            <v>0</v>
          </cell>
          <cell r="O142" t="b">
            <v>0</v>
          </cell>
          <cell r="P142" t="b">
            <v>0</v>
          </cell>
          <cell r="Q142" t="b">
            <v>0</v>
          </cell>
          <cell r="W142" t="e">
            <v>#REF!</v>
          </cell>
        </row>
        <row r="143">
          <cell r="H143" t="b">
            <v>0</v>
          </cell>
          <cell r="I143" t="b">
            <v>0</v>
          </cell>
          <cell r="J143" t="b">
            <v>0</v>
          </cell>
          <cell r="K143" t="b">
            <v>0</v>
          </cell>
          <cell r="L143" t="b">
            <v>0</v>
          </cell>
          <cell r="M143" t="b">
            <v>0</v>
          </cell>
          <cell r="N143" t="b">
            <v>0</v>
          </cell>
          <cell r="O143" t="b">
            <v>0</v>
          </cell>
          <cell r="P143" t="b">
            <v>0</v>
          </cell>
          <cell r="Q143" t="b">
            <v>0</v>
          </cell>
          <cell r="W143" t="e">
            <v>#REF!</v>
          </cell>
        </row>
        <row r="144">
          <cell r="H144" t="b">
            <v>0</v>
          </cell>
          <cell r="I144" t="b">
            <v>0</v>
          </cell>
          <cell r="J144" t="b">
            <v>0</v>
          </cell>
          <cell r="K144" t="b">
            <v>0</v>
          </cell>
          <cell r="L144" t="b">
            <v>0</v>
          </cell>
          <cell r="M144" t="b">
            <v>0</v>
          </cell>
          <cell r="N144" t="b">
            <v>0</v>
          </cell>
          <cell r="O144" t="b">
            <v>0</v>
          </cell>
          <cell r="P144" t="b">
            <v>0</v>
          </cell>
          <cell r="Q144" t="b">
            <v>0</v>
          </cell>
          <cell r="W144" t="e">
            <v>#REF!</v>
          </cell>
        </row>
        <row r="145">
          <cell r="H145" t="b">
            <v>0</v>
          </cell>
          <cell r="I145" t="b">
            <v>0</v>
          </cell>
          <cell r="J145" t="b">
            <v>0</v>
          </cell>
          <cell r="K145" t="b">
            <v>0</v>
          </cell>
          <cell r="L145" t="b">
            <v>0</v>
          </cell>
          <cell r="M145" t="b">
            <v>0</v>
          </cell>
          <cell r="N145" t="b">
            <v>0</v>
          </cell>
          <cell r="O145" t="b">
            <v>0</v>
          </cell>
          <cell r="P145" t="b">
            <v>0</v>
          </cell>
          <cell r="Q145" t="b">
            <v>0</v>
          </cell>
          <cell r="W145" t="e">
            <v>#REF!</v>
          </cell>
        </row>
        <row r="146">
          <cell r="H146" t="b">
            <v>0</v>
          </cell>
          <cell r="I146" t="b">
            <v>0</v>
          </cell>
          <cell r="J146" t="b">
            <v>0</v>
          </cell>
          <cell r="K146" t="b">
            <v>0</v>
          </cell>
          <cell r="L146" t="b">
            <v>0</v>
          </cell>
          <cell r="M146" t="b">
            <v>0</v>
          </cell>
          <cell r="N146" t="b">
            <v>0</v>
          </cell>
          <cell r="O146" t="b">
            <v>0</v>
          </cell>
          <cell r="P146" t="b">
            <v>0</v>
          </cell>
          <cell r="Q146" t="b">
            <v>0</v>
          </cell>
          <cell r="W146" t="e">
            <v>#REF!</v>
          </cell>
        </row>
        <row r="147">
          <cell r="H147" t="b">
            <v>0</v>
          </cell>
          <cell r="I147" t="b">
            <v>0</v>
          </cell>
          <cell r="J147" t="b">
            <v>0</v>
          </cell>
          <cell r="K147" t="b">
            <v>0</v>
          </cell>
          <cell r="L147" t="b">
            <v>0</v>
          </cell>
          <cell r="M147" t="b">
            <v>0</v>
          </cell>
          <cell r="N147" t="b">
            <v>0</v>
          </cell>
          <cell r="O147" t="b">
            <v>0</v>
          </cell>
          <cell r="P147" t="b">
            <v>0</v>
          </cell>
          <cell r="Q147" t="b">
            <v>0</v>
          </cell>
          <cell r="W147" t="e">
            <v>#REF!</v>
          </cell>
        </row>
        <row r="148">
          <cell r="H148" t="b">
            <v>0</v>
          </cell>
          <cell r="I148" t="b">
            <v>0</v>
          </cell>
          <cell r="J148" t="b">
            <v>0</v>
          </cell>
          <cell r="K148" t="b">
            <v>0</v>
          </cell>
          <cell r="L148" t="b">
            <v>0</v>
          </cell>
          <cell r="M148" t="b">
            <v>0</v>
          </cell>
          <cell r="N148" t="b">
            <v>0</v>
          </cell>
          <cell r="O148" t="b">
            <v>0</v>
          </cell>
          <cell r="P148" t="b">
            <v>0</v>
          </cell>
          <cell r="Q148" t="b">
            <v>0</v>
          </cell>
          <cell r="W148" t="e">
            <v>#REF!</v>
          </cell>
        </row>
        <row r="149">
          <cell r="H149" t="b">
            <v>0</v>
          </cell>
          <cell r="I149" t="b">
            <v>0</v>
          </cell>
          <cell r="J149" t="b">
            <v>0</v>
          </cell>
          <cell r="K149" t="b">
            <v>0</v>
          </cell>
          <cell r="L149" t="b">
            <v>0</v>
          </cell>
          <cell r="M149" t="b">
            <v>0</v>
          </cell>
          <cell r="N149" t="b">
            <v>0</v>
          </cell>
          <cell r="O149" t="b">
            <v>0</v>
          </cell>
          <cell r="P149" t="b">
            <v>0</v>
          </cell>
          <cell r="Q149" t="b">
            <v>0</v>
          </cell>
          <cell r="W149" t="e">
            <v>#REF!</v>
          </cell>
        </row>
        <row r="150">
          <cell r="H150" t="b">
            <v>0</v>
          </cell>
          <cell r="I150" t="b">
            <v>0</v>
          </cell>
          <cell r="J150" t="b">
            <v>0</v>
          </cell>
          <cell r="K150" t="b">
            <v>0</v>
          </cell>
          <cell r="L150" t="b">
            <v>0</v>
          </cell>
          <cell r="M150" t="b">
            <v>0</v>
          </cell>
          <cell r="N150" t="b">
            <v>0</v>
          </cell>
          <cell r="O150" t="b">
            <v>0</v>
          </cell>
          <cell r="P150" t="b">
            <v>0</v>
          </cell>
          <cell r="Q150" t="b">
            <v>0</v>
          </cell>
          <cell r="W150" t="e">
            <v>#REF!</v>
          </cell>
        </row>
        <row r="151">
          <cell r="H151" t="b">
            <v>0</v>
          </cell>
          <cell r="I151" t="b">
            <v>0</v>
          </cell>
          <cell r="J151" t="b">
            <v>0</v>
          </cell>
          <cell r="K151" t="b">
            <v>0</v>
          </cell>
          <cell r="L151" t="b">
            <v>0</v>
          </cell>
          <cell r="M151" t="b">
            <v>0</v>
          </cell>
          <cell r="N151" t="b">
            <v>0</v>
          </cell>
          <cell r="O151" t="b">
            <v>0</v>
          </cell>
          <cell r="P151" t="b">
            <v>0</v>
          </cell>
          <cell r="Q151" t="b">
            <v>0</v>
          </cell>
          <cell r="W151" t="e">
            <v>#REF!</v>
          </cell>
        </row>
        <row r="152">
          <cell r="H152" t="b">
            <v>0</v>
          </cell>
          <cell r="I152" t="b">
            <v>0</v>
          </cell>
          <cell r="J152" t="b">
            <v>0</v>
          </cell>
          <cell r="K152" t="b">
            <v>0</v>
          </cell>
          <cell r="L152" t="b">
            <v>0</v>
          </cell>
          <cell r="M152" t="b">
            <v>0</v>
          </cell>
          <cell r="N152" t="b">
            <v>0</v>
          </cell>
          <cell r="O152" t="b">
            <v>0</v>
          </cell>
          <cell r="P152" t="b">
            <v>0</v>
          </cell>
          <cell r="Q152" t="b">
            <v>0</v>
          </cell>
          <cell r="W152" t="e">
            <v>#REF!</v>
          </cell>
        </row>
        <row r="153">
          <cell r="H153" t="b">
            <v>0</v>
          </cell>
          <cell r="I153" t="b">
            <v>0</v>
          </cell>
          <cell r="J153" t="b">
            <v>0</v>
          </cell>
          <cell r="K153" t="b">
            <v>0</v>
          </cell>
          <cell r="L153" t="b">
            <v>0</v>
          </cell>
          <cell r="M153" t="b">
            <v>0</v>
          </cell>
          <cell r="N153" t="b">
            <v>0</v>
          </cell>
          <cell r="O153" t="b">
            <v>0</v>
          </cell>
          <cell r="P153" t="b">
            <v>0</v>
          </cell>
          <cell r="Q153" t="b">
            <v>0</v>
          </cell>
          <cell r="W153" t="e">
            <v>#REF!</v>
          </cell>
        </row>
        <row r="154">
          <cell r="H154" t="b">
            <v>0</v>
          </cell>
          <cell r="I154" t="b">
            <v>0</v>
          </cell>
          <cell r="J154" t="b">
            <v>0</v>
          </cell>
          <cell r="K154" t="b">
            <v>0</v>
          </cell>
          <cell r="L154" t="b">
            <v>0</v>
          </cell>
          <cell r="M154" t="b">
            <v>0</v>
          </cell>
          <cell r="N154" t="b">
            <v>0</v>
          </cell>
          <cell r="O154" t="b">
            <v>0</v>
          </cell>
          <cell r="P154" t="b">
            <v>0</v>
          </cell>
          <cell r="Q154" t="b">
            <v>0</v>
          </cell>
          <cell r="W154" t="e">
            <v>#REF!</v>
          </cell>
        </row>
        <row r="155">
          <cell r="H155" t="b">
            <v>0</v>
          </cell>
          <cell r="I155" t="b">
            <v>0</v>
          </cell>
          <cell r="J155" t="b">
            <v>0</v>
          </cell>
          <cell r="K155" t="b">
            <v>0</v>
          </cell>
          <cell r="L155" t="b">
            <v>0</v>
          </cell>
          <cell r="M155" t="b">
            <v>0</v>
          </cell>
          <cell r="N155" t="b">
            <v>0</v>
          </cell>
          <cell r="O155" t="b">
            <v>0</v>
          </cell>
          <cell r="P155" t="b">
            <v>0</v>
          </cell>
          <cell r="Q155" t="b">
            <v>0</v>
          </cell>
          <cell r="W155" t="e">
            <v>#REF!</v>
          </cell>
        </row>
        <row r="156">
          <cell r="H156" t="b">
            <v>0</v>
          </cell>
          <cell r="I156" t="b">
            <v>0</v>
          </cell>
          <cell r="J156" t="b">
            <v>0</v>
          </cell>
          <cell r="K156" t="b">
            <v>0</v>
          </cell>
          <cell r="L156" t="b">
            <v>0</v>
          </cell>
          <cell r="M156" t="b">
            <v>0</v>
          </cell>
          <cell r="N156" t="b">
            <v>0</v>
          </cell>
          <cell r="O156" t="b">
            <v>0</v>
          </cell>
          <cell r="P156" t="b">
            <v>0</v>
          </cell>
          <cell r="Q156" t="b">
            <v>0</v>
          </cell>
          <cell r="W156" t="e">
            <v>#REF!</v>
          </cell>
        </row>
        <row r="157">
          <cell r="H157" t="b">
            <v>0</v>
          </cell>
          <cell r="I157" t="b">
            <v>0</v>
          </cell>
          <cell r="J157" t="b">
            <v>0</v>
          </cell>
          <cell r="K157" t="b">
            <v>0</v>
          </cell>
          <cell r="L157" t="b">
            <v>0</v>
          </cell>
          <cell r="M157" t="b">
            <v>0</v>
          </cell>
          <cell r="N157" t="b">
            <v>0</v>
          </cell>
          <cell r="O157" t="b">
            <v>0</v>
          </cell>
          <cell r="P157" t="b">
            <v>0</v>
          </cell>
          <cell r="Q157" t="b">
            <v>0</v>
          </cell>
          <cell r="W157" t="e">
            <v>#REF!</v>
          </cell>
        </row>
        <row r="158">
          <cell r="H158" t="b">
            <v>0</v>
          </cell>
          <cell r="I158" t="b">
            <v>0</v>
          </cell>
          <cell r="J158" t="b">
            <v>0</v>
          </cell>
          <cell r="K158" t="b">
            <v>0</v>
          </cell>
          <cell r="L158" t="b">
            <v>0</v>
          </cell>
          <cell r="M158" t="b">
            <v>0</v>
          </cell>
          <cell r="N158" t="b">
            <v>0</v>
          </cell>
          <cell r="O158" t="b">
            <v>0</v>
          </cell>
          <cell r="P158" t="b">
            <v>0</v>
          </cell>
          <cell r="Q158" t="b">
            <v>0</v>
          </cell>
          <cell r="W158" t="e">
            <v>#REF!</v>
          </cell>
        </row>
        <row r="159">
          <cell r="H159" t="b">
            <v>0</v>
          </cell>
          <cell r="I159" t="b">
            <v>0</v>
          </cell>
          <cell r="J159" t="b">
            <v>0</v>
          </cell>
          <cell r="K159" t="b">
            <v>0</v>
          </cell>
          <cell r="L159" t="b">
            <v>0</v>
          </cell>
          <cell r="M159" t="b">
            <v>0</v>
          </cell>
          <cell r="N159" t="b">
            <v>0</v>
          </cell>
          <cell r="O159" t="b">
            <v>0</v>
          </cell>
          <cell r="P159" t="b">
            <v>0</v>
          </cell>
          <cell r="Q159" t="b">
            <v>0</v>
          </cell>
          <cell r="W159" t="e">
            <v>#REF!</v>
          </cell>
        </row>
        <row r="160">
          <cell r="H160" t="b">
            <v>0</v>
          </cell>
          <cell r="I160" t="b">
            <v>0</v>
          </cell>
          <cell r="J160" t="b">
            <v>0</v>
          </cell>
          <cell r="K160" t="b">
            <v>0</v>
          </cell>
          <cell r="L160" t="b">
            <v>0</v>
          </cell>
          <cell r="M160" t="b">
            <v>0</v>
          </cell>
          <cell r="N160" t="b">
            <v>0</v>
          </cell>
          <cell r="O160" t="b">
            <v>0</v>
          </cell>
          <cell r="P160" t="b">
            <v>0</v>
          </cell>
          <cell r="Q160" t="b">
            <v>0</v>
          </cell>
          <cell r="W160" t="e">
            <v>#REF!</v>
          </cell>
        </row>
        <row r="161">
          <cell r="H161" t="b">
            <v>0</v>
          </cell>
          <cell r="I161" t="b">
            <v>0</v>
          </cell>
          <cell r="J161" t="b">
            <v>0</v>
          </cell>
          <cell r="K161" t="b">
            <v>0</v>
          </cell>
          <cell r="L161" t="b">
            <v>0</v>
          </cell>
          <cell r="M161" t="b">
            <v>0</v>
          </cell>
          <cell r="N161" t="b">
            <v>0</v>
          </cell>
          <cell r="O161" t="b">
            <v>0</v>
          </cell>
          <cell r="P161" t="b">
            <v>0</v>
          </cell>
          <cell r="Q161" t="b">
            <v>0</v>
          </cell>
          <cell r="W161" t="e">
            <v>#REF!</v>
          </cell>
        </row>
        <row r="162">
          <cell r="H162" t="b">
            <v>0</v>
          </cell>
          <cell r="I162" t="b">
            <v>0</v>
          </cell>
          <cell r="J162" t="b">
            <v>0</v>
          </cell>
          <cell r="K162" t="b">
            <v>0</v>
          </cell>
          <cell r="L162" t="b">
            <v>0</v>
          </cell>
          <cell r="M162" t="b">
            <v>0</v>
          </cell>
          <cell r="N162" t="b">
            <v>0</v>
          </cell>
          <cell r="O162" t="b">
            <v>0</v>
          </cell>
          <cell r="P162" t="b">
            <v>0</v>
          </cell>
          <cell r="Q162" t="b">
            <v>0</v>
          </cell>
          <cell r="W162" t="e">
            <v>#REF!</v>
          </cell>
        </row>
        <row r="163">
          <cell r="H163" t="b">
            <v>0</v>
          </cell>
          <cell r="I163" t="b">
            <v>0</v>
          </cell>
          <cell r="J163" t="b">
            <v>0</v>
          </cell>
          <cell r="K163" t="b">
            <v>0</v>
          </cell>
          <cell r="L163" t="b">
            <v>0</v>
          </cell>
          <cell r="M163" t="b">
            <v>0</v>
          </cell>
          <cell r="N163" t="b">
            <v>0</v>
          </cell>
          <cell r="O163" t="b">
            <v>0</v>
          </cell>
          <cell r="P163" t="b">
            <v>0</v>
          </cell>
          <cell r="Q163" t="b">
            <v>0</v>
          </cell>
          <cell r="W163" t="e">
            <v>#REF!</v>
          </cell>
        </row>
        <row r="164">
          <cell r="H164" t="b">
            <v>0</v>
          </cell>
          <cell r="I164" t="b">
            <v>0</v>
          </cell>
          <cell r="J164" t="b">
            <v>0</v>
          </cell>
          <cell r="K164" t="b">
            <v>0</v>
          </cell>
          <cell r="L164" t="b">
            <v>0</v>
          </cell>
          <cell r="M164" t="b">
            <v>0</v>
          </cell>
          <cell r="N164" t="b">
            <v>0</v>
          </cell>
          <cell r="O164" t="b">
            <v>0</v>
          </cell>
          <cell r="P164" t="b">
            <v>0</v>
          </cell>
          <cell r="Q164" t="b">
            <v>0</v>
          </cell>
          <cell r="W164" t="e">
            <v>#REF!</v>
          </cell>
        </row>
        <row r="165">
          <cell r="H165" t="b">
            <v>0</v>
          </cell>
          <cell r="I165" t="b">
            <v>0</v>
          </cell>
          <cell r="J165" t="b">
            <v>0</v>
          </cell>
          <cell r="K165" t="b">
            <v>0</v>
          </cell>
          <cell r="L165" t="b">
            <v>0</v>
          </cell>
          <cell r="M165" t="b">
            <v>0</v>
          </cell>
          <cell r="N165" t="b">
            <v>0</v>
          </cell>
          <cell r="O165" t="b">
            <v>0</v>
          </cell>
          <cell r="P165" t="b">
            <v>0</v>
          </cell>
          <cell r="Q165" t="b">
            <v>0</v>
          </cell>
          <cell r="W165" t="e">
            <v>#REF!</v>
          </cell>
        </row>
        <row r="166">
          <cell r="H166" t="b">
            <v>0</v>
          </cell>
          <cell r="I166" t="b">
            <v>0</v>
          </cell>
          <cell r="J166" t="b">
            <v>0</v>
          </cell>
          <cell r="K166" t="b">
            <v>0</v>
          </cell>
          <cell r="L166" t="b">
            <v>0</v>
          </cell>
          <cell r="M166" t="b">
            <v>0</v>
          </cell>
          <cell r="N166" t="b">
            <v>0</v>
          </cell>
          <cell r="O166" t="b">
            <v>0</v>
          </cell>
          <cell r="P166" t="b">
            <v>0</v>
          </cell>
          <cell r="Q166" t="b">
            <v>0</v>
          </cell>
          <cell r="W166" t="e">
            <v>#REF!</v>
          </cell>
        </row>
        <row r="167">
          <cell r="H167" t="b">
            <v>0</v>
          </cell>
          <cell r="I167" t="b">
            <v>0</v>
          </cell>
          <cell r="J167" t="b">
            <v>0</v>
          </cell>
          <cell r="K167" t="b">
            <v>0</v>
          </cell>
          <cell r="L167" t="b">
            <v>0</v>
          </cell>
          <cell r="M167" t="b">
            <v>0</v>
          </cell>
          <cell r="N167" t="b">
            <v>0</v>
          </cell>
          <cell r="O167" t="b">
            <v>0</v>
          </cell>
          <cell r="P167" t="b">
            <v>0</v>
          </cell>
          <cell r="Q167" t="b">
            <v>0</v>
          </cell>
          <cell r="W167" t="e">
            <v>#REF!</v>
          </cell>
        </row>
        <row r="168">
          <cell r="H168" t="b">
            <v>0</v>
          </cell>
          <cell r="I168" t="b">
            <v>0</v>
          </cell>
          <cell r="J168" t="b">
            <v>0</v>
          </cell>
          <cell r="K168" t="b">
            <v>0</v>
          </cell>
          <cell r="L168" t="b">
            <v>0</v>
          </cell>
          <cell r="M168" t="b">
            <v>0</v>
          </cell>
          <cell r="N168" t="b">
            <v>0</v>
          </cell>
          <cell r="O168" t="b">
            <v>0</v>
          </cell>
          <cell r="P168" t="b">
            <v>0</v>
          </cell>
          <cell r="Q168" t="b">
            <v>0</v>
          </cell>
          <cell r="W168" t="e">
            <v>#REF!</v>
          </cell>
        </row>
        <row r="169">
          <cell r="H169" t="b">
            <v>0</v>
          </cell>
          <cell r="I169" t="b">
            <v>0</v>
          </cell>
          <cell r="J169" t="b">
            <v>0</v>
          </cell>
          <cell r="K169" t="b">
            <v>0</v>
          </cell>
          <cell r="L169" t="b">
            <v>0</v>
          </cell>
          <cell r="M169" t="b">
            <v>0</v>
          </cell>
          <cell r="N169" t="b">
            <v>0</v>
          </cell>
          <cell r="O169" t="b">
            <v>0</v>
          </cell>
          <cell r="P169" t="b">
            <v>0</v>
          </cell>
          <cell r="Q169" t="b">
            <v>0</v>
          </cell>
          <cell r="W169" t="e">
            <v>#REF!</v>
          </cell>
        </row>
        <row r="170">
          <cell r="H170" t="b">
            <v>0</v>
          </cell>
          <cell r="I170" t="b">
            <v>0</v>
          </cell>
          <cell r="J170" t="b">
            <v>0</v>
          </cell>
          <cell r="K170" t="b">
            <v>0</v>
          </cell>
          <cell r="L170" t="b">
            <v>0</v>
          </cell>
          <cell r="M170" t="b">
            <v>0</v>
          </cell>
          <cell r="N170" t="b">
            <v>0</v>
          </cell>
          <cell r="O170" t="b">
            <v>0</v>
          </cell>
          <cell r="P170" t="b">
            <v>0</v>
          </cell>
          <cell r="Q170" t="b">
            <v>0</v>
          </cell>
          <cell r="W170" t="e">
            <v>#REF!</v>
          </cell>
        </row>
        <row r="171">
          <cell r="H171" t="b">
            <v>0</v>
          </cell>
          <cell r="I171" t="b">
            <v>0</v>
          </cell>
          <cell r="J171" t="b">
            <v>0</v>
          </cell>
          <cell r="K171" t="b">
            <v>0</v>
          </cell>
          <cell r="L171" t="b">
            <v>0</v>
          </cell>
          <cell r="M171" t="b">
            <v>0</v>
          </cell>
          <cell r="N171" t="b">
            <v>0</v>
          </cell>
          <cell r="O171" t="b">
            <v>0</v>
          </cell>
          <cell r="P171" t="b">
            <v>0</v>
          </cell>
          <cell r="Q171" t="b">
            <v>0</v>
          </cell>
          <cell r="W171" t="e">
            <v>#REF!</v>
          </cell>
        </row>
        <row r="172">
          <cell r="H172" t="b">
            <v>0</v>
          </cell>
          <cell r="I172" t="b">
            <v>0</v>
          </cell>
          <cell r="J172" t="b">
            <v>0</v>
          </cell>
          <cell r="K172" t="b">
            <v>0</v>
          </cell>
          <cell r="L172" t="b">
            <v>0</v>
          </cell>
          <cell r="M172" t="b">
            <v>0</v>
          </cell>
          <cell r="N172" t="b">
            <v>0</v>
          </cell>
          <cell r="O172" t="b">
            <v>0</v>
          </cell>
          <cell r="P172" t="b">
            <v>0</v>
          </cell>
          <cell r="Q172" t="b">
            <v>0</v>
          </cell>
          <cell r="W172" t="e">
            <v>#REF!</v>
          </cell>
        </row>
        <row r="173">
          <cell r="H173" t="b">
            <v>0</v>
          </cell>
          <cell r="I173" t="b">
            <v>0</v>
          </cell>
          <cell r="J173" t="b">
            <v>0</v>
          </cell>
          <cell r="K173" t="b">
            <v>0</v>
          </cell>
          <cell r="L173" t="b">
            <v>0</v>
          </cell>
          <cell r="M173" t="b">
            <v>0</v>
          </cell>
          <cell r="N173" t="b">
            <v>0</v>
          </cell>
          <cell r="O173" t="b">
            <v>0</v>
          </cell>
          <cell r="P173" t="b">
            <v>0</v>
          </cell>
          <cell r="Q173" t="b">
            <v>0</v>
          </cell>
          <cell r="W173" t="e">
            <v>#REF!</v>
          </cell>
        </row>
        <row r="174">
          <cell r="H174" t="b">
            <v>0</v>
          </cell>
          <cell r="I174" t="b">
            <v>0</v>
          </cell>
          <cell r="J174" t="b">
            <v>0</v>
          </cell>
          <cell r="K174" t="b">
            <v>0</v>
          </cell>
          <cell r="L174" t="b">
            <v>0</v>
          </cell>
          <cell r="M174" t="b">
            <v>0</v>
          </cell>
          <cell r="N174" t="b">
            <v>0</v>
          </cell>
          <cell r="O174" t="b">
            <v>0</v>
          </cell>
          <cell r="P174" t="b">
            <v>0</v>
          </cell>
          <cell r="Q174" t="b">
            <v>0</v>
          </cell>
          <cell r="W174" t="e">
            <v>#REF!</v>
          </cell>
        </row>
        <row r="175">
          <cell r="H175" t="b">
            <v>0</v>
          </cell>
          <cell r="I175" t="b">
            <v>0</v>
          </cell>
          <cell r="J175" t="b">
            <v>0</v>
          </cell>
          <cell r="K175" t="b">
            <v>0</v>
          </cell>
          <cell r="L175" t="b">
            <v>0</v>
          </cell>
          <cell r="M175" t="b">
            <v>0</v>
          </cell>
          <cell r="N175" t="b">
            <v>0</v>
          </cell>
          <cell r="O175" t="b">
            <v>0</v>
          </cell>
          <cell r="P175" t="b">
            <v>0</v>
          </cell>
          <cell r="Q175" t="b">
            <v>0</v>
          </cell>
          <cell r="W175" t="e">
            <v>#REF!</v>
          </cell>
        </row>
        <row r="176">
          <cell r="H176" t="b">
            <v>0</v>
          </cell>
          <cell r="I176" t="b">
            <v>0</v>
          </cell>
          <cell r="J176" t="b">
            <v>0</v>
          </cell>
          <cell r="K176" t="b">
            <v>0</v>
          </cell>
          <cell r="L176" t="b">
            <v>0</v>
          </cell>
          <cell r="M176" t="b">
            <v>0</v>
          </cell>
          <cell r="N176" t="b">
            <v>0</v>
          </cell>
          <cell r="O176" t="b">
            <v>0</v>
          </cell>
          <cell r="P176" t="b">
            <v>0</v>
          </cell>
          <cell r="Q176" t="b">
            <v>0</v>
          </cell>
          <cell r="W176" t="e">
            <v>#REF!</v>
          </cell>
        </row>
        <row r="177">
          <cell r="H177" t="b">
            <v>0</v>
          </cell>
          <cell r="I177" t="b">
            <v>0</v>
          </cell>
          <cell r="J177" t="b">
            <v>0</v>
          </cell>
          <cell r="K177" t="b">
            <v>0</v>
          </cell>
          <cell r="L177" t="b">
            <v>0</v>
          </cell>
          <cell r="M177" t="b">
            <v>0</v>
          </cell>
          <cell r="N177" t="b">
            <v>0</v>
          </cell>
          <cell r="O177" t="b">
            <v>0</v>
          </cell>
          <cell r="P177" t="b">
            <v>0</v>
          </cell>
          <cell r="Q177" t="b">
            <v>0</v>
          </cell>
          <cell r="W177" t="e">
            <v>#REF!</v>
          </cell>
        </row>
        <row r="178">
          <cell r="H178" t="b">
            <v>0</v>
          </cell>
          <cell r="I178" t="b">
            <v>0</v>
          </cell>
          <cell r="J178" t="b">
            <v>0</v>
          </cell>
          <cell r="K178" t="b">
            <v>0</v>
          </cell>
          <cell r="L178" t="b">
            <v>0</v>
          </cell>
          <cell r="M178" t="b">
            <v>0</v>
          </cell>
          <cell r="N178" t="b">
            <v>0</v>
          </cell>
          <cell r="O178" t="b">
            <v>0</v>
          </cell>
          <cell r="P178" t="b">
            <v>0</v>
          </cell>
          <cell r="Q178" t="b">
            <v>0</v>
          </cell>
          <cell r="W178" t="e">
            <v>#REF!</v>
          </cell>
        </row>
        <row r="179">
          <cell r="H179" t="b">
            <v>0</v>
          </cell>
          <cell r="I179" t="b">
            <v>0</v>
          </cell>
          <cell r="J179" t="b">
            <v>0</v>
          </cell>
          <cell r="K179" t="b">
            <v>0</v>
          </cell>
          <cell r="L179" t="b">
            <v>0</v>
          </cell>
          <cell r="M179" t="b">
            <v>0</v>
          </cell>
          <cell r="N179" t="b">
            <v>0</v>
          </cell>
          <cell r="O179" t="b">
            <v>0</v>
          </cell>
          <cell r="P179" t="b">
            <v>0</v>
          </cell>
          <cell r="Q179" t="b">
            <v>0</v>
          </cell>
          <cell r="W179" t="e">
            <v>#REF!</v>
          </cell>
        </row>
        <row r="180">
          <cell r="H180" t="b">
            <v>0</v>
          </cell>
          <cell r="I180" t="b">
            <v>0</v>
          </cell>
          <cell r="J180" t="b">
            <v>0</v>
          </cell>
          <cell r="K180" t="b">
            <v>0</v>
          </cell>
          <cell r="L180" t="b">
            <v>0</v>
          </cell>
          <cell r="M180" t="b">
            <v>0</v>
          </cell>
          <cell r="N180" t="b">
            <v>0</v>
          </cell>
          <cell r="O180" t="b">
            <v>0</v>
          </cell>
          <cell r="P180" t="b">
            <v>0</v>
          </cell>
          <cell r="Q180" t="b">
            <v>0</v>
          </cell>
          <cell r="W180" t="e">
            <v>#REF!</v>
          </cell>
        </row>
        <row r="181">
          <cell r="H181" t="b">
            <v>0</v>
          </cell>
          <cell r="I181" t="b">
            <v>0</v>
          </cell>
          <cell r="J181" t="b">
            <v>0</v>
          </cell>
          <cell r="K181" t="b">
            <v>0</v>
          </cell>
          <cell r="L181" t="b">
            <v>0</v>
          </cell>
          <cell r="M181" t="b">
            <v>0</v>
          </cell>
          <cell r="N181" t="b">
            <v>0</v>
          </cell>
          <cell r="O181" t="b">
            <v>0</v>
          </cell>
          <cell r="P181" t="b">
            <v>0</v>
          </cell>
          <cell r="Q181" t="b">
            <v>0</v>
          </cell>
          <cell r="W181" t="e">
            <v>#REF!</v>
          </cell>
        </row>
        <row r="182">
          <cell r="H182" t="b">
            <v>0</v>
          </cell>
          <cell r="I182" t="b">
            <v>0</v>
          </cell>
          <cell r="J182" t="b">
            <v>0</v>
          </cell>
          <cell r="K182" t="b">
            <v>0</v>
          </cell>
          <cell r="L182" t="b">
            <v>0</v>
          </cell>
          <cell r="M182" t="b">
            <v>0</v>
          </cell>
          <cell r="N182" t="b">
            <v>0</v>
          </cell>
          <cell r="O182" t="b">
            <v>0</v>
          </cell>
          <cell r="P182" t="b">
            <v>0</v>
          </cell>
          <cell r="Q182" t="b">
            <v>0</v>
          </cell>
          <cell r="W182" t="e">
            <v>#REF!</v>
          </cell>
        </row>
        <row r="183">
          <cell r="H183" t="b">
            <v>0</v>
          </cell>
          <cell r="I183" t="b">
            <v>0</v>
          </cell>
          <cell r="J183" t="b">
            <v>0</v>
          </cell>
          <cell r="K183" t="b">
            <v>0</v>
          </cell>
          <cell r="L183" t="b">
            <v>0</v>
          </cell>
          <cell r="M183" t="b">
            <v>0</v>
          </cell>
          <cell r="N183" t="b">
            <v>0</v>
          </cell>
          <cell r="O183" t="b">
            <v>0</v>
          </cell>
          <cell r="P183" t="b">
            <v>0</v>
          </cell>
          <cell r="Q183" t="b">
            <v>0</v>
          </cell>
          <cell r="W183" t="e">
            <v>#REF!</v>
          </cell>
        </row>
        <row r="184">
          <cell r="H184" t="b">
            <v>0</v>
          </cell>
          <cell r="I184" t="b">
            <v>0</v>
          </cell>
          <cell r="J184" t="b">
            <v>0</v>
          </cell>
          <cell r="K184" t="b">
            <v>0</v>
          </cell>
          <cell r="L184" t="b">
            <v>0</v>
          </cell>
          <cell r="M184" t="b">
            <v>0</v>
          </cell>
          <cell r="N184" t="b">
            <v>0</v>
          </cell>
          <cell r="O184" t="b">
            <v>0</v>
          </cell>
          <cell r="P184" t="b">
            <v>0</v>
          </cell>
          <cell r="Q184" t="b">
            <v>0</v>
          </cell>
          <cell r="W184" t="e">
            <v>#REF!</v>
          </cell>
        </row>
        <row r="185">
          <cell r="H185" t="b">
            <v>0</v>
          </cell>
          <cell r="I185" t="b">
            <v>0</v>
          </cell>
          <cell r="J185" t="b">
            <v>0</v>
          </cell>
          <cell r="K185" t="b">
            <v>0</v>
          </cell>
          <cell r="L185" t="b">
            <v>0</v>
          </cell>
          <cell r="M185" t="b">
            <v>0</v>
          </cell>
          <cell r="N185" t="b">
            <v>0</v>
          </cell>
          <cell r="O185" t="b">
            <v>0</v>
          </cell>
          <cell r="P185" t="b">
            <v>0</v>
          </cell>
          <cell r="Q185" t="b">
            <v>0</v>
          </cell>
          <cell r="W185" t="e">
            <v>#REF!</v>
          </cell>
        </row>
        <row r="186">
          <cell r="H186" t="b">
            <v>0</v>
          </cell>
          <cell r="I186" t="b">
            <v>0</v>
          </cell>
          <cell r="J186" t="b">
            <v>0</v>
          </cell>
          <cell r="K186" t="b">
            <v>0</v>
          </cell>
          <cell r="L186" t="b">
            <v>0</v>
          </cell>
          <cell r="M186" t="b">
            <v>0</v>
          </cell>
          <cell r="N186" t="b">
            <v>0</v>
          </cell>
          <cell r="O186" t="b">
            <v>0</v>
          </cell>
          <cell r="P186" t="b">
            <v>0</v>
          </cell>
          <cell r="Q186" t="b">
            <v>0</v>
          </cell>
          <cell r="W186" t="e">
            <v>#REF!</v>
          </cell>
        </row>
        <row r="187">
          <cell r="H187" t="b">
            <v>0</v>
          </cell>
          <cell r="I187" t="b">
            <v>0</v>
          </cell>
          <cell r="J187" t="b">
            <v>0</v>
          </cell>
          <cell r="K187" t="b">
            <v>0</v>
          </cell>
          <cell r="L187" t="b">
            <v>0</v>
          </cell>
          <cell r="M187" t="b">
            <v>0</v>
          </cell>
          <cell r="N187" t="b">
            <v>0</v>
          </cell>
          <cell r="O187" t="b">
            <v>0</v>
          </cell>
          <cell r="P187" t="b">
            <v>0</v>
          </cell>
          <cell r="Q187" t="b">
            <v>0</v>
          </cell>
          <cell r="W187" t="e">
            <v>#REF!</v>
          </cell>
        </row>
        <row r="188">
          <cell r="H188" t="b">
            <v>0</v>
          </cell>
          <cell r="I188" t="b">
            <v>0</v>
          </cell>
          <cell r="J188" t="b">
            <v>0</v>
          </cell>
          <cell r="K188" t="b">
            <v>0</v>
          </cell>
          <cell r="L188" t="b">
            <v>0</v>
          </cell>
          <cell r="M188" t="b">
            <v>0</v>
          </cell>
          <cell r="N188" t="b">
            <v>0</v>
          </cell>
          <cell r="O188" t="b">
            <v>0</v>
          </cell>
          <cell r="P188" t="b">
            <v>0</v>
          </cell>
          <cell r="Q188" t="b">
            <v>0</v>
          </cell>
          <cell r="W188" t="e">
            <v>#REF!</v>
          </cell>
        </row>
        <row r="189">
          <cell r="H189" t="b">
            <v>0</v>
          </cell>
          <cell r="I189" t="b">
            <v>0</v>
          </cell>
          <cell r="J189" t="b">
            <v>0</v>
          </cell>
          <cell r="K189" t="b">
            <v>0</v>
          </cell>
          <cell r="L189" t="b">
            <v>0</v>
          </cell>
          <cell r="M189" t="b">
            <v>0</v>
          </cell>
          <cell r="N189" t="b">
            <v>0</v>
          </cell>
          <cell r="O189" t="b">
            <v>0</v>
          </cell>
          <cell r="P189" t="b">
            <v>0</v>
          </cell>
          <cell r="Q189" t="b">
            <v>0</v>
          </cell>
          <cell r="W189" t="e">
            <v>#REF!</v>
          </cell>
        </row>
        <row r="190">
          <cell r="H190" t="b">
            <v>0</v>
          </cell>
          <cell r="I190" t="b">
            <v>0</v>
          </cell>
          <cell r="J190" t="b">
            <v>0</v>
          </cell>
          <cell r="K190" t="b">
            <v>0</v>
          </cell>
          <cell r="L190" t="b">
            <v>0</v>
          </cell>
          <cell r="M190" t="b">
            <v>0</v>
          </cell>
          <cell r="N190" t="b">
            <v>0</v>
          </cell>
          <cell r="O190" t="b">
            <v>0</v>
          </cell>
          <cell r="P190" t="b">
            <v>0</v>
          </cell>
          <cell r="Q190" t="b">
            <v>0</v>
          </cell>
          <cell r="W190" t="e">
            <v>#REF!</v>
          </cell>
        </row>
        <row r="191">
          <cell r="H191" t="b">
            <v>0</v>
          </cell>
          <cell r="I191" t="b">
            <v>0</v>
          </cell>
          <cell r="J191" t="b">
            <v>0</v>
          </cell>
          <cell r="K191" t="b">
            <v>0</v>
          </cell>
          <cell r="L191" t="b">
            <v>0</v>
          </cell>
          <cell r="M191" t="b">
            <v>0</v>
          </cell>
          <cell r="N191" t="b">
            <v>0</v>
          </cell>
          <cell r="O191" t="b">
            <v>0</v>
          </cell>
          <cell r="P191" t="b">
            <v>0</v>
          </cell>
          <cell r="Q191" t="b">
            <v>0</v>
          </cell>
          <cell r="W191" t="e">
            <v>#REF!</v>
          </cell>
        </row>
        <row r="192">
          <cell r="H192" t="b">
            <v>0</v>
          </cell>
          <cell r="I192" t="b">
            <v>0</v>
          </cell>
          <cell r="J192" t="b">
            <v>0</v>
          </cell>
          <cell r="K192" t="b">
            <v>0</v>
          </cell>
          <cell r="L192" t="b">
            <v>0</v>
          </cell>
          <cell r="M192" t="b">
            <v>0</v>
          </cell>
          <cell r="N192" t="b">
            <v>0</v>
          </cell>
          <cell r="O192" t="b">
            <v>0</v>
          </cell>
          <cell r="P192" t="b">
            <v>0</v>
          </cell>
          <cell r="Q192" t="b">
            <v>0</v>
          </cell>
          <cell r="W192" t="e">
            <v>#REF!</v>
          </cell>
        </row>
        <row r="193">
          <cell r="H193" t="b">
            <v>0</v>
          </cell>
          <cell r="I193" t="b">
            <v>0</v>
          </cell>
          <cell r="J193" t="b">
            <v>0</v>
          </cell>
          <cell r="K193" t="b">
            <v>0</v>
          </cell>
          <cell r="L193" t="b">
            <v>0</v>
          </cell>
          <cell r="M193" t="b">
            <v>0</v>
          </cell>
          <cell r="N193" t="b">
            <v>0</v>
          </cell>
          <cell r="O193" t="b">
            <v>0</v>
          </cell>
          <cell r="P193" t="b">
            <v>0</v>
          </cell>
          <cell r="Q193" t="b">
            <v>0</v>
          </cell>
          <cell r="W193" t="e">
            <v>#REF!</v>
          </cell>
        </row>
        <row r="194">
          <cell r="H194" t="b">
            <v>0</v>
          </cell>
          <cell r="I194" t="b">
            <v>0</v>
          </cell>
          <cell r="J194" t="b">
            <v>0</v>
          </cell>
          <cell r="K194" t="b">
            <v>0</v>
          </cell>
          <cell r="L194" t="b">
            <v>0</v>
          </cell>
          <cell r="M194" t="b">
            <v>0</v>
          </cell>
          <cell r="N194" t="b">
            <v>0</v>
          </cell>
          <cell r="O194" t="b">
            <v>0</v>
          </cell>
          <cell r="P194" t="b">
            <v>0</v>
          </cell>
          <cell r="Q194" t="b">
            <v>0</v>
          </cell>
          <cell r="W194" t="e">
            <v>#REF!</v>
          </cell>
        </row>
        <row r="195">
          <cell r="H195" t="b">
            <v>0</v>
          </cell>
          <cell r="I195" t="b">
            <v>0</v>
          </cell>
          <cell r="J195" t="b">
            <v>0</v>
          </cell>
          <cell r="K195" t="b">
            <v>0</v>
          </cell>
          <cell r="L195" t="b">
            <v>0</v>
          </cell>
          <cell r="M195" t="b">
            <v>0</v>
          </cell>
          <cell r="N195" t="b">
            <v>0</v>
          </cell>
          <cell r="O195" t="b">
            <v>0</v>
          </cell>
          <cell r="P195" t="b">
            <v>0</v>
          </cell>
          <cell r="Q195" t="b">
            <v>0</v>
          </cell>
          <cell r="W195" t="e">
            <v>#REF!</v>
          </cell>
        </row>
        <row r="196">
          <cell r="H196" t="b">
            <v>0</v>
          </cell>
          <cell r="I196" t="b">
            <v>0</v>
          </cell>
          <cell r="J196" t="b">
            <v>0</v>
          </cell>
          <cell r="K196" t="b">
            <v>0</v>
          </cell>
          <cell r="L196" t="b">
            <v>0</v>
          </cell>
          <cell r="M196" t="b">
            <v>0</v>
          </cell>
          <cell r="N196" t="b">
            <v>0</v>
          </cell>
          <cell r="O196" t="b">
            <v>0</v>
          </cell>
          <cell r="P196" t="b">
            <v>0</v>
          </cell>
          <cell r="Q196" t="b">
            <v>0</v>
          </cell>
          <cell r="W196" t="e">
            <v>#REF!</v>
          </cell>
        </row>
        <row r="197">
          <cell r="H197" t="b">
            <v>0</v>
          </cell>
          <cell r="I197" t="b">
            <v>0</v>
          </cell>
          <cell r="J197" t="b">
            <v>0</v>
          </cell>
          <cell r="K197" t="b">
            <v>0</v>
          </cell>
          <cell r="L197" t="b">
            <v>0</v>
          </cell>
          <cell r="M197" t="b">
            <v>0</v>
          </cell>
          <cell r="N197" t="b">
            <v>0</v>
          </cell>
          <cell r="O197" t="b">
            <v>0</v>
          </cell>
          <cell r="P197" t="b">
            <v>0</v>
          </cell>
          <cell r="Q197" t="b">
            <v>0</v>
          </cell>
          <cell r="W197" t="e">
            <v>#REF!</v>
          </cell>
        </row>
        <row r="198">
          <cell r="H198" t="b">
            <v>0</v>
          </cell>
          <cell r="I198" t="b">
            <v>0</v>
          </cell>
          <cell r="J198" t="b">
            <v>0</v>
          </cell>
          <cell r="K198" t="b">
            <v>0</v>
          </cell>
          <cell r="L198" t="b">
            <v>0</v>
          </cell>
          <cell r="M198" t="b">
            <v>0</v>
          </cell>
          <cell r="N198" t="b">
            <v>0</v>
          </cell>
          <cell r="O198" t="b">
            <v>0</v>
          </cell>
          <cell r="P198" t="b">
            <v>0</v>
          </cell>
          <cell r="Q198" t="b">
            <v>0</v>
          </cell>
          <cell r="W198" t="e">
            <v>#REF!</v>
          </cell>
        </row>
        <row r="199">
          <cell r="H199" t="b">
            <v>0</v>
          </cell>
          <cell r="I199" t="b">
            <v>0</v>
          </cell>
          <cell r="J199" t="b">
            <v>0</v>
          </cell>
          <cell r="K199" t="b">
            <v>0</v>
          </cell>
          <cell r="L199" t="b">
            <v>0</v>
          </cell>
          <cell r="M199" t="b">
            <v>0</v>
          </cell>
          <cell r="N199" t="b">
            <v>0</v>
          </cell>
          <cell r="O199" t="b">
            <v>0</v>
          </cell>
          <cell r="P199" t="b">
            <v>0</v>
          </cell>
          <cell r="Q199" t="b">
            <v>0</v>
          </cell>
          <cell r="W199" t="e">
            <v>#REF!</v>
          </cell>
        </row>
        <row r="200">
          <cell r="H200" t="b">
            <v>0</v>
          </cell>
          <cell r="I200" t="b">
            <v>0</v>
          </cell>
          <cell r="J200" t="b">
            <v>0</v>
          </cell>
          <cell r="K200" t="b">
            <v>0</v>
          </cell>
          <cell r="L200" t="b">
            <v>0</v>
          </cell>
          <cell r="M200" t="b">
            <v>0</v>
          </cell>
          <cell r="N200" t="b">
            <v>0</v>
          </cell>
          <cell r="O200" t="b">
            <v>0</v>
          </cell>
          <cell r="P200" t="b">
            <v>0</v>
          </cell>
          <cell r="Q200" t="b">
            <v>0</v>
          </cell>
          <cell r="W200" t="e">
            <v>#REF!</v>
          </cell>
        </row>
        <row r="201">
          <cell r="H201" t="b">
            <v>0</v>
          </cell>
          <cell r="I201" t="b">
            <v>0</v>
          </cell>
          <cell r="J201" t="b">
            <v>0</v>
          </cell>
          <cell r="K201" t="b">
            <v>0</v>
          </cell>
          <cell r="L201" t="b">
            <v>0</v>
          </cell>
          <cell r="M201" t="b">
            <v>0</v>
          </cell>
          <cell r="N201" t="b">
            <v>0</v>
          </cell>
          <cell r="O201" t="b">
            <v>0</v>
          </cell>
          <cell r="P201" t="b">
            <v>0</v>
          </cell>
          <cell r="Q201" t="b">
            <v>0</v>
          </cell>
          <cell r="W201" t="e">
            <v>#REF!</v>
          </cell>
        </row>
        <row r="202">
          <cell r="H202" t="b">
            <v>0</v>
          </cell>
          <cell r="I202" t="b">
            <v>0</v>
          </cell>
          <cell r="J202" t="b">
            <v>0</v>
          </cell>
          <cell r="K202" t="b">
            <v>0</v>
          </cell>
          <cell r="L202" t="b">
            <v>0</v>
          </cell>
          <cell r="M202" t="b">
            <v>0</v>
          </cell>
          <cell r="N202" t="b">
            <v>0</v>
          </cell>
          <cell r="O202" t="b">
            <v>0</v>
          </cell>
          <cell r="P202" t="b">
            <v>0</v>
          </cell>
          <cell r="Q202" t="b">
            <v>0</v>
          </cell>
          <cell r="W202" t="e">
            <v>#REF!</v>
          </cell>
        </row>
        <row r="203">
          <cell r="H203" t="b">
            <v>0</v>
          </cell>
          <cell r="I203" t="b">
            <v>0</v>
          </cell>
          <cell r="J203" t="b">
            <v>0</v>
          </cell>
          <cell r="K203" t="b">
            <v>0</v>
          </cell>
          <cell r="L203" t="b">
            <v>0</v>
          </cell>
          <cell r="M203" t="b">
            <v>0</v>
          </cell>
          <cell r="N203" t="b">
            <v>0</v>
          </cell>
          <cell r="O203" t="b">
            <v>0</v>
          </cell>
          <cell r="P203" t="b">
            <v>0</v>
          </cell>
          <cell r="Q203" t="b">
            <v>0</v>
          </cell>
          <cell r="W203" t="e">
            <v>#REF!</v>
          </cell>
        </row>
        <row r="204">
          <cell r="H204" t="b">
            <v>0</v>
          </cell>
          <cell r="I204" t="b">
            <v>0</v>
          </cell>
          <cell r="J204" t="b">
            <v>0</v>
          </cell>
          <cell r="K204" t="b">
            <v>0</v>
          </cell>
          <cell r="L204" t="b">
            <v>0</v>
          </cell>
          <cell r="M204" t="b">
            <v>0</v>
          </cell>
          <cell r="N204" t="b">
            <v>0</v>
          </cell>
          <cell r="O204" t="b">
            <v>0</v>
          </cell>
          <cell r="P204" t="b">
            <v>0</v>
          </cell>
          <cell r="Q204" t="b">
            <v>0</v>
          </cell>
          <cell r="W204" t="e">
            <v>#REF!</v>
          </cell>
        </row>
        <row r="205">
          <cell r="H205" t="b">
            <v>0</v>
          </cell>
          <cell r="I205" t="b">
            <v>0</v>
          </cell>
          <cell r="J205" t="b">
            <v>0</v>
          </cell>
          <cell r="K205" t="b">
            <v>0</v>
          </cell>
          <cell r="L205" t="b">
            <v>0</v>
          </cell>
          <cell r="M205" t="b">
            <v>0</v>
          </cell>
          <cell r="N205" t="b">
            <v>0</v>
          </cell>
          <cell r="O205" t="b">
            <v>0</v>
          </cell>
          <cell r="P205" t="b">
            <v>0</v>
          </cell>
          <cell r="Q205" t="b">
            <v>0</v>
          </cell>
          <cell r="W205" t="e">
            <v>#REF!</v>
          </cell>
        </row>
        <row r="206">
          <cell r="H206" t="b">
            <v>0</v>
          </cell>
          <cell r="I206" t="b">
            <v>0</v>
          </cell>
          <cell r="J206" t="b">
            <v>0</v>
          </cell>
          <cell r="K206" t="b">
            <v>0</v>
          </cell>
          <cell r="L206" t="b">
            <v>0</v>
          </cell>
          <cell r="M206" t="b">
            <v>0</v>
          </cell>
          <cell r="N206" t="b">
            <v>0</v>
          </cell>
          <cell r="O206" t="b">
            <v>0</v>
          </cell>
          <cell r="P206" t="b">
            <v>0</v>
          </cell>
          <cell r="Q206" t="b">
            <v>0</v>
          </cell>
          <cell r="W206" t="e">
            <v>#REF!</v>
          </cell>
        </row>
        <row r="207">
          <cell r="H207" t="b">
            <v>0</v>
          </cell>
          <cell r="I207" t="b">
            <v>0</v>
          </cell>
          <cell r="J207" t="b">
            <v>0</v>
          </cell>
          <cell r="K207" t="b">
            <v>0</v>
          </cell>
          <cell r="L207" t="b">
            <v>0</v>
          </cell>
          <cell r="M207" t="b">
            <v>0</v>
          </cell>
          <cell r="N207" t="b">
            <v>0</v>
          </cell>
          <cell r="O207" t="b">
            <v>0</v>
          </cell>
          <cell r="P207" t="b">
            <v>0</v>
          </cell>
          <cell r="Q207" t="b">
            <v>0</v>
          </cell>
          <cell r="W207" t="e">
            <v>#REF!</v>
          </cell>
        </row>
        <row r="208">
          <cell r="H208" t="b">
            <v>0</v>
          </cell>
          <cell r="I208" t="b">
            <v>0</v>
          </cell>
          <cell r="J208" t="b">
            <v>0</v>
          </cell>
          <cell r="K208" t="b">
            <v>0</v>
          </cell>
          <cell r="L208" t="b">
            <v>0</v>
          </cell>
          <cell r="M208" t="b">
            <v>0</v>
          </cell>
          <cell r="N208" t="b">
            <v>0</v>
          </cell>
          <cell r="O208" t="b">
            <v>0</v>
          </cell>
          <cell r="P208" t="b">
            <v>0</v>
          </cell>
          <cell r="Q208" t="b">
            <v>0</v>
          </cell>
          <cell r="W208" t="e">
            <v>#REF!</v>
          </cell>
        </row>
        <row r="209">
          <cell r="H209" t="b">
            <v>0</v>
          </cell>
          <cell r="I209" t="b">
            <v>0</v>
          </cell>
          <cell r="J209" t="b">
            <v>0</v>
          </cell>
          <cell r="K209" t="b">
            <v>0</v>
          </cell>
          <cell r="L209" t="b">
            <v>0</v>
          </cell>
          <cell r="M209" t="b">
            <v>0</v>
          </cell>
          <cell r="N209" t="b">
            <v>0</v>
          </cell>
          <cell r="O209" t="b">
            <v>0</v>
          </cell>
          <cell r="P209" t="b">
            <v>0</v>
          </cell>
          <cell r="Q209" t="b">
            <v>0</v>
          </cell>
          <cell r="W209" t="e">
            <v>#REF!</v>
          </cell>
        </row>
        <row r="210">
          <cell r="H210" t="b">
            <v>0</v>
          </cell>
          <cell r="I210" t="b">
            <v>0</v>
          </cell>
          <cell r="J210" t="b">
            <v>0</v>
          </cell>
          <cell r="K210" t="b">
            <v>0</v>
          </cell>
          <cell r="L210" t="b">
            <v>0</v>
          </cell>
          <cell r="M210" t="b">
            <v>0</v>
          </cell>
          <cell r="N210" t="b">
            <v>0</v>
          </cell>
          <cell r="O210" t="b">
            <v>0</v>
          </cell>
          <cell r="P210" t="b">
            <v>0</v>
          </cell>
          <cell r="Q210" t="b">
            <v>0</v>
          </cell>
          <cell r="W210" t="e">
            <v>#REF!</v>
          </cell>
        </row>
        <row r="211">
          <cell r="H211" t="b">
            <v>0</v>
          </cell>
          <cell r="I211" t="b">
            <v>0</v>
          </cell>
          <cell r="J211" t="b">
            <v>0</v>
          </cell>
          <cell r="K211" t="b">
            <v>0</v>
          </cell>
          <cell r="L211" t="b">
            <v>0</v>
          </cell>
          <cell r="M211" t="b">
            <v>0</v>
          </cell>
          <cell r="N211" t="b">
            <v>0</v>
          </cell>
          <cell r="O211" t="b">
            <v>0</v>
          </cell>
          <cell r="P211" t="b">
            <v>0</v>
          </cell>
          <cell r="Q211" t="b">
            <v>0</v>
          </cell>
          <cell r="W211" t="e">
            <v>#REF!</v>
          </cell>
        </row>
        <row r="212">
          <cell r="H212" t="b">
            <v>0</v>
          </cell>
          <cell r="I212" t="b">
            <v>0</v>
          </cell>
          <cell r="J212" t="b">
            <v>0</v>
          </cell>
          <cell r="K212" t="b">
            <v>0</v>
          </cell>
          <cell r="L212" t="b">
            <v>0</v>
          </cell>
          <cell r="M212" t="b">
            <v>0</v>
          </cell>
          <cell r="N212" t="b">
            <v>0</v>
          </cell>
          <cell r="O212" t="b">
            <v>0</v>
          </cell>
          <cell r="P212" t="b">
            <v>0</v>
          </cell>
          <cell r="Q212" t="b">
            <v>0</v>
          </cell>
          <cell r="W212" t="e">
            <v>#REF!</v>
          </cell>
        </row>
        <row r="213">
          <cell r="H213" t="b">
            <v>0</v>
          </cell>
          <cell r="I213" t="b">
            <v>0</v>
          </cell>
          <cell r="J213" t="b">
            <v>0</v>
          </cell>
          <cell r="K213" t="b">
            <v>0</v>
          </cell>
          <cell r="L213" t="b">
            <v>0</v>
          </cell>
          <cell r="M213" t="b">
            <v>0</v>
          </cell>
          <cell r="N213" t="b">
            <v>0</v>
          </cell>
          <cell r="O213" t="b">
            <v>0</v>
          </cell>
          <cell r="P213" t="b">
            <v>0</v>
          </cell>
          <cell r="Q213" t="b">
            <v>0</v>
          </cell>
          <cell r="W213" t="e">
            <v>#REF!</v>
          </cell>
        </row>
        <row r="214">
          <cell r="H214" t="b">
            <v>0</v>
          </cell>
          <cell r="I214" t="b">
            <v>0</v>
          </cell>
          <cell r="J214" t="b">
            <v>0</v>
          </cell>
          <cell r="K214" t="b">
            <v>0</v>
          </cell>
          <cell r="L214" t="b">
            <v>0</v>
          </cell>
          <cell r="M214" t="b">
            <v>0</v>
          </cell>
          <cell r="N214" t="b">
            <v>0</v>
          </cell>
          <cell r="O214" t="b">
            <v>0</v>
          </cell>
          <cell r="P214" t="b">
            <v>0</v>
          </cell>
          <cell r="Q214" t="b">
            <v>0</v>
          </cell>
          <cell r="W214" t="e">
            <v>#REF!</v>
          </cell>
        </row>
        <row r="215">
          <cell r="H215" t="b">
            <v>0</v>
          </cell>
          <cell r="I215" t="b">
            <v>0</v>
          </cell>
          <cell r="J215" t="b">
            <v>0</v>
          </cell>
          <cell r="K215" t="b">
            <v>0</v>
          </cell>
          <cell r="L215" t="b">
            <v>0</v>
          </cell>
          <cell r="M215" t="b">
            <v>0</v>
          </cell>
          <cell r="N215" t="b">
            <v>0</v>
          </cell>
          <cell r="O215" t="b">
            <v>0</v>
          </cell>
          <cell r="P215" t="b">
            <v>0</v>
          </cell>
          <cell r="Q215" t="b">
            <v>0</v>
          </cell>
          <cell r="W215" t="e">
            <v>#REF!</v>
          </cell>
        </row>
        <row r="216">
          <cell r="H216" t="b">
            <v>0</v>
          </cell>
          <cell r="I216" t="b">
            <v>0</v>
          </cell>
          <cell r="J216" t="b">
            <v>0</v>
          </cell>
          <cell r="K216" t="b">
            <v>0</v>
          </cell>
          <cell r="L216" t="b">
            <v>0</v>
          </cell>
          <cell r="M216" t="b">
            <v>0</v>
          </cell>
          <cell r="N216" t="b">
            <v>0</v>
          </cell>
          <cell r="O216" t="b">
            <v>0</v>
          </cell>
          <cell r="P216" t="b">
            <v>0</v>
          </cell>
          <cell r="Q216" t="b">
            <v>0</v>
          </cell>
          <cell r="W216" t="e">
            <v>#REF!</v>
          </cell>
        </row>
        <row r="217">
          <cell r="H217" t="b">
            <v>0</v>
          </cell>
          <cell r="I217" t="b">
            <v>0</v>
          </cell>
          <cell r="J217" t="b">
            <v>0</v>
          </cell>
          <cell r="K217" t="b">
            <v>0</v>
          </cell>
          <cell r="L217" t="b">
            <v>0</v>
          </cell>
          <cell r="M217" t="b">
            <v>0</v>
          </cell>
          <cell r="N217" t="b">
            <v>0</v>
          </cell>
          <cell r="O217" t="b">
            <v>0</v>
          </cell>
          <cell r="P217" t="b">
            <v>0</v>
          </cell>
          <cell r="Q217" t="b">
            <v>0</v>
          </cell>
          <cell r="W217" t="e">
            <v>#REF!</v>
          </cell>
        </row>
        <row r="218">
          <cell r="H218" t="b">
            <v>0</v>
          </cell>
          <cell r="I218" t="b">
            <v>0</v>
          </cell>
          <cell r="J218" t="b">
            <v>0</v>
          </cell>
          <cell r="K218" t="b">
            <v>0</v>
          </cell>
          <cell r="L218" t="b">
            <v>0</v>
          </cell>
          <cell r="M218" t="b">
            <v>0</v>
          </cell>
          <cell r="N218" t="b">
            <v>0</v>
          </cell>
          <cell r="O218" t="b">
            <v>0</v>
          </cell>
          <cell r="P218" t="b">
            <v>0</v>
          </cell>
          <cell r="Q218" t="b">
            <v>0</v>
          </cell>
          <cell r="W218" t="e">
            <v>#REF!</v>
          </cell>
        </row>
        <row r="219">
          <cell r="H219" t="b">
            <v>0</v>
          </cell>
          <cell r="I219" t="b">
            <v>0</v>
          </cell>
          <cell r="J219" t="b">
            <v>0</v>
          </cell>
          <cell r="K219" t="b">
            <v>0</v>
          </cell>
          <cell r="L219" t="b">
            <v>0</v>
          </cell>
          <cell r="M219" t="b">
            <v>0</v>
          </cell>
          <cell r="N219" t="b">
            <v>0</v>
          </cell>
          <cell r="O219" t="b">
            <v>0</v>
          </cell>
          <cell r="P219" t="b">
            <v>0</v>
          </cell>
          <cell r="Q219" t="b">
            <v>0</v>
          </cell>
          <cell r="W219" t="e">
            <v>#REF!</v>
          </cell>
        </row>
        <row r="220">
          <cell r="H220" t="b">
            <v>0</v>
          </cell>
          <cell r="I220" t="b">
            <v>0</v>
          </cell>
          <cell r="J220" t="b">
            <v>0</v>
          </cell>
          <cell r="K220" t="b">
            <v>0</v>
          </cell>
          <cell r="L220" t="b">
            <v>0</v>
          </cell>
          <cell r="M220" t="b">
            <v>0</v>
          </cell>
          <cell r="N220" t="b">
            <v>0</v>
          </cell>
          <cell r="O220" t="b">
            <v>0</v>
          </cell>
          <cell r="P220" t="b">
            <v>0</v>
          </cell>
          <cell r="Q220" t="b">
            <v>0</v>
          </cell>
          <cell r="W220" t="e">
            <v>#REF!</v>
          </cell>
        </row>
        <row r="221">
          <cell r="H221" t="b">
            <v>0</v>
          </cell>
          <cell r="I221" t="b">
            <v>0</v>
          </cell>
          <cell r="J221" t="b">
            <v>0</v>
          </cell>
          <cell r="K221" t="b">
            <v>0</v>
          </cell>
          <cell r="L221" t="b">
            <v>0</v>
          </cell>
          <cell r="M221" t="b">
            <v>0</v>
          </cell>
          <cell r="N221" t="b">
            <v>0</v>
          </cell>
          <cell r="O221" t="b">
            <v>0</v>
          </cell>
          <cell r="P221" t="b">
            <v>0</v>
          </cell>
          <cell r="Q221" t="b">
            <v>0</v>
          </cell>
          <cell r="W221" t="e">
            <v>#REF!</v>
          </cell>
        </row>
        <row r="222">
          <cell r="H222" t="b">
            <v>0</v>
          </cell>
          <cell r="I222" t="b">
            <v>0</v>
          </cell>
          <cell r="J222" t="b">
            <v>0</v>
          </cell>
          <cell r="K222" t="b">
            <v>0</v>
          </cell>
          <cell r="L222" t="b">
            <v>0</v>
          </cell>
          <cell r="M222" t="b">
            <v>0</v>
          </cell>
          <cell r="N222" t="b">
            <v>0</v>
          </cell>
          <cell r="O222" t="b">
            <v>0</v>
          </cell>
          <cell r="P222" t="b">
            <v>0</v>
          </cell>
          <cell r="Q222" t="b">
            <v>0</v>
          </cell>
          <cell r="W222" t="e">
            <v>#REF!</v>
          </cell>
        </row>
        <row r="223">
          <cell r="H223" t="b">
            <v>0</v>
          </cell>
          <cell r="I223" t="b">
            <v>0</v>
          </cell>
          <cell r="J223" t="b">
            <v>0</v>
          </cell>
          <cell r="K223" t="b">
            <v>0</v>
          </cell>
          <cell r="L223" t="b">
            <v>0</v>
          </cell>
          <cell r="M223" t="b">
            <v>0</v>
          </cell>
          <cell r="N223" t="b">
            <v>0</v>
          </cell>
          <cell r="O223" t="b">
            <v>0</v>
          </cell>
          <cell r="P223" t="b">
            <v>0</v>
          </cell>
          <cell r="Q223" t="b">
            <v>0</v>
          </cell>
          <cell r="W223" t="e">
            <v>#REF!</v>
          </cell>
        </row>
        <row r="224">
          <cell r="H224" t="b">
            <v>0</v>
          </cell>
          <cell r="I224" t="b">
            <v>0</v>
          </cell>
          <cell r="J224" t="b">
            <v>0</v>
          </cell>
          <cell r="K224" t="b">
            <v>0</v>
          </cell>
          <cell r="L224" t="b">
            <v>0</v>
          </cell>
          <cell r="M224" t="b">
            <v>0</v>
          </cell>
          <cell r="N224" t="b">
            <v>0</v>
          </cell>
          <cell r="O224" t="b">
            <v>0</v>
          </cell>
          <cell r="P224" t="b">
            <v>0</v>
          </cell>
          <cell r="Q224" t="b">
            <v>0</v>
          </cell>
          <cell r="W224" t="e">
            <v>#REF!</v>
          </cell>
        </row>
        <row r="225">
          <cell r="H225" t="b">
            <v>0</v>
          </cell>
          <cell r="I225" t="b">
            <v>0</v>
          </cell>
          <cell r="J225" t="b">
            <v>0</v>
          </cell>
          <cell r="K225" t="b">
            <v>0</v>
          </cell>
          <cell r="L225" t="b">
            <v>0</v>
          </cell>
          <cell r="M225" t="b">
            <v>0</v>
          </cell>
          <cell r="N225" t="b">
            <v>0</v>
          </cell>
          <cell r="O225" t="b">
            <v>0</v>
          </cell>
          <cell r="P225" t="b">
            <v>0</v>
          </cell>
          <cell r="Q225" t="b">
            <v>0</v>
          </cell>
          <cell r="W225" t="e">
            <v>#REF!</v>
          </cell>
        </row>
        <row r="226">
          <cell r="H226" t="b">
            <v>0</v>
          </cell>
          <cell r="I226" t="b">
            <v>0</v>
          </cell>
          <cell r="J226" t="b">
            <v>0</v>
          </cell>
          <cell r="K226" t="b">
            <v>0</v>
          </cell>
          <cell r="L226" t="b">
            <v>0</v>
          </cell>
          <cell r="M226" t="b">
            <v>0</v>
          </cell>
          <cell r="N226" t="b">
            <v>0</v>
          </cell>
          <cell r="O226" t="b">
            <v>0</v>
          </cell>
          <cell r="P226" t="b">
            <v>0</v>
          </cell>
          <cell r="Q226" t="b">
            <v>0</v>
          </cell>
          <cell r="W226" t="e">
            <v>#REF!</v>
          </cell>
        </row>
        <row r="227">
          <cell r="H227" t="b">
            <v>0</v>
          </cell>
          <cell r="I227" t="b">
            <v>0</v>
          </cell>
          <cell r="J227" t="b">
            <v>0</v>
          </cell>
          <cell r="K227" t="b">
            <v>0</v>
          </cell>
          <cell r="L227" t="b">
            <v>0</v>
          </cell>
          <cell r="M227" t="b">
            <v>0</v>
          </cell>
          <cell r="N227" t="b">
            <v>0</v>
          </cell>
          <cell r="O227" t="b">
            <v>0</v>
          </cell>
          <cell r="P227" t="b">
            <v>0</v>
          </cell>
          <cell r="Q227" t="b">
            <v>0</v>
          </cell>
          <cell r="W227" t="e">
            <v>#REF!</v>
          </cell>
        </row>
        <row r="228">
          <cell r="H228" t="b">
            <v>0</v>
          </cell>
          <cell r="I228" t="b">
            <v>0</v>
          </cell>
          <cell r="J228" t="b">
            <v>0</v>
          </cell>
          <cell r="K228" t="b">
            <v>0</v>
          </cell>
          <cell r="L228" t="b">
            <v>0</v>
          </cell>
          <cell r="M228" t="b">
            <v>0</v>
          </cell>
          <cell r="N228" t="b">
            <v>0</v>
          </cell>
          <cell r="O228" t="b">
            <v>0</v>
          </cell>
          <cell r="P228" t="b">
            <v>0</v>
          </cell>
          <cell r="Q228" t="b">
            <v>0</v>
          </cell>
          <cell r="W228" t="e">
            <v>#REF!</v>
          </cell>
        </row>
        <row r="229">
          <cell r="H229" t="b">
            <v>0</v>
          </cell>
          <cell r="I229" t="b">
            <v>0</v>
          </cell>
          <cell r="J229" t="b">
            <v>0</v>
          </cell>
          <cell r="K229" t="b">
            <v>0</v>
          </cell>
          <cell r="L229" t="b">
            <v>0</v>
          </cell>
          <cell r="M229" t="b">
            <v>0</v>
          </cell>
          <cell r="N229" t="b">
            <v>0</v>
          </cell>
          <cell r="O229" t="b">
            <v>0</v>
          </cell>
          <cell r="P229" t="b">
            <v>0</v>
          </cell>
          <cell r="Q229" t="b">
            <v>0</v>
          </cell>
          <cell r="W229" t="e">
            <v>#REF!</v>
          </cell>
        </row>
        <row r="230">
          <cell r="H230" t="b">
            <v>0</v>
          </cell>
          <cell r="I230" t="b">
            <v>0</v>
          </cell>
          <cell r="J230" t="b">
            <v>0</v>
          </cell>
          <cell r="K230" t="b">
            <v>0</v>
          </cell>
          <cell r="L230" t="b">
            <v>0</v>
          </cell>
          <cell r="M230" t="b">
            <v>0</v>
          </cell>
          <cell r="N230" t="b">
            <v>0</v>
          </cell>
          <cell r="O230" t="b">
            <v>0</v>
          </cell>
          <cell r="P230" t="b">
            <v>0</v>
          </cell>
          <cell r="Q230" t="b">
            <v>0</v>
          </cell>
          <cell r="W230" t="e">
            <v>#REF!</v>
          </cell>
        </row>
        <row r="231">
          <cell r="H231" t="b">
            <v>0</v>
          </cell>
          <cell r="I231" t="b">
            <v>0</v>
          </cell>
          <cell r="J231" t="b">
            <v>0</v>
          </cell>
          <cell r="K231" t="b">
            <v>0</v>
          </cell>
          <cell r="L231" t="b">
            <v>0</v>
          </cell>
          <cell r="M231" t="b">
            <v>0</v>
          </cell>
          <cell r="N231" t="b">
            <v>0</v>
          </cell>
          <cell r="O231" t="b">
            <v>0</v>
          </cell>
          <cell r="P231" t="b">
            <v>0</v>
          </cell>
          <cell r="Q231" t="b">
            <v>0</v>
          </cell>
          <cell r="W231" t="e">
            <v>#REF!</v>
          </cell>
        </row>
        <row r="232">
          <cell r="H232" t="b">
            <v>0</v>
          </cell>
          <cell r="I232" t="b">
            <v>0</v>
          </cell>
          <cell r="J232" t="b">
            <v>0</v>
          </cell>
          <cell r="K232" t="b">
            <v>0</v>
          </cell>
          <cell r="L232" t="b">
            <v>0</v>
          </cell>
          <cell r="M232" t="b">
            <v>0</v>
          </cell>
          <cell r="N232" t="b">
            <v>0</v>
          </cell>
          <cell r="O232" t="b">
            <v>0</v>
          </cell>
          <cell r="P232" t="b">
            <v>0</v>
          </cell>
          <cell r="Q232" t="b">
            <v>0</v>
          </cell>
          <cell r="W232" t="e">
            <v>#REF!</v>
          </cell>
        </row>
        <row r="233">
          <cell r="H233" t="b">
            <v>0</v>
          </cell>
          <cell r="I233" t="b">
            <v>0</v>
          </cell>
          <cell r="J233" t="b">
            <v>0</v>
          </cell>
          <cell r="K233" t="b">
            <v>0</v>
          </cell>
          <cell r="L233" t="b">
            <v>0</v>
          </cell>
          <cell r="M233" t="b">
            <v>0</v>
          </cell>
          <cell r="N233" t="b">
            <v>0</v>
          </cell>
          <cell r="O233" t="b">
            <v>0</v>
          </cell>
          <cell r="P233" t="b">
            <v>0</v>
          </cell>
          <cell r="Q233" t="b">
            <v>0</v>
          </cell>
          <cell r="W233" t="e">
            <v>#REF!</v>
          </cell>
        </row>
        <row r="234">
          <cell r="H234" t="b">
            <v>0</v>
          </cell>
          <cell r="I234" t="b">
            <v>0</v>
          </cell>
          <cell r="J234" t="b">
            <v>0</v>
          </cell>
          <cell r="K234" t="b">
            <v>0</v>
          </cell>
          <cell r="L234" t="b">
            <v>0</v>
          </cell>
          <cell r="M234" t="b">
            <v>0</v>
          </cell>
          <cell r="N234" t="b">
            <v>0</v>
          </cell>
          <cell r="O234" t="b">
            <v>0</v>
          </cell>
          <cell r="P234" t="b">
            <v>0</v>
          </cell>
          <cell r="Q234" t="b">
            <v>0</v>
          </cell>
          <cell r="W234" t="e">
            <v>#REF!</v>
          </cell>
        </row>
        <row r="235">
          <cell r="H235" t="b">
            <v>0</v>
          </cell>
          <cell r="I235" t="b">
            <v>0</v>
          </cell>
          <cell r="J235" t="b">
            <v>0</v>
          </cell>
          <cell r="K235" t="b">
            <v>0</v>
          </cell>
          <cell r="L235" t="b">
            <v>0</v>
          </cell>
          <cell r="M235" t="b">
            <v>0</v>
          </cell>
          <cell r="N235" t="b">
            <v>0</v>
          </cell>
          <cell r="O235" t="b">
            <v>0</v>
          </cell>
          <cell r="P235" t="b">
            <v>0</v>
          </cell>
          <cell r="Q235" t="b">
            <v>0</v>
          </cell>
          <cell r="W235" t="e">
            <v>#REF!</v>
          </cell>
        </row>
        <row r="236">
          <cell r="H236" t="b">
            <v>0</v>
          </cell>
          <cell r="I236" t="b">
            <v>0</v>
          </cell>
          <cell r="J236" t="b">
            <v>0</v>
          </cell>
          <cell r="K236" t="b">
            <v>0</v>
          </cell>
          <cell r="L236" t="b">
            <v>0</v>
          </cell>
          <cell r="M236" t="b">
            <v>0</v>
          </cell>
          <cell r="N236" t="b">
            <v>0</v>
          </cell>
          <cell r="O236" t="b">
            <v>0</v>
          </cell>
          <cell r="P236" t="b">
            <v>0</v>
          </cell>
          <cell r="Q236" t="b">
            <v>0</v>
          </cell>
          <cell r="W236" t="e">
            <v>#REF!</v>
          </cell>
        </row>
        <row r="237">
          <cell r="H237" t="b">
            <v>0</v>
          </cell>
          <cell r="I237" t="b">
            <v>0</v>
          </cell>
          <cell r="J237" t="b">
            <v>0</v>
          </cell>
          <cell r="K237" t="b">
            <v>0</v>
          </cell>
          <cell r="L237" t="b">
            <v>0</v>
          </cell>
          <cell r="M237" t="b">
            <v>0</v>
          </cell>
          <cell r="N237" t="b">
            <v>0</v>
          </cell>
          <cell r="O237" t="b">
            <v>0</v>
          </cell>
          <cell r="P237" t="b">
            <v>0</v>
          </cell>
          <cell r="Q237" t="b">
            <v>0</v>
          </cell>
          <cell r="W237" t="e">
            <v>#REF!</v>
          </cell>
        </row>
        <row r="238">
          <cell r="H238" t="b">
            <v>0</v>
          </cell>
          <cell r="I238" t="b">
            <v>0</v>
          </cell>
          <cell r="J238" t="b">
            <v>0</v>
          </cell>
          <cell r="K238" t="b">
            <v>0</v>
          </cell>
          <cell r="L238" t="b">
            <v>0</v>
          </cell>
          <cell r="M238" t="b">
            <v>0</v>
          </cell>
          <cell r="N238" t="b">
            <v>0</v>
          </cell>
          <cell r="O238" t="b">
            <v>0</v>
          </cell>
          <cell r="P238" t="b">
            <v>0</v>
          </cell>
          <cell r="Q238" t="b">
            <v>0</v>
          </cell>
          <cell r="W238" t="e">
            <v>#REF!</v>
          </cell>
        </row>
        <row r="239">
          <cell r="H239" t="b">
            <v>0</v>
          </cell>
          <cell r="I239" t="b">
            <v>0</v>
          </cell>
          <cell r="J239" t="b">
            <v>0</v>
          </cell>
          <cell r="K239" t="b">
            <v>0</v>
          </cell>
          <cell r="L239" t="b">
            <v>0</v>
          </cell>
          <cell r="M239" t="b">
            <v>0</v>
          </cell>
          <cell r="N239" t="b">
            <v>0</v>
          </cell>
          <cell r="O239" t="b">
            <v>0</v>
          </cell>
          <cell r="P239" t="b">
            <v>0</v>
          </cell>
          <cell r="Q239" t="b">
            <v>0</v>
          </cell>
          <cell r="W239" t="e">
            <v>#REF!</v>
          </cell>
        </row>
        <row r="240">
          <cell r="H240" t="b">
            <v>0</v>
          </cell>
          <cell r="I240" t="b">
            <v>0</v>
          </cell>
          <cell r="J240" t="b">
            <v>0</v>
          </cell>
          <cell r="K240" t="b">
            <v>0</v>
          </cell>
          <cell r="L240" t="b">
            <v>0</v>
          </cell>
          <cell r="M240" t="b">
            <v>0</v>
          </cell>
          <cell r="N240" t="b">
            <v>0</v>
          </cell>
          <cell r="O240" t="b">
            <v>0</v>
          </cell>
          <cell r="P240" t="b">
            <v>0</v>
          </cell>
          <cell r="Q240" t="b">
            <v>0</v>
          </cell>
          <cell r="W240" t="e">
            <v>#REF!</v>
          </cell>
        </row>
        <row r="241">
          <cell r="H241" t="b">
            <v>0</v>
          </cell>
          <cell r="I241" t="b">
            <v>0</v>
          </cell>
          <cell r="J241" t="b">
            <v>0</v>
          </cell>
          <cell r="K241" t="b">
            <v>0</v>
          </cell>
          <cell r="L241" t="b">
            <v>0</v>
          </cell>
          <cell r="M241" t="b">
            <v>0</v>
          </cell>
          <cell r="N241" t="b">
            <v>0</v>
          </cell>
          <cell r="O241" t="b">
            <v>0</v>
          </cell>
          <cell r="P241" t="b">
            <v>0</v>
          </cell>
          <cell r="Q241" t="b">
            <v>0</v>
          </cell>
          <cell r="W241" t="e">
            <v>#REF!</v>
          </cell>
        </row>
        <row r="242">
          <cell r="H242" t="b">
            <v>0</v>
          </cell>
          <cell r="I242" t="b">
            <v>0</v>
          </cell>
          <cell r="J242" t="b">
            <v>0</v>
          </cell>
          <cell r="K242" t="b">
            <v>0</v>
          </cell>
          <cell r="L242" t="b">
            <v>0</v>
          </cell>
          <cell r="M242" t="b">
            <v>0</v>
          </cell>
          <cell r="N242" t="b">
            <v>0</v>
          </cell>
          <cell r="O242" t="b">
            <v>0</v>
          </cell>
          <cell r="P242" t="b">
            <v>0</v>
          </cell>
          <cell r="Q242" t="b">
            <v>0</v>
          </cell>
          <cell r="W242" t="e">
            <v>#REF!</v>
          </cell>
        </row>
        <row r="243">
          <cell r="H243" t="b">
            <v>0</v>
          </cell>
          <cell r="I243" t="b">
            <v>0</v>
          </cell>
          <cell r="J243" t="b">
            <v>0</v>
          </cell>
          <cell r="K243" t="b">
            <v>0</v>
          </cell>
          <cell r="L243" t="b">
            <v>0</v>
          </cell>
          <cell r="M243" t="b">
            <v>0</v>
          </cell>
          <cell r="N243" t="b">
            <v>0</v>
          </cell>
          <cell r="O243" t="b">
            <v>0</v>
          </cell>
          <cell r="P243" t="b">
            <v>0</v>
          </cell>
          <cell r="Q243" t="b">
            <v>0</v>
          </cell>
          <cell r="W243" t="e">
            <v>#REF!</v>
          </cell>
        </row>
        <row r="244">
          <cell r="H244" t="b">
            <v>0</v>
          </cell>
          <cell r="I244" t="b">
            <v>0</v>
          </cell>
          <cell r="J244" t="b">
            <v>0</v>
          </cell>
          <cell r="K244" t="b">
            <v>0</v>
          </cell>
          <cell r="L244" t="b">
            <v>0</v>
          </cell>
          <cell r="M244" t="b">
            <v>0</v>
          </cell>
          <cell r="N244" t="b">
            <v>0</v>
          </cell>
          <cell r="O244" t="b">
            <v>0</v>
          </cell>
          <cell r="P244" t="b">
            <v>0</v>
          </cell>
          <cell r="Q244" t="b">
            <v>0</v>
          </cell>
          <cell r="W244" t="e">
            <v>#REF!</v>
          </cell>
        </row>
        <row r="245">
          <cell r="H245" t="b">
            <v>0</v>
          </cell>
          <cell r="I245" t="b">
            <v>0</v>
          </cell>
          <cell r="J245" t="b">
            <v>0</v>
          </cell>
          <cell r="K245" t="b">
            <v>0</v>
          </cell>
          <cell r="L245" t="b">
            <v>0</v>
          </cell>
          <cell r="M245" t="b">
            <v>0</v>
          </cell>
          <cell r="N245" t="b">
            <v>0</v>
          </cell>
          <cell r="O245" t="b">
            <v>0</v>
          </cell>
          <cell r="P245" t="b">
            <v>0</v>
          </cell>
          <cell r="Q245" t="b">
            <v>0</v>
          </cell>
          <cell r="W245" t="e">
            <v>#REF!</v>
          </cell>
        </row>
        <row r="246">
          <cell r="H246" t="b">
            <v>0</v>
          </cell>
          <cell r="I246" t="b">
            <v>0</v>
          </cell>
          <cell r="J246" t="b">
            <v>0</v>
          </cell>
          <cell r="K246" t="b">
            <v>0</v>
          </cell>
          <cell r="L246" t="b">
            <v>0</v>
          </cell>
          <cell r="M246" t="b">
            <v>0</v>
          </cell>
          <cell r="N246" t="b">
            <v>0</v>
          </cell>
          <cell r="O246" t="b">
            <v>0</v>
          </cell>
          <cell r="P246" t="b">
            <v>0</v>
          </cell>
          <cell r="Q246" t="b">
            <v>0</v>
          </cell>
          <cell r="W246" t="e">
            <v>#REF!</v>
          </cell>
        </row>
        <row r="247">
          <cell r="H247" t="b">
            <v>0</v>
          </cell>
          <cell r="I247" t="b">
            <v>0</v>
          </cell>
          <cell r="J247" t="b">
            <v>0</v>
          </cell>
          <cell r="K247" t="b">
            <v>0</v>
          </cell>
          <cell r="L247" t="b">
            <v>0</v>
          </cell>
          <cell r="M247" t="b">
            <v>0</v>
          </cell>
          <cell r="N247" t="b">
            <v>0</v>
          </cell>
          <cell r="O247" t="b">
            <v>0</v>
          </cell>
          <cell r="P247" t="b">
            <v>0</v>
          </cell>
          <cell r="Q247" t="b">
            <v>0</v>
          </cell>
          <cell r="W247" t="e">
            <v>#REF!</v>
          </cell>
        </row>
        <row r="248">
          <cell r="H248" t="b">
            <v>0</v>
          </cell>
          <cell r="I248" t="b">
            <v>0</v>
          </cell>
          <cell r="J248" t="b">
            <v>0</v>
          </cell>
          <cell r="K248" t="b">
            <v>0</v>
          </cell>
          <cell r="L248" t="b">
            <v>0</v>
          </cell>
          <cell r="M248" t="b">
            <v>0</v>
          </cell>
          <cell r="N248" t="b">
            <v>0</v>
          </cell>
          <cell r="O248" t="b">
            <v>0</v>
          </cell>
          <cell r="P248" t="b">
            <v>0</v>
          </cell>
          <cell r="Q248" t="b">
            <v>0</v>
          </cell>
          <cell r="W248" t="e">
            <v>#REF!</v>
          </cell>
        </row>
        <row r="249">
          <cell r="H249" t="b">
            <v>0</v>
          </cell>
          <cell r="I249" t="b">
            <v>0</v>
          </cell>
          <cell r="J249" t="b">
            <v>0</v>
          </cell>
          <cell r="K249" t="b">
            <v>0</v>
          </cell>
          <cell r="L249" t="b">
            <v>0</v>
          </cell>
          <cell r="M249" t="b">
            <v>0</v>
          </cell>
          <cell r="N249" t="b">
            <v>0</v>
          </cell>
          <cell r="O249" t="b">
            <v>0</v>
          </cell>
          <cell r="P249" t="b">
            <v>0</v>
          </cell>
          <cell r="Q249" t="b">
            <v>0</v>
          </cell>
          <cell r="W249" t="e">
            <v>#REF!</v>
          </cell>
        </row>
        <row r="250">
          <cell r="H250" t="b">
            <v>0</v>
          </cell>
          <cell r="I250" t="b">
            <v>0</v>
          </cell>
          <cell r="J250" t="b">
            <v>0</v>
          </cell>
          <cell r="K250" t="b">
            <v>0</v>
          </cell>
          <cell r="L250" t="b">
            <v>0</v>
          </cell>
          <cell r="M250" t="b">
            <v>0</v>
          </cell>
          <cell r="N250" t="b">
            <v>0</v>
          </cell>
          <cell r="O250" t="b">
            <v>0</v>
          </cell>
          <cell r="P250" t="b">
            <v>0</v>
          </cell>
          <cell r="Q250" t="b">
            <v>0</v>
          </cell>
          <cell r="W250" t="e">
            <v>#REF!</v>
          </cell>
        </row>
        <row r="251">
          <cell r="H251" t="b">
            <v>0</v>
          </cell>
          <cell r="I251" t="b">
            <v>0</v>
          </cell>
          <cell r="J251" t="b">
            <v>0</v>
          </cell>
          <cell r="K251" t="b">
            <v>0</v>
          </cell>
          <cell r="L251" t="b">
            <v>0</v>
          </cell>
          <cell r="M251" t="b">
            <v>0</v>
          </cell>
          <cell r="N251" t="b">
            <v>0</v>
          </cell>
          <cell r="O251" t="b">
            <v>0</v>
          </cell>
          <cell r="P251" t="b">
            <v>0</v>
          </cell>
          <cell r="Q251" t="b">
            <v>0</v>
          </cell>
          <cell r="W251" t="e">
            <v>#REF!</v>
          </cell>
        </row>
        <row r="252">
          <cell r="H252" t="b">
            <v>0</v>
          </cell>
          <cell r="I252" t="b">
            <v>0</v>
          </cell>
          <cell r="J252" t="b">
            <v>0</v>
          </cell>
          <cell r="K252" t="b">
            <v>0</v>
          </cell>
          <cell r="L252" t="b">
            <v>0</v>
          </cell>
          <cell r="M252" t="b">
            <v>0</v>
          </cell>
          <cell r="N252" t="b">
            <v>0</v>
          </cell>
          <cell r="O252" t="b">
            <v>0</v>
          </cell>
          <cell r="P252" t="b">
            <v>0</v>
          </cell>
          <cell r="Q252" t="b">
            <v>0</v>
          </cell>
          <cell r="W252" t="e">
            <v>#REF!</v>
          </cell>
        </row>
        <row r="253">
          <cell r="H253" t="b">
            <v>0</v>
          </cell>
          <cell r="I253" t="b">
            <v>0</v>
          </cell>
          <cell r="J253" t="b">
            <v>0</v>
          </cell>
          <cell r="K253" t="b">
            <v>0</v>
          </cell>
          <cell r="L253" t="b">
            <v>0</v>
          </cell>
          <cell r="M253" t="b">
            <v>0</v>
          </cell>
          <cell r="N253" t="b">
            <v>0</v>
          </cell>
          <cell r="O253" t="b">
            <v>0</v>
          </cell>
          <cell r="P253" t="b">
            <v>0</v>
          </cell>
          <cell r="Q253" t="b">
            <v>0</v>
          </cell>
          <cell r="W253" t="e">
            <v>#REF!</v>
          </cell>
        </row>
        <row r="254">
          <cell r="H254" t="b">
            <v>0</v>
          </cell>
          <cell r="I254" t="b">
            <v>0</v>
          </cell>
          <cell r="J254" t="b">
            <v>0</v>
          </cell>
          <cell r="K254" t="b">
            <v>0</v>
          </cell>
          <cell r="L254" t="b">
            <v>0</v>
          </cell>
          <cell r="M254" t="b">
            <v>0</v>
          </cell>
          <cell r="N254" t="b">
            <v>0</v>
          </cell>
          <cell r="O254" t="b">
            <v>0</v>
          </cell>
          <cell r="P254" t="b">
            <v>0</v>
          </cell>
          <cell r="Q254" t="b">
            <v>0</v>
          </cell>
          <cell r="W254" t="e">
            <v>#REF!</v>
          </cell>
        </row>
        <row r="255">
          <cell r="H255" t="b">
            <v>0</v>
          </cell>
          <cell r="I255" t="b">
            <v>0</v>
          </cell>
          <cell r="J255" t="b">
            <v>0</v>
          </cell>
          <cell r="K255" t="b">
            <v>0</v>
          </cell>
          <cell r="L255" t="b">
            <v>0</v>
          </cell>
          <cell r="M255" t="b">
            <v>0</v>
          </cell>
          <cell r="N255" t="b">
            <v>0</v>
          </cell>
          <cell r="O255" t="b">
            <v>0</v>
          </cell>
          <cell r="P255" t="b">
            <v>0</v>
          </cell>
          <cell r="Q255" t="b">
            <v>0</v>
          </cell>
          <cell r="W255" t="e">
            <v>#REF!</v>
          </cell>
        </row>
        <row r="256">
          <cell r="H256" t="b">
            <v>0</v>
          </cell>
          <cell r="I256" t="b">
            <v>0</v>
          </cell>
          <cell r="J256" t="b">
            <v>0</v>
          </cell>
          <cell r="K256" t="b">
            <v>0</v>
          </cell>
          <cell r="L256" t="b">
            <v>0</v>
          </cell>
          <cell r="M256" t="b">
            <v>0</v>
          </cell>
          <cell r="N256" t="b">
            <v>0</v>
          </cell>
          <cell r="O256" t="b">
            <v>0</v>
          </cell>
          <cell r="P256" t="b">
            <v>0</v>
          </cell>
          <cell r="Q256" t="b">
            <v>0</v>
          </cell>
          <cell r="W256" t="e">
            <v>#REF!</v>
          </cell>
        </row>
        <row r="257">
          <cell r="H257" t="b">
            <v>0</v>
          </cell>
          <cell r="I257" t="b">
            <v>0</v>
          </cell>
          <cell r="J257" t="b">
            <v>0</v>
          </cell>
          <cell r="K257" t="b">
            <v>0</v>
          </cell>
          <cell r="L257" t="b">
            <v>0</v>
          </cell>
          <cell r="M257" t="b">
            <v>0</v>
          </cell>
          <cell r="N257" t="b">
            <v>0</v>
          </cell>
          <cell r="O257" t="b">
            <v>0</v>
          </cell>
          <cell r="P257" t="b">
            <v>0</v>
          </cell>
          <cell r="Q257" t="b">
            <v>0</v>
          </cell>
          <cell r="W257" t="e">
            <v>#REF!</v>
          </cell>
        </row>
        <row r="258">
          <cell r="H258" t="b">
            <v>0</v>
          </cell>
          <cell r="I258" t="b">
            <v>0</v>
          </cell>
          <cell r="J258" t="b">
            <v>0</v>
          </cell>
          <cell r="K258" t="b">
            <v>0</v>
          </cell>
          <cell r="L258" t="b">
            <v>0</v>
          </cell>
          <cell r="M258" t="b">
            <v>0</v>
          </cell>
          <cell r="N258" t="b">
            <v>0</v>
          </cell>
          <cell r="O258" t="b">
            <v>0</v>
          </cell>
          <cell r="P258" t="b">
            <v>0</v>
          </cell>
          <cell r="Q258" t="b">
            <v>0</v>
          </cell>
          <cell r="W258" t="e">
            <v>#REF!</v>
          </cell>
        </row>
        <row r="259">
          <cell r="H259" t="b">
            <v>0</v>
          </cell>
          <cell r="I259" t="b">
            <v>0</v>
          </cell>
          <cell r="J259" t="b">
            <v>0</v>
          </cell>
          <cell r="K259" t="b">
            <v>0</v>
          </cell>
          <cell r="L259" t="b">
            <v>0</v>
          </cell>
          <cell r="M259" t="b">
            <v>0</v>
          </cell>
          <cell r="N259" t="b">
            <v>0</v>
          </cell>
          <cell r="O259" t="b">
            <v>0</v>
          </cell>
          <cell r="P259" t="b">
            <v>0</v>
          </cell>
          <cell r="Q259" t="b">
            <v>0</v>
          </cell>
          <cell r="W259" t="e">
            <v>#REF!</v>
          </cell>
        </row>
        <row r="260">
          <cell r="H260" t="b">
            <v>0</v>
          </cell>
          <cell r="I260" t="b">
            <v>0</v>
          </cell>
          <cell r="J260" t="b">
            <v>0</v>
          </cell>
          <cell r="K260" t="b">
            <v>0</v>
          </cell>
          <cell r="L260" t="b">
            <v>0</v>
          </cell>
          <cell r="M260" t="b">
            <v>0</v>
          </cell>
          <cell r="N260" t="b">
            <v>0</v>
          </cell>
          <cell r="O260" t="b">
            <v>0</v>
          </cell>
          <cell r="P260" t="b">
            <v>0</v>
          </cell>
          <cell r="Q260" t="b">
            <v>0</v>
          </cell>
          <cell r="W260" t="e">
            <v>#REF!</v>
          </cell>
        </row>
        <row r="261">
          <cell r="H261" t="b">
            <v>0</v>
          </cell>
          <cell r="I261" t="b">
            <v>0</v>
          </cell>
          <cell r="J261" t="b">
            <v>0</v>
          </cell>
          <cell r="K261" t="b">
            <v>0</v>
          </cell>
          <cell r="L261" t="b">
            <v>0</v>
          </cell>
          <cell r="M261" t="b">
            <v>0</v>
          </cell>
          <cell r="N261" t="b">
            <v>0</v>
          </cell>
          <cell r="O261" t="b">
            <v>0</v>
          </cell>
          <cell r="P261" t="b">
            <v>0</v>
          </cell>
          <cell r="Q261" t="b">
            <v>0</v>
          </cell>
          <cell r="W261" t="e">
            <v>#REF!</v>
          </cell>
        </row>
        <row r="262">
          <cell r="H262" t="b">
            <v>0</v>
          </cell>
          <cell r="I262" t="b">
            <v>0</v>
          </cell>
          <cell r="J262" t="b">
            <v>0</v>
          </cell>
          <cell r="K262" t="b">
            <v>0</v>
          </cell>
          <cell r="L262" t="b">
            <v>0</v>
          </cell>
          <cell r="M262" t="b">
            <v>0</v>
          </cell>
          <cell r="N262" t="b">
            <v>0</v>
          </cell>
          <cell r="O262" t="b">
            <v>0</v>
          </cell>
          <cell r="P262" t="b">
            <v>0</v>
          </cell>
          <cell r="Q262" t="b">
            <v>0</v>
          </cell>
          <cell r="W262" t="e">
            <v>#REF!</v>
          </cell>
        </row>
        <row r="263">
          <cell r="H263" t="b">
            <v>0</v>
          </cell>
          <cell r="I263" t="b">
            <v>0</v>
          </cell>
          <cell r="J263" t="b">
            <v>0</v>
          </cell>
          <cell r="K263" t="b">
            <v>0</v>
          </cell>
          <cell r="L263" t="b">
            <v>0</v>
          </cell>
          <cell r="M263" t="b">
            <v>0</v>
          </cell>
          <cell r="N263" t="b">
            <v>0</v>
          </cell>
          <cell r="O263" t="b">
            <v>0</v>
          </cell>
          <cell r="P263" t="b">
            <v>0</v>
          </cell>
          <cell r="Q263" t="b">
            <v>0</v>
          </cell>
          <cell r="W263" t="e">
            <v>#REF!</v>
          </cell>
        </row>
        <row r="264">
          <cell r="H264" t="b">
            <v>0</v>
          </cell>
          <cell r="I264" t="b">
            <v>0</v>
          </cell>
          <cell r="J264" t="b">
            <v>0</v>
          </cell>
          <cell r="K264" t="b">
            <v>0</v>
          </cell>
          <cell r="L264" t="b">
            <v>0</v>
          </cell>
          <cell r="M264" t="b">
            <v>0</v>
          </cell>
          <cell r="N264" t="b">
            <v>0</v>
          </cell>
          <cell r="O264" t="b">
            <v>0</v>
          </cell>
          <cell r="P264" t="b">
            <v>0</v>
          </cell>
          <cell r="Q264" t="b">
            <v>0</v>
          </cell>
          <cell r="W264" t="e">
            <v>#REF!</v>
          </cell>
        </row>
        <row r="265">
          <cell r="H265" t="b">
            <v>0</v>
          </cell>
          <cell r="I265" t="b">
            <v>0</v>
          </cell>
          <cell r="J265" t="b">
            <v>0</v>
          </cell>
          <cell r="K265" t="b">
            <v>0</v>
          </cell>
          <cell r="L265" t="b">
            <v>0</v>
          </cell>
          <cell r="M265" t="b">
            <v>0</v>
          </cell>
          <cell r="N265" t="b">
            <v>0</v>
          </cell>
          <cell r="O265" t="b">
            <v>0</v>
          </cell>
          <cell r="P265" t="b">
            <v>0</v>
          </cell>
          <cell r="Q265" t="b">
            <v>0</v>
          </cell>
          <cell r="W265" t="e">
            <v>#REF!</v>
          </cell>
        </row>
        <row r="266">
          <cell r="H266" t="b">
            <v>0</v>
          </cell>
          <cell r="I266" t="b">
            <v>0</v>
          </cell>
          <cell r="J266" t="b">
            <v>0</v>
          </cell>
          <cell r="K266" t="b">
            <v>0</v>
          </cell>
          <cell r="L266" t="b">
            <v>0</v>
          </cell>
          <cell r="M266" t="b">
            <v>0</v>
          </cell>
          <cell r="N266" t="b">
            <v>0</v>
          </cell>
          <cell r="O266" t="b">
            <v>0</v>
          </cell>
          <cell r="P266" t="b">
            <v>0</v>
          </cell>
          <cell r="Q266" t="b">
            <v>0</v>
          </cell>
          <cell r="W266" t="e">
            <v>#REF!</v>
          </cell>
        </row>
        <row r="267">
          <cell r="H267" t="b">
            <v>0</v>
          </cell>
          <cell r="I267" t="b">
            <v>0</v>
          </cell>
          <cell r="J267" t="b">
            <v>0</v>
          </cell>
          <cell r="K267" t="b">
            <v>0</v>
          </cell>
          <cell r="L267" t="b">
            <v>0</v>
          </cell>
          <cell r="M267" t="b">
            <v>0</v>
          </cell>
          <cell r="N267" t="b">
            <v>0</v>
          </cell>
          <cell r="O267" t="b">
            <v>0</v>
          </cell>
          <cell r="P267" t="b">
            <v>0</v>
          </cell>
          <cell r="Q267" t="b">
            <v>0</v>
          </cell>
          <cell r="W267" t="e">
            <v>#REF!</v>
          </cell>
        </row>
        <row r="268">
          <cell r="H268" t="b">
            <v>0</v>
          </cell>
          <cell r="I268" t="b">
            <v>0</v>
          </cell>
          <cell r="J268" t="b">
            <v>0</v>
          </cell>
          <cell r="K268" t="b">
            <v>0</v>
          </cell>
          <cell r="L268" t="b">
            <v>0</v>
          </cell>
          <cell r="M268" t="b">
            <v>0</v>
          </cell>
          <cell r="N268" t="b">
            <v>0</v>
          </cell>
          <cell r="O268" t="b">
            <v>0</v>
          </cell>
          <cell r="P268" t="b">
            <v>0</v>
          </cell>
          <cell r="Q268" t="b">
            <v>0</v>
          </cell>
          <cell r="W268" t="e">
            <v>#REF!</v>
          </cell>
        </row>
        <row r="269">
          <cell r="H269" t="b">
            <v>0</v>
          </cell>
          <cell r="I269" t="b">
            <v>0</v>
          </cell>
          <cell r="J269" t="b">
            <v>0</v>
          </cell>
          <cell r="K269" t="b">
            <v>0</v>
          </cell>
          <cell r="L269" t="b">
            <v>0</v>
          </cell>
          <cell r="M269" t="b">
            <v>0</v>
          </cell>
          <cell r="N269" t="b">
            <v>0</v>
          </cell>
          <cell r="O269" t="b">
            <v>0</v>
          </cell>
          <cell r="P269" t="b">
            <v>0</v>
          </cell>
          <cell r="Q269" t="b">
            <v>0</v>
          </cell>
          <cell r="W269" t="e">
            <v>#REF!</v>
          </cell>
        </row>
        <row r="270">
          <cell r="H270" t="b">
            <v>0</v>
          </cell>
          <cell r="I270" t="b">
            <v>0</v>
          </cell>
          <cell r="J270" t="b">
            <v>0</v>
          </cell>
          <cell r="K270" t="b">
            <v>0</v>
          </cell>
          <cell r="L270" t="b">
            <v>0</v>
          </cell>
          <cell r="M270" t="b">
            <v>0</v>
          </cell>
          <cell r="N270" t="b">
            <v>0</v>
          </cell>
          <cell r="O270" t="b">
            <v>0</v>
          </cell>
          <cell r="P270" t="b">
            <v>0</v>
          </cell>
          <cell r="Q270" t="b">
            <v>0</v>
          </cell>
          <cell r="W270" t="e">
            <v>#REF!</v>
          </cell>
        </row>
        <row r="271">
          <cell r="H271" t="b">
            <v>0</v>
          </cell>
          <cell r="I271" t="b">
            <v>0</v>
          </cell>
          <cell r="J271" t="b">
            <v>0</v>
          </cell>
          <cell r="K271" t="b">
            <v>0</v>
          </cell>
          <cell r="L271" t="b">
            <v>0</v>
          </cell>
          <cell r="M271" t="b">
            <v>0</v>
          </cell>
          <cell r="N271" t="b">
            <v>0</v>
          </cell>
          <cell r="O271" t="b">
            <v>0</v>
          </cell>
          <cell r="P271" t="b">
            <v>0</v>
          </cell>
          <cell r="Q271" t="b">
            <v>0</v>
          </cell>
          <cell r="W271" t="e">
            <v>#REF!</v>
          </cell>
        </row>
        <row r="272">
          <cell r="H272" t="b">
            <v>0</v>
          </cell>
          <cell r="I272" t="b">
            <v>0</v>
          </cell>
          <cell r="J272" t="b">
            <v>0</v>
          </cell>
          <cell r="K272" t="b">
            <v>0</v>
          </cell>
          <cell r="L272" t="b">
            <v>0</v>
          </cell>
          <cell r="M272" t="b">
            <v>0</v>
          </cell>
          <cell r="N272" t="b">
            <v>0</v>
          </cell>
          <cell r="O272" t="b">
            <v>0</v>
          </cell>
          <cell r="P272" t="b">
            <v>0</v>
          </cell>
          <cell r="Q272" t="b">
            <v>0</v>
          </cell>
          <cell r="W272" t="e">
            <v>#REF!</v>
          </cell>
        </row>
        <row r="273">
          <cell r="H273" t="b">
            <v>0</v>
          </cell>
          <cell r="I273" t="b">
            <v>0</v>
          </cell>
          <cell r="J273" t="b">
            <v>0</v>
          </cell>
          <cell r="K273" t="b">
            <v>0</v>
          </cell>
          <cell r="L273" t="b">
            <v>0</v>
          </cell>
          <cell r="M273" t="b">
            <v>0</v>
          </cell>
          <cell r="N273" t="b">
            <v>0</v>
          </cell>
          <cell r="O273" t="b">
            <v>0</v>
          </cell>
          <cell r="P273" t="b">
            <v>0</v>
          </cell>
          <cell r="Q273" t="b">
            <v>0</v>
          </cell>
          <cell r="W273" t="e">
            <v>#REF!</v>
          </cell>
        </row>
        <row r="274">
          <cell r="H274" t="b">
            <v>0</v>
          </cell>
          <cell r="I274" t="b">
            <v>0</v>
          </cell>
          <cell r="J274" t="b">
            <v>0</v>
          </cell>
          <cell r="K274" t="b">
            <v>0</v>
          </cell>
          <cell r="L274" t="b">
            <v>0</v>
          </cell>
          <cell r="M274" t="b">
            <v>0</v>
          </cell>
          <cell r="N274" t="b">
            <v>0</v>
          </cell>
          <cell r="O274" t="b">
            <v>0</v>
          </cell>
          <cell r="P274" t="b">
            <v>0</v>
          </cell>
          <cell r="Q274" t="b">
            <v>0</v>
          </cell>
          <cell r="W274" t="e">
            <v>#REF!</v>
          </cell>
        </row>
        <row r="275">
          <cell r="H275" t="b">
            <v>0</v>
          </cell>
          <cell r="I275" t="b">
            <v>0</v>
          </cell>
          <cell r="J275" t="b">
            <v>0</v>
          </cell>
          <cell r="K275" t="b">
            <v>0</v>
          </cell>
          <cell r="L275" t="b">
            <v>0</v>
          </cell>
          <cell r="M275" t="b">
            <v>0</v>
          </cell>
          <cell r="N275" t="b">
            <v>0</v>
          </cell>
          <cell r="O275" t="b">
            <v>0</v>
          </cell>
          <cell r="P275" t="b">
            <v>0</v>
          </cell>
          <cell r="Q275" t="b">
            <v>0</v>
          </cell>
          <cell r="W275" t="e">
            <v>#REF!</v>
          </cell>
        </row>
        <row r="276">
          <cell r="H276" t="b">
            <v>0</v>
          </cell>
          <cell r="I276" t="b">
            <v>0</v>
          </cell>
          <cell r="J276" t="b">
            <v>0</v>
          </cell>
          <cell r="K276" t="b">
            <v>0</v>
          </cell>
          <cell r="L276" t="b">
            <v>0</v>
          </cell>
          <cell r="M276" t="b">
            <v>0</v>
          </cell>
          <cell r="N276" t="b">
            <v>0</v>
          </cell>
          <cell r="O276" t="b">
            <v>0</v>
          </cell>
          <cell r="P276" t="b">
            <v>0</v>
          </cell>
          <cell r="Q276" t="b">
            <v>0</v>
          </cell>
          <cell r="W276" t="e">
            <v>#REF!</v>
          </cell>
        </row>
        <row r="277">
          <cell r="H277" t="b">
            <v>0</v>
          </cell>
          <cell r="I277" t="b">
            <v>0</v>
          </cell>
          <cell r="J277" t="b">
            <v>0</v>
          </cell>
          <cell r="K277" t="b">
            <v>0</v>
          </cell>
          <cell r="L277" t="b">
            <v>0</v>
          </cell>
          <cell r="M277" t="b">
            <v>0</v>
          </cell>
          <cell r="N277" t="b">
            <v>0</v>
          </cell>
          <cell r="O277" t="b">
            <v>0</v>
          </cell>
          <cell r="P277" t="b">
            <v>0</v>
          </cell>
          <cell r="Q277" t="b">
            <v>0</v>
          </cell>
          <cell r="W277" t="e">
            <v>#REF!</v>
          </cell>
        </row>
        <row r="278">
          <cell r="H278" t="b">
            <v>0</v>
          </cell>
          <cell r="I278" t="b">
            <v>0</v>
          </cell>
          <cell r="J278" t="b">
            <v>0</v>
          </cell>
          <cell r="K278" t="b">
            <v>0</v>
          </cell>
          <cell r="L278" t="b">
            <v>0</v>
          </cell>
          <cell r="M278" t="b">
            <v>0</v>
          </cell>
          <cell r="N278" t="b">
            <v>0</v>
          </cell>
          <cell r="O278" t="b">
            <v>0</v>
          </cell>
          <cell r="P278" t="b">
            <v>0</v>
          </cell>
          <cell r="Q278" t="b">
            <v>0</v>
          </cell>
          <cell r="W278" t="e">
            <v>#REF!</v>
          </cell>
        </row>
        <row r="279">
          <cell r="H279" t="b">
            <v>0</v>
          </cell>
          <cell r="I279" t="b">
            <v>0</v>
          </cell>
          <cell r="J279" t="b">
            <v>0</v>
          </cell>
          <cell r="K279" t="b">
            <v>0</v>
          </cell>
          <cell r="L279" t="b">
            <v>0</v>
          </cell>
          <cell r="M279" t="b">
            <v>0</v>
          </cell>
          <cell r="N279" t="b">
            <v>0</v>
          </cell>
          <cell r="O279" t="b">
            <v>0</v>
          </cell>
          <cell r="P279" t="b">
            <v>0</v>
          </cell>
          <cell r="Q279" t="b">
            <v>0</v>
          </cell>
          <cell r="W279" t="e">
            <v>#REF!</v>
          </cell>
        </row>
        <row r="280">
          <cell r="H280" t="b">
            <v>0</v>
          </cell>
          <cell r="I280" t="b">
            <v>0</v>
          </cell>
          <cell r="J280" t="b">
            <v>0</v>
          </cell>
          <cell r="K280" t="b">
            <v>0</v>
          </cell>
          <cell r="L280" t="b">
            <v>0</v>
          </cell>
          <cell r="M280" t="b">
            <v>0</v>
          </cell>
          <cell r="N280" t="b">
            <v>0</v>
          </cell>
          <cell r="O280" t="b">
            <v>0</v>
          </cell>
          <cell r="P280" t="b">
            <v>0</v>
          </cell>
          <cell r="Q280" t="b">
            <v>0</v>
          </cell>
          <cell r="W280" t="e">
            <v>#REF!</v>
          </cell>
        </row>
        <row r="281">
          <cell r="H281" t="b">
            <v>0</v>
          </cell>
          <cell r="I281" t="b">
            <v>0</v>
          </cell>
          <cell r="J281" t="b">
            <v>0</v>
          </cell>
          <cell r="K281" t="b">
            <v>0</v>
          </cell>
          <cell r="L281" t="b">
            <v>0</v>
          </cell>
          <cell r="M281" t="b">
            <v>0</v>
          </cell>
          <cell r="N281" t="b">
            <v>0</v>
          </cell>
          <cell r="O281" t="b">
            <v>0</v>
          </cell>
          <cell r="P281" t="b">
            <v>0</v>
          </cell>
          <cell r="Q281" t="b">
            <v>0</v>
          </cell>
          <cell r="W281" t="e">
            <v>#REF!</v>
          </cell>
        </row>
        <row r="282">
          <cell r="H282" t="b">
            <v>0</v>
          </cell>
          <cell r="I282" t="b">
            <v>0</v>
          </cell>
          <cell r="J282" t="b">
            <v>0</v>
          </cell>
          <cell r="K282" t="b">
            <v>0</v>
          </cell>
          <cell r="L282" t="b">
            <v>0</v>
          </cell>
          <cell r="M282" t="b">
            <v>0</v>
          </cell>
          <cell r="N282" t="b">
            <v>0</v>
          </cell>
          <cell r="O282" t="b">
            <v>0</v>
          </cell>
          <cell r="P282" t="b">
            <v>0</v>
          </cell>
          <cell r="Q282" t="b">
            <v>0</v>
          </cell>
          <cell r="W282" t="e">
            <v>#REF!</v>
          </cell>
        </row>
        <row r="283">
          <cell r="H283" t="b">
            <v>0</v>
          </cell>
          <cell r="I283" t="b">
            <v>0</v>
          </cell>
          <cell r="J283" t="b">
            <v>0</v>
          </cell>
          <cell r="K283" t="b">
            <v>0</v>
          </cell>
          <cell r="L283" t="b">
            <v>0</v>
          </cell>
          <cell r="M283" t="b">
            <v>0</v>
          </cell>
          <cell r="N283" t="b">
            <v>0</v>
          </cell>
          <cell r="O283" t="b">
            <v>0</v>
          </cell>
          <cell r="P283" t="b">
            <v>0</v>
          </cell>
          <cell r="Q283" t="b">
            <v>0</v>
          </cell>
          <cell r="W283" t="e">
            <v>#REF!</v>
          </cell>
        </row>
        <row r="284">
          <cell r="H284" t="b">
            <v>0</v>
          </cell>
          <cell r="I284" t="b">
            <v>0</v>
          </cell>
          <cell r="J284" t="b">
            <v>0</v>
          </cell>
          <cell r="K284" t="b">
            <v>0</v>
          </cell>
          <cell r="L284" t="b">
            <v>0</v>
          </cell>
          <cell r="M284" t="b">
            <v>0</v>
          </cell>
          <cell r="N284" t="b">
            <v>0</v>
          </cell>
          <cell r="O284" t="b">
            <v>0</v>
          </cell>
          <cell r="P284" t="b">
            <v>0</v>
          </cell>
          <cell r="Q284" t="b">
            <v>0</v>
          </cell>
          <cell r="W284" t="e">
            <v>#REF!</v>
          </cell>
        </row>
        <row r="285">
          <cell r="H285" t="b">
            <v>0</v>
          </cell>
          <cell r="I285" t="b">
            <v>0</v>
          </cell>
          <cell r="J285" t="b">
            <v>0</v>
          </cell>
          <cell r="K285" t="b">
            <v>0</v>
          </cell>
          <cell r="L285" t="b">
            <v>0</v>
          </cell>
          <cell r="M285" t="b">
            <v>0</v>
          </cell>
          <cell r="N285" t="b">
            <v>0</v>
          </cell>
          <cell r="O285" t="b">
            <v>0</v>
          </cell>
          <cell r="P285" t="b">
            <v>0</v>
          </cell>
          <cell r="Q285" t="b">
            <v>0</v>
          </cell>
          <cell r="W285" t="e">
            <v>#REF!</v>
          </cell>
        </row>
        <row r="286">
          <cell r="H286" t="b">
            <v>0</v>
          </cell>
          <cell r="I286" t="b">
            <v>0</v>
          </cell>
          <cell r="J286" t="b">
            <v>0</v>
          </cell>
          <cell r="K286" t="b">
            <v>0</v>
          </cell>
          <cell r="L286" t="b">
            <v>0</v>
          </cell>
          <cell r="M286" t="b">
            <v>0</v>
          </cell>
          <cell r="N286" t="b">
            <v>0</v>
          </cell>
          <cell r="O286" t="b">
            <v>0</v>
          </cell>
          <cell r="P286" t="b">
            <v>0</v>
          </cell>
          <cell r="Q286" t="b">
            <v>0</v>
          </cell>
          <cell r="W286" t="e">
            <v>#REF!</v>
          </cell>
        </row>
        <row r="287">
          <cell r="H287" t="b">
            <v>0</v>
          </cell>
          <cell r="I287" t="b">
            <v>0</v>
          </cell>
          <cell r="J287" t="b">
            <v>0</v>
          </cell>
          <cell r="K287" t="b">
            <v>0</v>
          </cell>
          <cell r="L287" t="b">
            <v>0</v>
          </cell>
          <cell r="M287" t="b">
            <v>0</v>
          </cell>
          <cell r="N287" t="b">
            <v>0</v>
          </cell>
          <cell r="O287" t="b">
            <v>0</v>
          </cell>
          <cell r="P287" t="b">
            <v>0</v>
          </cell>
          <cell r="Q287" t="b">
            <v>0</v>
          </cell>
          <cell r="W287" t="e">
            <v>#REF!</v>
          </cell>
        </row>
        <row r="288">
          <cell r="H288" t="b">
            <v>0</v>
          </cell>
          <cell r="I288" t="b">
            <v>0</v>
          </cell>
          <cell r="J288" t="b">
            <v>0</v>
          </cell>
          <cell r="K288" t="b">
            <v>0</v>
          </cell>
          <cell r="L288" t="b">
            <v>0</v>
          </cell>
          <cell r="M288" t="b">
            <v>0</v>
          </cell>
          <cell r="N288" t="b">
            <v>0</v>
          </cell>
          <cell r="O288" t="b">
            <v>0</v>
          </cell>
          <cell r="P288" t="b">
            <v>0</v>
          </cell>
          <cell r="Q288" t="b">
            <v>0</v>
          </cell>
          <cell r="W288" t="e">
            <v>#REF!</v>
          </cell>
        </row>
        <row r="289">
          <cell r="H289" t="b">
            <v>0</v>
          </cell>
          <cell r="I289" t="b">
            <v>0</v>
          </cell>
          <cell r="J289" t="b">
            <v>0</v>
          </cell>
          <cell r="K289" t="b">
            <v>0</v>
          </cell>
          <cell r="L289" t="b">
            <v>0</v>
          </cell>
          <cell r="M289" t="b">
            <v>0</v>
          </cell>
          <cell r="N289" t="b">
            <v>0</v>
          </cell>
          <cell r="O289" t="b">
            <v>0</v>
          </cell>
          <cell r="P289" t="b">
            <v>0</v>
          </cell>
          <cell r="Q289" t="b">
            <v>0</v>
          </cell>
          <cell r="W289" t="e">
            <v>#REF!</v>
          </cell>
        </row>
        <row r="290">
          <cell r="H290" t="b">
            <v>0</v>
          </cell>
          <cell r="I290" t="b">
            <v>0</v>
          </cell>
          <cell r="J290" t="b">
            <v>0</v>
          </cell>
          <cell r="K290" t="b">
            <v>0</v>
          </cell>
          <cell r="L290" t="b">
            <v>0</v>
          </cell>
          <cell r="M290" t="b">
            <v>0</v>
          </cell>
          <cell r="N290" t="b">
            <v>0</v>
          </cell>
          <cell r="O290" t="b">
            <v>0</v>
          </cell>
          <cell r="P290" t="b">
            <v>0</v>
          </cell>
          <cell r="Q290" t="b">
            <v>0</v>
          </cell>
          <cell r="W290" t="e">
            <v>#REF!</v>
          </cell>
        </row>
        <row r="291">
          <cell r="H291" t="b">
            <v>0</v>
          </cell>
          <cell r="I291" t="b">
            <v>0</v>
          </cell>
          <cell r="J291" t="b">
            <v>0</v>
          </cell>
          <cell r="K291" t="b">
            <v>0</v>
          </cell>
          <cell r="L291" t="b">
            <v>0</v>
          </cell>
          <cell r="M291" t="b">
            <v>0</v>
          </cell>
          <cell r="N291" t="b">
            <v>0</v>
          </cell>
          <cell r="O291" t="b">
            <v>0</v>
          </cell>
          <cell r="P291" t="b">
            <v>0</v>
          </cell>
          <cell r="Q291" t="b">
            <v>0</v>
          </cell>
          <cell r="W291" t="e">
            <v>#REF!</v>
          </cell>
        </row>
        <row r="292">
          <cell r="H292" t="b">
            <v>0</v>
          </cell>
          <cell r="I292" t="b">
            <v>0</v>
          </cell>
          <cell r="J292" t="b">
            <v>0</v>
          </cell>
          <cell r="K292" t="b">
            <v>0</v>
          </cell>
          <cell r="L292" t="b">
            <v>0</v>
          </cell>
          <cell r="M292" t="b">
            <v>0</v>
          </cell>
          <cell r="N292" t="b">
            <v>0</v>
          </cell>
          <cell r="O292" t="b">
            <v>0</v>
          </cell>
          <cell r="P292" t="b">
            <v>0</v>
          </cell>
          <cell r="Q292" t="b">
            <v>0</v>
          </cell>
          <cell r="W292" t="e">
            <v>#REF!</v>
          </cell>
        </row>
        <row r="293">
          <cell r="H293" t="b">
            <v>0</v>
          </cell>
          <cell r="I293" t="b">
            <v>0</v>
          </cell>
          <cell r="J293" t="b">
            <v>0</v>
          </cell>
          <cell r="K293" t="b">
            <v>0</v>
          </cell>
          <cell r="L293" t="b">
            <v>0</v>
          </cell>
          <cell r="M293" t="b">
            <v>0</v>
          </cell>
          <cell r="N293" t="b">
            <v>0</v>
          </cell>
          <cell r="O293" t="b">
            <v>0</v>
          </cell>
          <cell r="P293" t="b">
            <v>0</v>
          </cell>
          <cell r="Q293" t="b">
            <v>0</v>
          </cell>
          <cell r="W293" t="e">
            <v>#REF!</v>
          </cell>
        </row>
        <row r="294">
          <cell r="H294" t="b">
            <v>0</v>
          </cell>
          <cell r="I294" t="b">
            <v>0</v>
          </cell>
          <cell r="J294" t="b">
            <v>0</v>
          </cell>
          <cell r="K294" t="b">
            <v>0</v>
          </cell>
          <cell r="L294" t="b">
            <v>0</v>
          </cell>
          <cell r="M294" t="b">
            <v>0</v>
          </cell>
          <cell r="N294" t="b">
            <v>0</v>
          </cell>
          <cell r="O294" t="b">
            <v>0</v>
          </cell>
          <cell r="P294" t="b">
            <v>0</v>
          </cell>
          <cell r="Q294" t="b">
            <v>0</v>
          </cell>
          <cell r="W294" t="e">
            <v>#REF!</v>
          </cell>
        </row>
        <row r="295">
          <cell r="H295" t="b">
            <v>0</v>
          </cell>
          <cell r="I295" t="b">
            <v>0</v>
          </cell>
          <cell r="J295" t="b">
            <v>0</v>
          </cell>
          <cell r="K295" t="b">
            <v>0</v>
          </cell>
          <cell r="L295" t="b">
            <v>0</v>
          </cell>
          <cell r="M295" t="b">
            <v>0</v>
          </cell>
          <cell r="N295" t="b">
            <v>0</v>
          </cell>
          <cell r="O295" t="b">
            <v>0</v>
          </cell>
          <cell r="P295" t="b">
            <v>0</v>
          </cell>
          <cell r="Q295" t="b">
            <v>0</v>
          </cell>
          <cell r="W295" t="e">
            <v>#REF!</v>
          </cell>
        </row>
        <row r="296">
          <cell r="H296" t="b">
            <v>0</v>
          </cell>
          <cell r="I296" t="b">
            <v>0</v>
          </cell>
          <cell r="J296" t="b">
            <v>0</v>
          </cell>
          <cell r="K296" t="b">
            <v>0</v>
          </cell>
          <cell r="L296" t="b">
            <v>0</v>
          </cell>
          <cell r="M296" t="b">
            <v>0</v>
          </cell>
          <cell r="N296" t="b">
            <v>0</v>
          </cell>
          <cell r="O296" t="b">
            <v>0</v>
          </cell>
          <cell r="P296" t="b">
            <v>0</v>
          </cell>
          <cell r="Q296" t="b">
            <v>0</v>
          </cell>
          <cell r="W296" t="e">
            <v>#REF!</v>
          </cell>
        </row>
        <row r="297">
          <cell r="H297" t="b">
            <v>0</v>
          </cell>
          <cell r="I297" t="b">
            <v>0</v>
          </cell>
          <cell r="J297" t="b">
            <v>0</v>
          </cell>
          <cell r="K297" t="b">
            <v>0</v>
          </cell>
          <cell r="L297" t="b">
            <v>0</v>
          </cell>
          <cell r="M297" t="b">
            <v>0</v>
          </cell>
          <cell r="N297" t="b">
            <v>0</v>
          </cell>
          <cell r="O297" t="b">
            <v>0</v>
          </cell>
          <cell r="P297" t="b">
            <v>0</v>
          </cell>
          <cell r="Q297" t="b">
            <v>0</v>
          </cell>
          <cell r="W297" t="e">
            <v>#REF!</v>
          </cell>
        </row>
        <row r="298">
          <cell r="H298" t="b">
            <v>0</v>
          </cell>
          <cell r="I298" t="b">
            <v>0</v>
          </cell>
          <cell r="J298" t="b">
            <v>0</v>
          </cell>
          <cell r="K298" t="b">
            <v>0</v>
          </cell>
          <cell r="L298" t="b">
            <v>0</v>
          </cell>
          <cell r="M298" t="b">
            <v>0</v>
          </cell>
          <cell r="N298" t="b">
            <v>0</v>
          </cell>
          <cell r="O298" t="b">
            <v>0</v>
          </cell>
          <cell r="P298" t="b">
            <v>0</v>
          </cell>
          <cell r="Q298" t="b">
            <v>0</v>
          </cell>
          <cell r="W298" t="e">
            <v>#REF!</v>
          </cell>
        </row>
        <row r="299">
          <cell r="H299" t="b">
            <v>0</v>
          </cell>
          <cell r="I299" t="b">
            <v>0</v>
          </cell>
          <cell r="J299" t="b">
            <v>0</v>
          </cell>
          <cell r="K299" t="b">
            <v>0</v>
          </cell>
          <cell r="L299" t="b">
            <v>0</v>
          </cell>
          <cell r="M299" t="b">
            <v>0</v>
          </cell>
          <cell r="N299" t="b">
            <v>0</v>
          </cell>
          <cell r="O299" t="b">
            <v>0</v>
          </cell>
          <cell r="P299" t="b">
            <v>0</v>
          </cell>
          <cell r="Q299" t="b">
            <v>0</v>
          </cell>
          <cell r="W299" t="e">
            <v>#REF!</v>
          </cell>
        </row>
        <row r="300">
          <cell r="H300" t="b">
            <v>0</v>
          </cell>
          <cell r="I300" t="b">
            <v>0</v>
          </cell>
          <cell r="J300" t="b">
            <v>0</v>
          </cell>
          <cell r="K300" t="b">
            <v>0</v>
          </cell>
          <cell r="L300" t="b">
            <v>0</v>
          </cell>
          <cell r="M300" t="b">
            <v>0</v>
          </cell>
          <cell r="N300" t="b">
            <v>0</v>
          </cell>
          <cell r="O300" t="b">
            <v>0</v>
          </cell>
          <cell r="P300" t="b">
            <v>0</v>
          </cell>
          <cell r="Q300" t="b">
            <v>0</v>
          </cell>
          <cell r="W300" t="e">
            <v>#REF!</v>
          </cell>
        </row>
        <row r="301">
          <cell r="H301" t="b">
            <v>0</v>
          </cell>
          <cell r="I301" t="b">
            <v>0</v>
          </cell>
          <cell r="J301" t="b">
            <v>0</v>
          </cell>
          <cell r="K301" t="b">
            <v>0</v>
          </cell>
          <cell r="L301" t="b">
            <v>0</v>
          </cell>
          <cell r="M301" t="b">
            <v>0</v>
          </cell>
          <cell r="N301" t="b">
            <v>0</v>
          </cell>
          <cell r="O301" t="b">
            <v>0</v>
          </cell>
          <cell r="P301" t="b">
            <v>0</v>
          </cell>
          <cell r="Q301" t="b">
            <v>0</v>
          </cell>
          <cell r="W301" t="e">
            <v>#REF!</v>
          </cell>
        </row>
        <row r="302">
          <cell r="H302" t="b">
            <v>0</v>
          </cell>
          <cell r="I302" t="b">
            <v>0</v>
          </cell>
          <cell r="J302" t="b">
            <v>0</v>
          </cell>
          <cell r="K302" t="b">
            <v>0</v>
          </cell>
          <cell r="L302" t="b">
            <v>0</v>
          </cell>
          <cell r="M302" t="b">
            <v>0</v>
          </cell>
          <cell r="N302" t="b">
            <v>0</v>
          </cell>
          <cell r="O302" t="b">
            <v>0</v>
          </cell>
          <cell r="P302" t="b">
            <v>0</v>
          </cell>
          <cell r="Q302" t="b">
            <v>0</v>
          </cell>
          <cell r="W302" t="e">
            <v>#REF!</v>
          </cell>
        </row>
        <row r="303">
          <cell r="H303" t="b">
            <v>0</v>
          </cell>
          <cell r="I303" t="b">
            <v>0</v>
          </cell>
          <cell r="J303" t="b">
            <v>0</v>
          </cell>
          <cell r="K303" t="b">
            <v>0</v>
          </cell>
          <cell r="L303" t="b">
            <v>0</v>
          </cell>
          <cell r="M303" t="b">
            <v>0</v>
          </cell>
          <cell r="N303" t="b">
            <v>0</v>
          </cell>
          <cell r="O303" t="b">
            <v>0</v>
          </cell>
          <cell r="P303" t="b">
            <v>0</v>
          </cell>
          <cell r="Q303" t="b">
            <v>0</v>
          </cell>
          <cell r="W303" t="e">
            <v>#REF!</v>
          </cell>
        </row>
        <row r="304">
          <cell r="H304" t="b">
            <v>0</v>
          </cell>
          <cell r="I304" t="b">
            <v>0</v>
          </cell>
          <cell r="J304" t="b">
            <v>0</v>
          </cell>
          <cell r="K304" t="b">
            <v>0</v>
          </cell>
          <cell r="L304" t="b">
            <v>0</v>
          </cell>
          <cell r="M304" t="b">
            <v>0</v>
          </cell>
          <cell r="N304" t="b">
            <v>0</v>
          </cell>
          <cell r="O304" t="b">
            <v>0</v>
          </cell>
          <cell r="P304" t="b">
            <v>0</v>
          </cell>
          <cell r="Q304" t="b">
            <v>0</v>
          </cell>
          <cell r="W304" t="e">
            <v>#REF!</v>
          </cell>
        </row>
        <row r="305">
          <cell r="H305" t="b">
            <v>0</v>
          </cell>
          <cell r="I305" t="b">
            <v>0</v>
          </cell>
          <cell r="J305" t="b">
            <v>0</v>
          </cell>
          <cell r="K305" t="b">
            <v>0</v>
          </cell>
          <cell r="L305" t="b">
            <v>0</v>
          </cell>
          <cell r="M305" t="b">
            <v>0</v>
          </cell>
          <cell r="N305" t="b">
            <v>0</v>
          </cell>
          <cell r="O305" t="b">
            <v>0</v>
          </cell>
          <cell r="P305" t="b">
            <v>0</v>
          </cell>
          <cell r="Q305" t="b">
            <v>0</v>
          </cell>
          <cell r="W305" t="e">
            <v>#REF!</v>
          </cell>
        </row>
        <row r="306">
          <cell r="H306" t="b">
            <v>0</v>
          </cell>
          <cell r="I306" t="b">
            <v>0</v>
          </cell>
          <cell r="J306" t="b">
            <v>0</v>
          </cell>
          <cell r="K306" t="b">
            <v>0</v>
          </cell>
          <cell r="L306" t="b">
            <v>0</v>
          </cell>
          <cell r="M306" t="b">
            <v>0</v>
          </cell>
          <cell r="N306" t="b">
            <v>0</v>
          </cell>
          <cell r="O306" t="b">
            <v>0</v>
          </cell>
          <cell r="P306" t="b">
            <v>0</v>
          </cell>
          <cell r="Q306" t="b">
            <v>0</v>
          </cell>
          <cell r="W306" t="e">
            <v>#REF!</v>
          </cell>
        </row>
        <row r="307">
          <cell r="H307" t="b">
            <v>0</v>
          </cell>
          <cell r="I307" t="b">
            <v>0</v>
          </cell>
          <cell r="J307" t="b">
            <v>0</v>
          </cell>
          <cell r="K307" t="b">
            <v>0</v>
          </cell>
          <cell r="L307" t="b">
            <v>0</v>
          </cell>
          <cell r="M307" t="b">
            <v>0</v>
          </cell>
          <cell r="N307" t="b">
            <v>0</v>
          </cell>
          <cell r="O307" t="b">
            <v>0</v>
          </cell>
          <cell r="P307" t="b">
            <v>0</v>
          </cell>
          <cell r="Q307" t="b">
            <v>0</v>
          </cell>
          <cell r="W307" t="e">
            <v>#REF!</v>
          </cell>
        </row>
        <row r="308">
          <cell r="H308" t="b">
            <v>0</v>
          </cell>
          <cell r="I308" t="b">
            <v>0</v>
          </cell>
          <cell r="J308" t="b">
            <v>0</v>
          </cell>
          <cell r="K308" t="b">
            <v>0</v>
          </cell>
          <cell r="L308" t="b">
            <v>0</v>
          </cell>
          <cell r="M308" t="b">
            <v>0</v>
          </cell>
          <cell r="N308" t="b">
            <v>0</v>
          </cell>
          <cell r="O308" t="b">
            <v>0</v>
          </cell>
          <cell r="P308" t="b">
            <v>0</v>
          </cell>
          <cell r="Q308" t="b">
            <v>0</v>
          </cell>
          <cell r="W308" t="e">
            <v>#REF!</v>
          </cell>
        </row>
        <row r="309">
          <cell r="H309" t="b">
            <v>0</v>
          </cell>
          <cell r="I309" t="b">
            <v>0</v>
          </cell>
          <cell r="J309" t="b">
            <v>0</v>
          </cell>
          <cell r="K309" t="b">
            <v>0</v>
          </cell>
          <cell r="L309" t="b">
            <v>0</v>
          </cell>
          <cell r="M309" t="b">
            <v>0</v>
          </cell>
          <cell r="N309" t="b">
            <v>0</v>
          </cell>
          <cell r="O309" t="b">
            <v>0</v>
          </cell>
          <cell r="P309" t="b">
            <v>0</v>
          </cell>
          <cell r="Q309" t="b">
            <v>0</v>
          </cell>
          <cell r="W309" t="e">
            <v>#REF!</v>
          </cell>
        </row>
        <row r="310">
          <cell r="H310" t="b">
            <v>0</v>
          </cell>
          <cell r="I310" t="b">
            <v>0</v>
          </cell>
          <cell r="J310" t="b">
            <v>0</v>
          </cell>
          <cell r="K310" t="b">
            <v>0</v>
          </cell>
          <cell r="L310" t="b">
            <v>0</v>
          </cell>
          <cell r="M310" t="b">
            <v>0</v>
          </cell>
          <cell r="N310" t="b">
            <v>0</v>
          </cell>
          <cell r="O310" t="b">
            <v>0</v>
          </cell>
          <cell r="P310" t="b">
            <v>0</v>
          </cell>
          <cell r="Q310" t="b">
            <v>0</v>
          </cell>
          <cell r="W310" t="e">
            <v>#REF!</v>
          </cell>
        </row>
        <row r="311">
          <cell r="H311" t="b">
            <v>0</v>
          </cell>
          <cell r="I311" t="b">
            <v>0</v>
          </cell>
          <cell r="J311" t="b">
            <v>0</v>
          </cell>
          <cell r="K311" t="b">
            <v>0</v>
          </cell>
          <cell r="L311" t="b">
            <v>0</v>
          </cell>
          <cell r="M311" t="b">
            <v>0</v>
          </cell>
          <cell r="N311" t="b">
            <v>0</v>
          </cell>
          <cell r="O311" t="b">
            <v>0</v>
          </cell>
          <cell r="P311" t="b">
            <v>0</v>
          </cell>
          <cell r="Q311" t="b">
            <v>0</v>
          </cell>
          <cell r="W311" t="e">
            <v>#REF!</v>
          </cell>
        </row>
        <row r="312">
          <cell r="H312" t="b">
            <v>0</v>
          </cell>
          <cell r="I312" t="b">
            <v>0</v>
          </cell>
          <cell r="J312" t="b">
            <v>0</v>
          </cell>
          <cell r="K312" t="b">
            <v>0</v>
          </cell>
          <cell r="L312" t="b">
            <v>0</v>
          </cell>
          <cell r="M312" t="b">
            <v>0</v>
          </cell>
          <cell r="N312" t="b">
            <v>0</v>
          </cell>
          <cell r="O312" t="b">
            <v>0</v>
          </cell>
          <cell r="P312" t="b">
            <v>0</v>
          </cell>
          <cell r="Q312" t="b">
            <v>0</v>
          </cell>
          <cell r="W312" t="e">
            <v>#REF!</v>
          </cell>
        </row>
        <row r="313">
          <cell r="H313" t="b">
            <v>0</v>
          </cell>
          <cell r="I313" t="b">
            <v>0</v>
          </cell>
          <cell r="J313" t="b">
            <v>0</v>
          </cell>
          <cell r="K313" t="b">
            <v>0</v>
          </cell>
          <cell r="L313" t="b">
            <v>0</v>
          </cell>
          <cell r="M313" t="b">
            <v>0</v>
          </cell>
          <cell r="N313" t="b">
            <v>0</v>
          </cell>
          <cell r="O313" t="b">
            <v>0</v>
          </cell>
          <cell r="P313" t="b">
            <v>0</v>
          </cell>
          <cell r="Q313" t="b">
            <v>0</v>
          </cell>
          <cell r="W313" t="e">
            <v>#REF!</v>
          </cell>
        </row>
        <row r="314">
          <cell r="H314" t="b">
            <v>0</v>
          </cell>
          <cell r="I314" t="b">
            <v>0</v>
          </cell>
          <cell r="J314" t="b">
            <v>0</v>
          </cell>
          <cell r="K314" t="b">
            <v>0</v>
          </cell>
          <cell r="L314" t="b">
            <v>0</v>
          </cell>
          <cell r="M314" t="b">
            <v>0</v>
          </cell>
          <cell r="N314" t="b">
            <v>0</v>
          </cell>
          <cell r="O314" t="b">
            <v>0</v>
          </cell>
          <cell r="P314" t="b">
            <v>0</v>
          </cell>
          <cell r="Q314" t="b">
            <v>0</v>
          </cell>
          <cell r="W314" t="e">
            <v>#REF!</v>
          </cell>
        </row>
        <row r="315">
          <cell r="H315" t="b">
            <v>0</v>
          </cell>
          <cell r="I315" t="b">
            <v>0</v>
          </cell>
          <cell r="J315" t="b">
            <v>0</v>
          </cell>
          <cell r="K315" t="b">
            <v>0</v>
          </cell>
          <cell r="L315" t="b">
            <v>0</v>
          </cell>
          <cell r="M315" t="b">
            <v>0</v>
          </cell>
          <cell r="N315" t="b">
            <v>0</v>
          </cell>
          <cell r="O315" t="b">
            <v>0</v>
          </cell>
          <cell r="P315" t="b">
            <v>0</v>
          </cell>
          <cell r="Q315" t="b">
            <v>0</v>
          </cell>
          <cell r="W315" t="e">
            <v>#REF!</v>
          </cell>
        </row>
        <row r="316">
          <cell r="H316" t="b">
            <v>0</v>
          </cell>
          <cell r="I316" t="b">
            <v>0</v>
          </cell>
          <cell r="J316" t="b">
            <v>0</v>
          </cell>
          <cell r="K316" t="b">
            <v>0</v>
          </cell>
          <cell r="L316" t="b">
            <v>0</v>
          </cell>
          <cell r="M316" t="b">
            <v>0</v>
          </cell>
          <cell r="N316" t="b">
            <v>0</v>
          </cell>
          <cell r="O316" t="b">
            <v>0</v>
          </cell>
          <cell r="P316" t="b">
            <v>0</v>
          </cell>
          <cell r="Q316" t="b">
            <v>0</v>
          </cell>
          <cell r="W316" t="e">
            <v>#REF!</v>
          </cell>
        </row>
        <row r="317">
          <cell r="H317" t="b">
            <v>0</v>
          </cell>
          <cell r="I317" t="b">
            <v>0</v>
          </cell>
          <cell r="J317" t="b">
            <v>0</v>
          </cell>
          <cell r="K317" t="b">
            <v>0</v>
          </cell>
          <cell r="L317" t="b">
            <v>0</v>
          </cell>
          <cell r="M317" t="b">
            <v>0</v>
          </cell>
          <cell r="N317" t="b">
            <v>0</v>
          </cell>
          <cell r="O317" t="b">
            <v>0</v>
          </cell>
          <cell r="P317" t="b">
            <v>0</v>
          </cell>
          <cell r="Q317" t="b">
            <v>0</v>
          </cell>
          <cell r="W317" t="e">
            <v>#REF!</v>
          </cell>
        </row>
        <row r="318">
          <cell r="H318" t="b">
            <v>0</v>
          </cell>
          <cell r="I318" t="b">
            <v>0</v>
          </cell>
          <cell r="J318" t="b">
            <v>0</v>
          </cell>
          <cell r="K318" t="b">
            <v>0</v>
          </cell>
          <cell r="L318" t="b">
            <v>0</v>
          </cell>
          <cell r="M318" t="b">
            <v>0</v>
          </cell>
          <cell r="N318" t="b">
            <v>0</v>
          </cell>
          <cell r="O318" t="b">
            <v>0</v>
          </cell>
          <cell r="P318" t="b">
            <v>0</v>
          </cell>
          <cell r="Q318" t="b">
            <v>0</v>
          </cell>
          <cell r="W318" t="e">
            <v>#REF!</v>
          </cell>
        </row>
        <row r="319">
          <cell r="H319" t="b">
            <v>0</v>
          </cell>
          <cell r="I319" t="b">
            <v>0</v>
          </cell>
          <cell r="J319" t="b">
            <v>0</v>
          </cell>
          <cell r="K319" t="b">
            <v>0</v>
          </cell>
          <cell r="L319" t="b">
            <v>0</v>
          </cell>
          <cell r="M319" t="b">
            <v>0</v>
          </cell>
          <cell r="N319" t="b">
            <v>0</v>
          </cell>
          <cell r="O319" t="b">
            <v>0</v>
          </cell>
          <cell r="P319" t="b">
            <v>0</v>
          </cell>
          <cell r="Q319" t="b">
            <v>0</v>
          </cell>
          <cell r="W319" t="e">
            <v>#REF!</v>
          </cell>
        </row>
        <row r="320">
          <cell r="H320" t="b">
            <v>0</v>
          </cell>
          <cell r="I320" t="b">
            <v>0</v>
          </cell>
          <cell r="J320" t="b">
            <v>0</v>
          </cell>
          <cell r="K320" t="b">
            <v>0</v>
          </cell>
          <cell r="L320" t="b">
            <v>0</v>
          </cell>
          <cell r="M320" t="b">
            <v>0</v>
          </cell>
          <cell r="N320" t="b">
            <v>0</v>
          </cell>
          <cell r="O320" t="b">
            <v>0</v>
          </cell>
          <cell r="P320" t="b">
            <v>0</v>
          </cell>
          <cell r="Q320" t="b">
            <v>0</v>
          </cell>
          <cell r="W320" t="e">
            <v>#REF!</v>
          </cell>
        </row>
        <row r="321">
          <cell r="H321" t="b">
            <v>0</v>
          </cell>
          <cell r="I321" t="b">
            <v>0</v>
          </cell>
          <cell r="J321" t="b">
            <v>0</v>
          </cell>
          <cell r="K321" t="b">
            <v>0</v>
          </cell>
          <cell r="L321" t="b">
            <v>0</v>
          </cell>
          <cell r="M321" t="b">
            <v>0</v>
          </cell>
          <cell r="N321" t="b">
            <v>0</v>
          </cell>
          <cell r="O321" t="b">
            <v>0</v>
          </cell>
          <cell r="P321" t="b">
            <v>0</v>
          </cell>
          <cell r="Q321" t="b">
            <v>0</v>
          </cell>
          <cell r="W321" t="e">
            <v>#REF!</v>
          </cell>
        </row>
        <row r="322">
          <cell r="H322" t="b">
            <v>0</v>
          </cell>
          <cell r="I322" t="b">
            <v>0</v>
          </cell>
          <cell r="J322" t="b">
            <v>0</v>
          </cell>
          <cell r="K322" t="b">
            <v>0</v>
          </cell>
          <cell r="L322" t="b">
            <v>0</v>
          </cell>
          <cell r="M322" t="b">
            <v>0</v>
          </cell>
          <cell r="N322" t="b">
            <v>0</v>
          </cell>
          <cell r="O322" t="b">
            <v>0</v>
          </cell>
          <cell r="P322" t="b">
            <v>0</v>
          </cell>
          <cell r="Q322" t="b">
            <v>0</v>
          </cell>
          <cell r="W322" t="e">
            <v>#REF!</v>
          </cell>
        </row>
        <row r="323">
          <cell r="H323" t="b">
            <v>0</v>
          </cell>
          <cell r="I323" t="b">
            <v>0</v>
          </cell>
          <cell r="J323" t="b">
            <v>0</v>
          </cell>
          <cell r="K323" t="b">
            <v>0</v>
          </cell>
          <cell r="L323" t="b">
            <v>0</v>
          </cell>
          <cell r="M323" t="b">
            <v>0</v>
          </cell>
          <cell r="N323" t="b">
            <v>0</v>
          </cell>
          <cell r="O323" t="b">
            <v>0</v>
          </cell>
          <cell r="P323" t="b">
            <v>0</v>
          </cell>
          <cell r="Q323" t="b">
            <v>0</v>
          </cell>
          <cell r="W323" t="e">
            <v>#REF!</v>
          </cell>
        </row>
        <row r="324">
          <cell r="H324" t="b">
            <v>0</v>
          </cell>
          <cell r="I324" t="b">
            <v>0</v>
          </cell>
          <cell r="J324" t="b">
            <v>0</v>
          </cell>
          <cell r="K324" t="b">
            <v>0</v>
          </cell>
          <cell r="L324" t="b">
            <v>0</v>
          </cell>
          <cell r="M324" t="b">
            <v>0</v>
          </cell>
          <cell r="N324" t="b">
            <v>0</v>
          </cell>
          <cell r="O324" t="b">
            <v>0</v>
          </cell>
          <cell r="P324" t="b">
            <v>0</v>
          </cell>
          <cell r="Q324" t="b">
            <v>0</v>
          </cell>
          <cell r="W324" t="e">
            <v>#REF!</v>
          </cell>
        </row>
        <row r="325">
          <cell r="H325" t="b">
            <v>0</v>
          </cell>
          <cell r="I325" t="b">
            <v>0</v>
          </cell>
          <cell r="J325" t="b">
            <v>0</v>
          </cell>
          <cell r="K325" t="b">
            <v>0</v>
          </cell>
          <cell r="L325" t="b">
            <v>0</v>
          </cell>
          <cell r="M325" t="b">
            <v>0</v>
          </cell>
          <cell r="N325" t="b">
            <v>0</v>
          </cell>
          <cell r="O325" t="b">
            <v>0</v>
          </cell>
          <cell r="P325" t="b">
            <v>0</v>
          </cell>
          <cell r="Q325" t="b">
            <v>0</v>
          </cell>
          <cell r="W325" t="e">
            <v>#REF!</v>
          </cell>
        </row>
        <row r="326">
          <cell r="H326" t="b">
            <v>0</v>
          </cell>
          <cell r="I326" t="b">
            <v>0</v>
          </cell>
          <cell r="J326" t="b">
            <v>0</v>
          </cell>
          <cell r="K326" t="b">
            <v>0</v>
          </cell>
          <cell r="L326" t="b">
            <v>0</v>
          </cell>
          <cell r="M326" t="b">
            <v>0</v>
          </cell>
          <cell r="N326" t="b">
            <v>0</v>
          </cell>
          <cell r="O326" t="b">
            <v>0</v>
          </cell>
          <cell r="P326" t="b">
            <v>0</v>
          </cell>
          <cell r="Q326" t="b">
            <v>0</v>
          </cell>
          <cell r="W326" t="e">
            <v>#REF!</v>
          </cell>
        </row>
        <row r="327">
          <cell r="H327" t="b">
            <v>0</v>
          </cell>
          <cell r="I327" t="b">
            <v>0</v>
          </cell>
          <cell r="J327" t="b">
            <v>0</v>
          </cell>
          <cell r="K327" t="b">
            <v>0</v>
          </cell>
          <cell r="L327" t="b">
            <v>0</v>
          </cell>
          <cell r="M327" t="b">
            <v>0</v>
          </cell>
          <cell r="N327" t="b">
            <v>0</v>
          </cell>
          <cell r="O327" t="b">
            <v>0</v>
          </cell>
          <cell r="P327" t="b">
            <v>0</v>
          </cell>
          <cell r="Q327" t="b">
            <v>0</v>
          </cell>
          <cell r="W327" t="e">
            <v>#REF!</v>
          </cell>
        </row>
        <row r="328">
          <cell r="H328" t="b">
            <v>0</v>
          </cell>
          <cell r="I328" t="b">
            <v>0</v>
          </cell>
          <cell r="J328" t="b">
            <v>0</v>
          </cell>
          <cell r="K328" t="b">
            <v>0</v>
          </cell>
          <cell r="L328" t="b">
            <v>0</v>
          </cell>
          <cell r="M328" t="b">
            <v>0</v>
          </cell>
          <cell r="N328" t="b">
            <v>0</v>
          </cell>
          <cell r="O328" t="b">
            <v>0</v>
          </cell>
          <cell r="P328" t="b">
            <v>0</v>
          </cell>
          <cell r="Q328" t="b">
            <v>0</v>
          </cell>
          <cell r="W328" t="e">
            <v>#REF!</v>
          </cell>
        </row>
        <row r="329">
          <cell r="H329" t="b">
            <v>0</v>
          </cell>
          <cell r="I329" t="b">
            <v>0</v>
          </cell>
          <cell r="J329" t="b">
            <v>0</v>
          </cell>
          <cell r="K329" t="b">
            <v>0</v>
          </cell>
          <cell r="L329" t="b">
            <v>0</v>
          </cell>
          <cell r="M329" t="b">
            <v>0</v>
          </cell>
          <cell r="N329" t="b">
            <v>0</v>
          </cell>
          <cell r="O329" t="b">
            <v>0</v>
          </cell>
          <cell r="P329" t="b">
            <v>0</v>
          </cell>
          <cell r="Q329" t="b">
            <v>0</v>
          </cell>
          <cell r="W329" t="e">
            <v>#REF!</v>
          </cell>
        </row>
        <row r="330">
          <cell r="H330" t="b">
            <v>0</v>
          </cell>
          <cell r="I330" t="b">
            <v>0</v>
          </cell>
          <cell r="J330" t="b">
            <v>0</v>
          </cell>
          <cell r="K330" t="b">
            <v>0</v>
          </cell>
          <cell r="L330" t="b">
            <v>0</v>
          </cell>
          <cell r="M330" t="b">
            <v>0</v>
          </cell>
          <cell r="N330" t="b">
            <v>0</v>
          </cell>
          <cell r="O330" t="b">
            <v>0</v>
          </cell>
          <cell r="P330" t="b">
            <v>0</v>
          </cell>
          <cell r="Q330" t="b">
            <v>0</v>
          </cell>
          <cell r="W330" t="e">
            <v>#REF!</v>
          </cell>
        </row>
        <row r="331">
          <cell r="H331" t="b">
            <v>0</v>
          </cell>
          <cell r="I331" t="b">
            <v>0</v>
          </cell>
          <cell r="J331" t="b">
            <v>0</v>
          </cell>
          <cell r="K331" t="b">
            <v>0</v>
          </cell>
          <cell r="L331" t="b">
            <v>0</v>
          </cell>
          <cell r="M331" t="b">
            <v>0</v>
          </cell>
          <cell r="N331" t="b">
            <v>0</v>
          </cell>
          <cell r="O331" t="b">
            <v>0</v>
          </cell>
          <cell r="P331" t="b">
            <v>0</v>
          </cell>
          <cell r="Q331" t="b">
            <v>0</v>
          </cell>
          <cell r="W331" t="e">
            <v>#REF!</v>
          </cell>
        </row>
        <row r="332">
          <cell r="H332" t="b">
            <v>0</v>
          </cell>
          <cell r="I332" t="b">
            <v>0</v>
          </cell>
          <cell r="J332" t="b">
            <v>0</v>
          </cell>
          <cell r="K332" t="b">
            <v>0</v>
          </cell>
          <cell r="L332" t="b">
            <v>0</v>
          </cell>
          <cell r="M332" t="b">
            <v>0</v>
          </cell>
          <cell r="N332" t="b">
            <v>0</v>
          </cell>
          <cell r="O332" t="b">
            <v>0</v>
          </cell>
          <cell r="P332" t="b">
            <v>0</v>
          </cell>
          <cell r="Q332" t="b">
            <v>0</v>
          </cell>
          <cell r="W332" t="e">
            <v>#REF!</v>
          </cell>
        </row>
        <row r="333">
          <cell r="H333" t="b">
            <v>0</v>
          </cell>
          <cell r="I333" t="b">
            <v>0</v>
          </cell>
          <cell r="J333" t="b">
            <v>0</v>
          </cell>
          <cell r="K333" t="b">
            <v>0</v>
          </cell>
          <cell r="L333" t="b">
            <v>0</v>
          </cell>
          <cell r="M333" t="b">
            <v>0</v>
          </cell>
          <cell r="N333" t="b">
            <v>0</v>
          </cell>
          <cell r="O333" t="b">
            <v>0</v>
          </cell>
          <cell r="P333" t="b">
            <v>0</v>
          </cell>
          <cell r="Q333" t="b">
            <v>0</v>
          </cell>
          <cell r="W333" t="e">
            <v>#REF!</v>
          </cell>
        </row>
        <row r="334">
          <cell r="H334" t="b">
            <v>0</v>
          </cell>
          <cell r="I334" t="b">
            <v>0</v>
          </cell>
          <cell r="J334" t="b">
            <v>0</v>
          </cell>
          <cell r="K334" t="b">
            <v>0</v>
          </cell>
          <cell r="L334" t="b">
            <v>0</v>
          </cell>
          <cell r="M334" t="b">
            <v>0</v>
          </cell>
          <cell r="N334" t="b">
            <v>0</v>
          </cell>
          <cell r="O334" t="b">
            <v>0</v>
          </cell>
          <cell r="P334" t="b">
            <v>0</v>
          </cell>
          <cell r="Q334" t="b">
            <v>0</v>
          </cell>
          <cell r="W334" t="e">
            <v>#REF!</v>
          </cell>
        </row>
        <row r="335">
          <cell r="H335" t="b">
            <v>0</v>
          </cell>
          <cell r="I335" t="b">
            <v>0</v>
          </cell>
          <cell r="J335" t="b">
            <v>0</v>
          </cell>
          <cell r="K335" t="b">
            <v>0</v>
          </cell>
          <cell r="L335" t="b">
            <v>0</v>
          </cell>
          <cell r="M335" t="b">
            <v>0</v>
          </cell>
          <cell r="N335" t="b">
            <v>0</v>
          </cell>
          <cell r="O335" t="b">
            <v>0</v>
          </cell>
          <cell r="P335" t="b">
            <v>0</v>
          </cell>
          <cell r="Q335" t="b">
            <v>0</v>
          </cell>
          <cell r="W335" t="e">
            <v>#REF!</v>
          </cell>
        </row>
        <row r="336">
          <cell r="H336" t="b">
            <v>0</v>
          </cell>
          <cell r="I336" t="b">
            <v>0</v>
          </cell>
          <cell r="J336" t="b">
            <v>0</v>
          </cell>
          <cell r="K336" t="b">
            <v>0</v>
          </cell>
          <cell r="L336" t="b">
            <v>0</v>
          </cell>
          <cell r="M336" t="b">
            <v>0</v>
          </cell>
          <cell r="N336" t="b">
            <v>0</v>
          </cell>
          <cell r="O336" t="b">
            <v>0</v>
          </cell>
          <cell r="P336" t="b">
            <v>0</v>
          </cell>
          <cell r="Q336" t="b">
            <v>0</v>
          </cell>
          <cell r="W336" t="e">
            <v>#REF!</v>
          </cell>
        </row>
        <row r="337">
          <cell r="H337" t="b">
            <v>0</v>
          </cell>
          <cell r="I337" t="b">
            <v>0</v>
          </cell>
          <cell r="J337" t="b">
            <v>0</v>
          </cell>
          <cell r="K337" t="b">
            <v>0</v>
          </cell>
          <cell r="L337" t="b">
            <v>0</v>
          </cell>
          <cell r="M337" t="b">
            <v>0</v>
          </cell>
          <cell r="N337" t="b">
            <v>0</v>
          </cell>
          <cell r="O337" t="b">
            <v>0</v>
          </cell>
          <cell r="P337" t="b">
            <v>0</v>
          </cell>
          <cell r="Q337" t="b">
            <v>0</v>
          </cell>
          <cell r="W337" t="e">
            <v>#REF!</v>
          </cell>
        </row>
        <row r="338">
          <cell r="H338" t="b">
            <v>0</v>
          </cell>
          <cell r="I338" t="b">
            <v>0</v>
          </cell>
          <cell r="J338" t="b">
            <v>0</v>
          </cell>
          <cell r="K338" t="b">
            <v>0</v>
          </cell>
          <cell r="L338" t="b">
            <v>0</v>
          </cell>
          <cell r="M338" t="b">
            <v>0</v>
          </cell>
          <cell r="N338" t="b">
            <v>0</v>
          </cell>
          <cell r="O338" t="b">
            <v>0</v>
          </cell>
          <cell r="P338" t="b">
            <v>0</v>
          </cell>
          <cell r="Q338" t="b">
            <v>0</v>
          </cell>
          <cell r="W338" t="e">
            <v>#REF!</v>
          </cell>
        </row>
        <row r="339">
          <cell r="H339" t="b">
            <v>0</v>
          </cell>
          <cell r="I339" t="b">
            <v>0</v>
          </cell>
          <cell r="J339" t="b">
            <v>0</v>
          </cell>
          <cell r="K339" t="b">
            <v>0</v>
          </cell>
          <cell r="L339" t="b">
            <v>0</v>
          </cell>
          <cell r="M339" t="b">
            <v>0</v>
          </cell>
          <cell r="N339" t="b">
            <v>0</v>
          </cell>
          <cell r="O339" t="b">
            <v>0</v>
          </cell>
          <cell r="P339" t="b">
            <v>0</v>
          </cell>
          <cell r="Q339" t="b">
            <v>0</v>
          </cell>
          <cell r="W339" t="e">
            <v>#REF!</v>
          </cell>
        </row>
        <row r="340">
          <cell r="H340" t="b">
            <v>0</v>
          </cell>
          <cell r="I340" t="b">
            <v>0</v>
          </cell>
          <cell r="J340" t="b">
            <v>0</v>
          </cell>
          <cell r="K340" t="b">
            <v>0</v>
          </cell>
          <cell r="L340" t="b">
            <v>0</v>
          </cell>
          <cell r="M340" t="b">
            <v>0</v>
          </cell>
          <cell r="N340" t="b">
            <v>0</v>
          </cell>
          <cell r="O340" t="b">
            <v>0</v>
          </cell>
          <cell r="P340" t="b">
            <v>0</v>
          </cell>
          <cell r="Q340" t="b">
            <v>0</v>
          </cell>
          <cell r="W340" t="e">
            <v>#REF!</v>
          </cell>
        </row>
        <row r="341">
          <cell r="H341" t="b">
            <v>0</v>
          </cell>
          <cell r="I341" t="b">
            <v>0</v>
          </cell>
          <cell r="J341" t="b">
            <v>0</v>
          </cell>
          <cell r="K341" t="b">
            <v>0</v>
          </cell>
          <cell r="L341" t="b">
            <v>0</v>
          </cell>
          <cell r="M341" t="b">
            <v>0</v>
          </cell>
          <cell r="N341" t="b">
            <v>0</v>
          </cell>
          <cell r="O341" t="b">
            <v>0</v>
          </cell>
          <cell r="P341" t="b">
            <v>0</v>
          </cell>
          <cell r="Q341" t="b">
            <v>0</v>
          </cell>
          <cell r="W341" t="e">
            <v>#REF!</v>
          </cell>
        </row>
        <row r="342">
          <cell r="H342" t="b">
            <v>0</v>
          </cell>
          <cell r="I342" t="b">
            <v>0</v>
          </cell>
          <cell r="J342" t="b">
            <v>0</v>
          </cell>
          <cell r="K342" t="b">
            <v>0</v>
          </cell>
          <cell r="L342" t="b">
            <v>0</v>
          </cell>
          <cell r="M342" t="b">
            <v>0</v>
          </cell>
          <cell r="N342" t="b">
            <v>0</v>
          </cell>
          <cell r="O342" t="b">
            <v>0</v>
          </cell>
          <cell r="P342" t="b">
            <v>0</v>
          </cell>
          <cell r="Q342" t="b">
            <v>0</v>
          </cell>
          <cell r="W342" t="e">
            <v>#REF!</v>
          </cell>
        </row>
        <row r="343">
          <cell r="H343" t="b">
            <v>0</v>
          </cell>
          <cell r="I343" t="b">
            <v>0</v>
          </cell>
          <cell r="J343" t="b">
            <v>0</v>
          </cell>
          <cell r="K343" t="b">
            <v>0</v>
          </cell>
          <cell r="L343" t="b">
            <v>0</v>
          </cell>
          <cell r="M343" t="b">
            <v>0</v>
          </cell>
          <cell r="N343" t="b">
            <v>0</v>
          </cell>
          <cell r="O343" t="b">
            <v>0</v>
          </cell>
          <cell r="P343" t="b">
            <v>0</v>
          </cell>
          <cell r="Q343" t="b">
            <v>0</v>
          </cell>
          <cell r="W343" t="e">
            <v>#REF!</v>
          </cell>
        </row>
        <row r="344">
          <cell r="H344" t="b">
            <v>0</v>
          </cell>
          <cell r="I344" t="b">
            <v>0</v>
          </cell>
          <cell r="J344" t="b">
            <v>0</v>
          </cell>
          <cell r="K344" t="b">
            <v>0</v>
          </cell>
          <cell r="L344" t="b">
            <v>0</v>
          </cell>
          <cell r="M344" t="b">
            <v>0</v>
          </cell>
          <cell r="N344" t="b">
            <v>0</v>
          </cell>
          <cell r="O344" t="b">
            <v>0</v>
          </cell>
          <cell r="P344" t="b">
            <v>0</v>
          </cell>
          <cell r="Q344" t="b">
            <v>0</v>
          </cell>
          <cell r="W344" t="e">
            <v>#REF!</v>
          </cell>
        </row>
        <row r="345">
          <cell r="H345" t="b">
            <v>0</v>
          </cell>
          <cell r="I345" t="b">
            <v>0</v>
          </cell>
          <cell r="J345" t="b">
            <v>0</v>
          </cell>
          <cell r="K345" t="b">
            <v>0</v>
          </cell>
          <cell r="L345" t="b">
            <v>0</v>
          </cell>
          <cell r="M345" t="b">
            <v>0</v>
          </cell>
          <cell r="N345" t="b">
            <v>0</v>
          </cell>
          <cell r="O345" t="b">
            <v>0</v>
          </cell>
          <cell r="P345" t="b">
            <v>0</v>
          </cell>
          <cell r="Q345" t="b">
            <v>0</v>
          </cell>
          <cell r="W345" t="e">
            <v>#REF!</v>
          </cell>
        </row>
        <row r="346">
          <cell r="H346" t="b">
            <v>0</v>
          </cell>
          <cell r="I346" t="b">
            <v>0</v>
          </cell>
          <cell r="J346" t="b">
            <v>0</v>
          </cell>
          <cell r="K346" t="b">
            <v>0</v>
          </cell>
          <cell r="L346" t="b">
            <v>0</v>
          </cell>
          <cell r="M346" t="b">
            <v>0</v>
          </cell>
          <cell r="N346" t="b">
            <v>0</v>
          </cell>
          <cell r="O346" t="b">
            <v>0</v>
          </cell>
          <cell r="P346" t="b">
            <v>0</v>
          </cell>
          <cell r="Q346" t="b">
            <v>0</v>
          </cell>
          <cell r="W346" t="e">
            <v>#REF!</v>
          </cell>
        </row>
        <row r="347">
          <cell r="H347" t="b">
            <v>0</v>
          </cell>
          <cell r="I347" t="b">
            <v>0</v>
          </cell>
          <cell r="J347" t="b">
            <v>0</v>
          </cell>
          <cell r="K347" t="b">
            <v>0</v>
          </cell>
          <cell r="L347" t="b">
            <v>0</v>
          </cell>
          <cell r="M347" t="b">
            <v>0</v>
          </cell>
          <cell r="N347" t="b">
            <v>0</v>
          </cell>
          <cell r="O347" t="b">
            <v>0</v>
          </cell>
          <cell r="P347" t="b">
            <v>0</v>
          </cell>
          <cell r="Q347" t="b">
            <v>0</v>
          </cell>
          <cell r="W347" t="e">
            <v>#REF!</v>
          </cell>
        </row>
        <row r="348">
          <cell r="H348" t="b">
            <v>0</v>
          </cell>
          <cell r="I348" t="b">
            <v>0</v>
          </cell>
          <cell r="J348" t="b">
            <v>0</v>
          </cell>
          <cell r="K348" t="b">
            <v>0</v>
          </cell>
          <cell r="L348" t="b">
            <v>0</v>
          </cell>
          <cell r="M348" t="b">
            <v>0</v>
          </cell>
          <cell r="N348" t="b">
            <v>0</v>
          </cell>
          <cell r="O348" t="b">
            <v>0</v>
          </cell>
          <cell r="P348" t="b">
            <v>0</v>
          </cell>
          <cell r="Q348" t="b">
            <v>0</v>
          </cell>
          <cell r="W348" t="e">
            <v>#REF!</v>
          </cell>
        </row>
        <row r="349">
          <cell r="H349" t="b">
            <v>0</v>
          </cell>
          <cell r="I349" t="b">
            <v>0</v>
          </cell>
          <cell r="J349" t="b">
            <v>0</v>
          </cell>
          <cell r="K349" t="b">
            <v>0</v>
          </cell>
          <cell r="L349" t="b">
            <v>0</v>
          </cell>
          <cell r="M349" t="b">
            <v>0</v>
          </cell>
          <cell r="N349" t="b">
            <v>0</v>
          </cell>
          <cell r="O349" t="b">
            <v>0</v>
          </cell>
          <cell r="P349" t="b">
            <v>0</v>
          </cell>
          <cell r="Q349" t="b">
            <v>0</v>
          </cell>
          <cell r="W349" t="e">
            <v>#REF!</v>
          </cell>
        </row>
        <row r="350">
          <cell r="H350" t="b">
            <v>0</v>
          </cell>
          <cell r="I350" t="b">
            <v>0</v>
          </cell>
          <cell r="J350" t="b">
            <v>0</v>
          </cell>
          <cell r="K350" t="b">
            <v>0</v>
          </cell>
          <cell r="L350" t="b">
            <v>0</v>
          </cell>
          <cell r="M350" t="b">
            <v>0</v>
          </cell>
          <cell r="N350" t="b">
            <v>0</v>
          </cell>
          <cell r="O350" t="b">
            <v>0</v>
          </cell>
          <cell r="P350" t="b">
            <v>0</v>
          </cell>
          <cell r="Q350" t="b">
            <v>0</v>
          </cell>
          <cell r="W350" t="e">
            <v>#REF!</v>
          </cell>
        </row>
        <row r="351">
          <cell r="H351" t="b">
            <v>0</v>
          </cell>
          <cell r="I351" t="b">
            <v>0</v>
          </cell>
          <cell r="J351" t="b">
            <v>0</v>
          </cell>
          <cell r="K351" t="b">
            <v>0</v>
          </cell>
          <cell r="L351" t="b">
            <v>0</v>
          </cell>
          <cell r="M351" t="b">
            <v>0</v>
          </cell>
          <cell r="N351" t="b">
            <v>0</v>
          </cell>
          <cell r="O351" t="b">
            <v>0</v>
          </cell>
          <cell r="P351" t="b">
            <v>0</v>
          </cell>
          <cell r="Q351" t="b">
            <v>0</v>
          </cell>
          <cell r="W351" t="e">
            <v>#REF!</v>
          </cell>
        </row>
        <row r="352">
          <cell r="H352" t="b">
            <v>0</v>
          </cell>
          <cell r="I352" t="b">
            <v>0</v>
          </cell>
          <cell r="J352" t="b">
            <v>0</v>
          </cell>
          <cell r="K352" t="b">
            <v>0</v>
          </cell>
          <cell r="L352" t="b">
            <v>0</v>
          </cell>
          <cell r="M352" t="b">
            <v>0</v>
          </cell>
          <cell r="N352" t="b">
            <v>0</v>
          </cell>
          <cell r="O352" t="b">
            <v>0</v>
          </cell>
          <cell r="P352" t="b">
            <v>0</v>
          </cell>
          <cell r="Q352" t="b">
            <v>0</v>
          </cell>
          <cell r="W352" t="e">
            <v>#REF!</v>
          </cell>
        </row>
        <row r="353">
          <cell r="H353" t="b">
            <v>0</v>
          </cell>
          <cell r="I353" t="b">
            <v>0</v>
          </cell>
          <cell r="J353" t="b">
            <v>0</v>
          </cell>
          <cell r="K353" t="b">
            <v>0</v>
          </cell>
          <cell r="L353" t="b">
            <v>0</v>
          </cell>
          <cell r="M353" t="b">
            <v>0</v>
          </cell>
          <cell r="N353" t="b">
            <v>0</v>
          </cell>
          <cell r="O353" t="b">
            <v>0</v>
          </cell>
          <cell r="P353" t="b">
            <v>0</v>
          </cell>
          <cell r="Q353" t="b">
            <v>0</v>
          </cell>
          <cell r="W353" t="e">
            <v>#REF!</v>
          </cell>
        </row>
        <row r="354">
          <cell r="H354" t="b">
            <v>0</v>
          </cell>
          <cell r="I354" t="b">
            <v>0</v>
          </cell>
          <cell r="J354" t="b">
            <v>0</v>
          </cell>
          <cell r="K354" t="b">
            <v>0</v>
          </cell>
          <cell r="L354" t="b">
            <v>0</v>
          </cell>
          <cell r="M354" t="b">
            <v>0</v>
          </cell>
          <cell r="N354" t="b">
            <v>0</v>
          </cell>
          <cell r="O354" t="b">
            <v>0</v>
          </cell>
          <cell r="P354" t="b">
            <v>0</v>
          </cell>
          <cell r="Q354" t="b">
            <v>0</v>
          </cell>
          <cell r="W354" t="e">
            <v>#REF!</v>
          </cell>
        </row>
        <row r="355">
          <cell r="H355" t="b">
            <v>0</v>
          </cell>
          <cell r="I355" t="b">
            <v>0</v>
          </cell>
          <cell r="J355" t="b">
            <v>0</v>
          </cell>
          <cell r="K355" t="b">
            <v>0</v>
          </cell>
          <cell r="L355" t="b">
            <v>0</v>
          </cell>
          <cell r="M355" t="b">
            <v>0</v>
          </cell>
          <cell r="N355" t="b">
            <v>0</v>
          </cell>
          <cell r="O355" t="b">
            <v>0</v>
          </cell>
          <cell r="P355" t="b">
            <v>0</v>
          </cell>
          <cell r="Q355" t="b">
            <v>0</v>
          </cell>
          <cell r="W355" t="e">
            <v>#REF!</v>
          </cell>
        </row>
        <row r="356">
          <cell r="H356" t="b">
            <v>0</v>
          </cell>
          <cell r="I356" t="b">
            <v>0</v>
          </cell>
          <cell r="J356" t="b">
            <v>0</v>
          </cell>
          <cell r="K356" t="b">
            <v>0</v>
          </cell>
          <cell r="L356" t="b">
            <v>0</v>
          </cell>
          <cell r="M356" t="b">
            <v>0</v>
          </cell>
          <cell r="N356" t="b">
            <v>0</v>
          </cell>
          <cell r="O356" t="b">
            <v>0</v>
          </cell>
          <cell r="P356" t="b">
            <v>0</v>
          </cell>
          <cell r="Q356" t="b">
            <v>0</v>
          </cell>
          <cell r="W356" t="e">
            <v>#REF!</v>
          </cell>
        </row>
        <row r="357">
          <cell r="H357" t="b">
            <v>0</v>
          </cell>
          <cell r="I357" t="b">
            <v>0</v>
          </cell>
          <cell r="J357" t="b">
            <v>0</v>
          </cell>
          <cell r="K357" t="b">
            <v>0</v>
          </cell>
          <cell r="L357" t="b">
            <v>0</v>
          </cell>
          <cell r="M357" t="b">
            <v>0</v>
          </cell>
          <cell r="N357" t="b">
            <v>0</v>
          </cell>
          <cell r="O357" t="b">
            <v>0</v>
          </cell>
          <cell r="P357" t="b">
            <v>0</v>
          </cell>
          <cell r="Q357" t="b">
            <v>0</v>
          </cell>
          <cell r="W357" t="e">
            <v>#REF!</v>
          </cell>
        </row>
        <row r="358">
          <cell r="H358" t="b">
            <v>0</v>
          </cell>
          <cell r="I358" t="b">
            <v>0</v>
          </cell>
          <cell r="J358" t="b">
            <v>0</v>
          </cell>
          <cell r="K358" t="b">
            <v>0</v>
          </cell>
          <cell r="L358" t="b">
            <v>0</v>
          </cell>
          <cell r="M358" t="b">
            <v>0</v>
          </cell>
          <cell r="N358" t="b">
            <v>0</v>
          </cell>
          <cell r="O358" t="b">
            <v>0</v>
          </cell>
          <cell r="P358" t="b">
            <v>0</v>
          </cell>
          <cell r="Q358" t="b">
            <v>0</v>
          </cell>
          <cell r="W358" t="e">
            <v>#REF!</v>
          </cell>
        </row>
        <row r="359">
          <cell r="H359" t="b">
            <v>0</v>
          </cell>
          <cell r="I359" t="b">
            <v>0</v>
          </cell>
          <cell r="J359" t="b">
            <v>0</v>
          </cell>
          <cell r="K359" t="b">
            <v>0</v>
          </cell>
          <cell r="L359" t="b">
            <v>0</v>
          </cell>
          <cell r="M359" t="b">
            <v>0</v>
          </cell>
          <cell r="N359" t="b">
            <v>0</v>
          </cell>
          <cell r="O359" t="b">
            <v>0</v>
          </cell>
          <cell r="P359" t="b">
            <v>0</v>
          </cell>
          <cell r="Q359" t="b">
            <v>0</v>
          </cell>
          <cell r="W359" t="e">
            <v>#REF!</v>
          </cell>
        </row>
        <row r="360">
          <cell r="H360" t="b">
            <v>0</v>
          </cell>
          <cell r="I360" t="b">
            <v>0</v>
          </cell>
          <cell r="J360" t="b">
            <v>0</v>
          </cell>
          <cell r="K360" t="b">
            <v>0</v>
          </cell>
          <cell r="L360" t="b">
            <v>0</v>
          </cell>
          <cell r="M360" t="b">
            <v>0</v>
          </cell>
          <cell r="N360" t="b">
            <v>0</v>
          </cell>
          <cell r="O360" t="b">
            <v>0</v>
          </cell>
          <cell r="P360" t="b">
            <v>0</v>
          </cell>
          <cell r="Q360" t="b">
            <v>0</v>
          </cell>
          <cell r="W360" t="e">
            <v>#REF!</v>
          </cell>
        </row>
        <row r="361">
          <cell r="H361" t="b">
            <v>0</v>
          </cell>
          <cell r="I361" t="b">
            <v>0</v>
          </cell>
          <cell r="J361" t="b">
            <v>0</v>
          </cell>
          <cell r="K361" t="b">
            <v>0</v>
          </cell>
          <cell r="L361" t="b">
            <v>0</v>
          </cell>
          <cell r="M361" t="b">
            <v>0</v>
          </cell>
          <cell r="N361" t="b">
            <v>0</v>
          </cell>
          <cell r="O361" t="b">
            <v>0</v>
          </cell>
          <cell r="P361" t="b">
            <v>0</v>
          </cell>
          <cell r="Q361" t="b">
            <v>0</v>
          </cell>
          <cell r="W361" t="e">
            <v>#REF!</v>
          </cell>
        </row>
        <row r="362">
          <cell r="H362" t="b">
            <v>0</v>
          </cell>
          <cell r="I362" t="b">
            <v>0</v>
          </cell>
          <cell r="J362" t="b">
            <v>0</v>
          </cell>
          <cell r="K362" t="b">
            <v>0</v>
          </cell>
          <cell r="L362" t="b">
            <v>0</v>
          </cell>
          <cell r="M362" t="b">
            <v>0</v>
          </cell>
          <cell r="N362" t="b">
            <v>0</v>
          </cell>
          <cell r="O362" t="b">
            <v>0</v>
          </cell>
          <cell r="P362" t="b">
            <v>0</v>
          </cell>
          <cell r="Q362" t="b">
            <v>0</v>
          </cell>
          <cell r="W362" t="e">
            <v>#REF!</v>
          </cell>
        </row>
        <row r="363">
          <cell r="H363" t="b">
            <v>0</v>
          </cell>
          <cell r="I363" t="b">
            <v>0</v>
          </cell>
          <cell r="J363" t="b">
            <v>0</v>
          </cell>
          <cell r="K363" t="b">
            <v>0</v>
          </cell>
          <cell r="L363" t="b">
            <v>0</v>
          </cell>
          <cell r="M363" t="b">
            <v>0</v>
          </cell>
          <cell r="N363" t="b">
            <v>0</v>
          </cell>
          <cell r="O363" t="b">
            <v>0</v>
          </cell>
          <cell r="P363" t="b">
            <v>0</v>
          </cell>
          <cell r="Q363" t="b">
            <v>0</v>
          </cell>
          <cell r="W363" t="e">
            <v>#REF!</v>
          </cell>
        </row>
        <row r="364">
          <cell r="H364" t="b">
            <v>0</v>
          </cell>
          <cell r="I364" t="b">
            <v>0</v>
          </cell>
          <cell r="J364" t="b">
            <v>0</v>
          </cell>
          <cell r="K364" t="b">
            <v>0</v>
          </cell>
          <cell r="L364" t="b">
            <v>0</v>
          </cell>
          <cell r="M364" t="b">
            <v>0</v>
          </cell>
          <cell r="N364" t="b">
            <v>0</v>
          </cell>
          <cell r="O364" t="b">
            <v>0</v>
          </cell>
          <cell r="P364" t="b">
            <v>0</v>
          </cell>
          <cell r="Q364" t="b">
            <v>0</v>
          </cell>
          <cell r="W364" t="e">
            <v>#REF!</v>
          </cell>
        </row>
        <row r="365">
          <cell r="H365" t="b">
            <v>0</v>
          </cell>
          <cell r="I365" t="b">
            <v>0</v>
          </cell>
          <cell r="J365" t="b">
            <v>0</v>
          </cell>
          <cell r="K365" t="b">
            <v>0</v>
          </cell>
          <cell r="L365" t="b">
            <v>0</v>
          </cell>
          <cell r="M365" t="b">
            <v>0</v>
          </cell>
          <cell r="N365" t="b">
            <v>0</v>
          </cell>
          <cell r="O365" t="b">
            <v>0</v>
          </cell>
          <cell r="P365" t="b">
            <v>0</v>
          </cell>
          <cell r="Q365" t="b">
            <v>0</v>
          </cell>
          <cell r="W365" t="e">
            <v>#REF!</v>
          </cell>
        </row>
        <row r="366">
          <cell r="H366" t="b">
            <v>0</v>
          </cell>
          <cell r="I366" t="b">
            <v>0</v>
          </cell>
          <cell r="J366" t="b">
            <v>0</v>
          </cell>
          <cell r="K366" t="b">
            <v>0</v>
          </cell>
          <cell r="L366" t="b">
            <v>0</v>
          </cell>
          <cell r="M366" t="b">
            <v>0</v>
          </cell>
          <cell r="N366" t="b">
            <v>0</v>
          </cell>
          <cell r="O366" t="b">
            <v>0</v>
          </cell>
          <cell r="P366" t="b">
            <v>0</v>
          </cell>
          <cell r="Q366" t="b">
            <v>0</v>
          </cell>
          <cell r="W366" t="e">
            <v>#REF!</v>
          </cell>
        </row>
        <row r="367">
          <cell r="H367" t="b">
            <v>0</v>
          </cell>
          <cell r="I367" t="b">
            <v>0</v>
          </cell>
          <cell r="J367" t="b">
            <v>0</v>
          </cell>
          <cell r="K367" t="b">
            <v>0</v>
          </cell>
          <cell r="L367" t="b">
            <v>0</v>
          </cell>
          <cell r="M367" t="b">
            <v>0</v>
          </cell>
          <cell r="N367" t="b">
            <v>0</v>
          </cell>
          <cell r="O367" t="b">
            <v>0</v>
          </cell>
          <cell r="P367" t="b">
            <v>0</v>
          </cell>
          <cell r="Q367" t="b">
            <v>0</v>
          </cell>
          <cell r="W367" t="e">
            <v>#REF!</v>
          </cell>
        </row>
        <row r="368">
          <cell r="H368" t="b">
            <v>0</v>
          </cell>
          <cell r="I368" t="b">
            <v>0</v>
          </cell>
          <cell r="J368" t="b">
            <v>0</v>
          </cell>
          <cell r="K368" t="b">
            <v>0</v>
          </cell>
          <cell r="L368" t="b">
            <v>0</v>
          </cell>
          <cell r="M368" t="b">
            <v>0</v>
          </cell>
          <cell r="N368" t="b">
            <v>0</v>
          </cell>
          <cell r="O368" t="b">
            <v>0</v>
          </cell>
          <cell r="P368" t="b">
            <v>0</v>
          </cell>
          <cell r="Q368" t="b">
            <v>0</v>
          </cell>
          <cell r="W368" t="e">
            <v>#REF!</v>
          </cell>
        </row>
        <row r="369">
          <cell r="H369" t="b">
            <v>0</v>
          </cell>
          <cell r="I369" t="b">
            <v>0</v>
          </cell>
          <cell r="J369" t="b">
            <v>0</v>
          </cell>
          <cell r="K369" t="b">
            <v>0</v>
          </cell>
          <cell r="L369" t="b">
            <v>0</v>
          </cell>
          <cell r="M369" t="b">
            <v>0</v>
          </cell>
          <cell r="N369" t="b">
            <v>0</v>
          </cell>
          <cell r="O369" t="b">
            <v>0</v>
          </cell>
          <cell r="P369" t="b">
            <v>0</v>
          </cell>
          <cell r="Q369" t="b">
            <v>0</v>
          </cell>
          <cell r="W369" t="e">
            <v>#REF!</v>
          </cell>
        </row>
        <row r="370">
          <cell r="H370" t="b">
            <v>0</v>
          </cell>
          <cell r="I370" t="b">
            <v>0</v>
          </cell>
          <cell r="J370" t="b">
            <v>0</v>
          </cell>
          <cell r="K370" t="b">
            <v>0</v>
          </cell>
          <cell r="L370" t="b">
            <v>0</v>
          </cell>
          <cell r="M370" t="b">
            <v>0</v>
          </cell>
          <cell r="N370" t="b">
            <v>0</v>
          </cell>
          <cell r="O370" t="b">
            <v>0</v>
          </cell>
          <cell r="P370" t="b">
            <v>0</v>
          </cell>
          <cell r="Q370" t="b">
            <v>0</v>
          </cell>
          <cell r="W370" t="e">
            <v>#REF!</v>
          </cell>
        </row>
        <row r="371">
          <cell r="H371" t="b">
            <v>0</v>
          </cell>
          <cell r="I371" t="b">
            <v>0</v>
          </cell>
          <cell r="J371" t="b">
            <v>0</v>
          </cell>
          <cell r="K371" t="b">
            <v>0</v>
          </cell>
          <cell r="L371" t="b">
            <v>0</v>
          </cell>
          <cell r="M371" t="b">
            <v>0</v>
          </cell>
          <cell r="N371" t="b">
            <v>0</v>
          </cell>
          <cell r="O371" t="b">
            <v>0</v>
          </cell>
          <cell r="P371" t="b">
            <v>0</v>
          </cell>
          <cell r="Q371" t="b">
            <v>0</v>
          </cell>
          <cell r="W371" t="e">
            <v>#REF!</v>
          </cell>
        </row>
        <row r="372">
          <cell r="H372" t="b">
            <v>0</v>
          </cell>
          <cell r="I372" t="b">
            <v>0</v>
          </cell>
          <cell r="J372" t="b">
            <v>0</v>
          </cell>
          <cell r="K372" t="b">
            <v>0</v>
          </cell>
          <cell r="L372" t="b">
            <v>0</v>
          </cell>
          <cell r="M372" t="b">
            <v>0</v>
          </cell>
          <cell r="N372" t="b">
            <v>0</v>
          </cell>
          <cell r="O372" t="b">
            <v>0</v>
          </cell>
          <cell r="P372" t="b">
            <v>0</v>
          </cell>
          <cell r="Q372" t="b">
            <v>0</v>
          </cell>
          <cell r="W372" t="e">
            <v>#REF!</v>
          </cell>
        </row>
        <row r="373">
          <cell r="H373" t="b">
            <v>0</v>
          </cell>
          <cell r="I373" t="b">
            <v>0</v>
          </cell>
          <cell r="J373" t="b">
            <v>0</v>
          </cell>
          <cell r="K373" t="b">
            <v>0</v>
          </cell>
          <cell r="L373" t="b">
            <v>0</v>
          </cell>
          <cell r="M373" t="b">
            <v>0</v>
          </cell>
          <cell r="N373" t="b">
            <v>0</v>
          </cell>
          <cell r="O373" t="b">
            <v>0</v>
          </cell>
          <cell r="P373" t="b">
            <v>0</v>
          </cell>
          <cell r="Q373" t="b">
            <v>0</v>
          </cell>
          <cell r="W373" t="e">
            <v>#REF!</v>
          </cell>
        </row>
        <row r="374">
          <cell r="H374" t="b">
            <v>0</v>
          </cell>
          <cell r="I374" t="b">
            <v>0</v>
          </cell>
          <cell r="J374" t="b">
            <v>0</v>
          </cell>
          <cell r="K374" t="b">
            <v>0</v>
          </cell>
          <cell r="L374" t="b">
            <v>0</v>
          </cell>
          <cell r="M374" t="b">
            <v>0</v>
          </cell>
          <cell r="N374" t="b">
            <v>0</v>
          </cell>
          <cell r="O374" t="b">
            <v>0</v>
          </cell>
          <cell r="P374" t="b">
            <v>0</v>
          </cell>
          <cell r="Q374" t="b">
            <v>0</v>
          </cell>
          <cell r="W374" t="e">
            <v>#REF!</v>
          </cell>
        </row>
        <row r="375">
          <cell r="H375" t="b">
            <v>0</v>
          </cell>
          <cell r="I375" t="b">
            <v>0</v>
          </cell>
          <cell r="J375" t="b">
            <v>0</v>
          </cell>
          <cell r="K375" t="b">
            <v>0</v>
          </cell>
          <cell r="L375" t="b">
            <v>0</v>
          </cell>
          <cell r="M375" t="b">
            <v>0</v>
          </cell>
          <cell r="N375" t="b">
            <v>0</v>
          </cell>
          <cell r="O375" t="b">
            <v>0</v>
          </cell>
          <cell r="P375" t="b">
            <v>0</v>
          </cell>
          <cell r="Q375" t="b">
            <v>0</v>
          </cell>
          <cell r="W375" t="e">
            <v>#REF!</v>
          </cell>
        </row>
        <row r="376">
          <cell r="H376" t="b">
            <v>0</v>
          </cell>
          <cell r="I376" t="b">
            <v>0</v>
          </cell>
          <cell r="J376" t="b">
            <v>0</v>
          </cell>
          <cell r="K376" t="b">
            <v>0</v>
          </cell>
          <cell r="L376" t="b">
            <v>0</v>
          </cell>
          <cell r="M376" t="b">
            <v>0</v>
          </cell>
          <cell r="N376" t="b">
            <v>0</v>
          </cell>
          <cell r="O376" t="b">
            <v>0</v>
          </cell>
          <cell r="P376" t="b">
            <v>0</v>
          </cell>
          <cell r="Q376" t="b">
            <v>0</v>
          </cell>
          <cell r="W376" t="e">
            <v>#REF!</v>
          </cell>
        </row>
        <row r="377">
          <cell r="H377" t="b">
            <v>0</v>
          </cell>
          <cell r="I377" t="b">
            <v>0</v>
          </cell>
          <cell r="J377" t="b">
            <v>0</v>
          </cell>
          <cell r="K377" t="b">
            <v>0</v>
          </cell>
          <cell r="L377" t="b">
            <v>0</v>
          </cell>
          <cell r="M377" t="b">
            <v>0</v>
          </cell>
          <cell r="N377" t="b">
            <v>0</v>
          </cell>
          <cell r="O377" t="b">
            <v>0</v>
          </cell>
          <cell r="P377" t="b">
            <v>0</v>
          </cell>
          <cell r="Q377" t="b">
            <v>0</v>
          </cell>
          <cell r="W377" t="e">
            <v>#REF!</v>
          </cell>
        </row>
        <row r="378">
          <cell r="H378" t="b">
            <v>0</v>
          </cell>
          <cell r="I378" t="b">
            <v>0</v>
          </cell>
          <cell r="J378" t="b">
            <v>0</v>
          </cell>
          <cell r="K378" t="b">
            <v>0</v>
          </cell>
          <cell r="L378" t="b">
            <v>0</v>
          </cell>
          <cell r="M378" t="b">
            <v>0</v>
          </cell>
          <cell r="N378" t="b">
            <v>0</v>
          </cell>
          <cell r="O378" t="b">
            <v>0</v>
          </cell>
          <cell r="P378" t="b">
            <v>0</v>
          </cell>
          <cell r="Q378" t="b">
            <v>0</v>
          </cell>
          <cell r="W378" t="e">
            <v>#REF!</v>
          </cell>
        </row>
        <row r="379">
          <cell r="H379" t="b">
            <v>0</v>
          </cell>
          <cell r="I379" t="b">
            <v>0</v>
          </cell>
          <cell r="J379" t="b">
            <v>0</v>
          </cell>
          <cell r="K379" t="b">
            <v>0</v>
          </cell>
          <cell r="L379" t="b">
            <v>0</v>
          </cell>
          <cell r="M379" t="b">
            <v>0</v>
          </cell>
          <cell r="N379" t="b">
            <v>0</v>
          </cell>
          <cell r="O379" t="b">
            <v>0</v>
          </cell>
          <cell r="P379" t="b">
            <v>0</v>
          </cell>
          <cell r="Q379" t="b">
            <v>0</v>
          </cell>
          <cell r="W379" t="e">
            <v>#REF!</v>
          </cell>
        </row>
        <row r="380">
          <cell r="H380" t="b">
            <v>0</v>
          </cell>
          <cell r="I380" t="b">
            <v>0</v>
          </cell>
          <cell r="J380" t="b">
            <v>0</v>
          </cell>
          <cell r="K380" t="b">
            <v>0</v>
          </cell>
          <cell r="L380" t="b">
            <v>0</v>
          </cell>
          <cell r="M380" t="b">
            <v>0</v>
          </cell>
          <cell r="N380" t="b">
            <v>0</v>
          </cell>
          <cell r="O380" t="b">
            <v>0</v>
          </cell>
          <cell r="P380" t="b">
            <v>0</v>
          </cell>
          <cell r="Q380" t="b">
            <v>0</v>
          </cell>
          <cell r="W380" t="e">
            <v>#REF!</v>
          </cell>
        </row>
        <row r="381">
          <cell r="H381" t="b">
            <v>0</v>
          </cell>
          <cell r="I381" t="b">
            <v>0</v>
          </cell>
          <cell r="J381" t="b">
            <v>0</v>
          </cell>
          <cell r="K381" t="b">
            <v>0</v>
          </cell>
          <cell r="L381" t="b">
            <v>0</v>
          </cell>
          <cell r="M381" t="b">
            <v>0</v>
          </cell>
          <cell r="N381" t="b">
            <v>0</v>
          </cell>
          <cell r="O381" t="b">
            <v>0</v>
          </cell>
          <cell r="P381" t="b">
            <v>0</v>
          </cell>
          <cell r="Q381" t="b">
            <v>0</v>
          </cell>
          <cell r="W381" t="e">
            <v>#REF!</v>
          </cell>
        </row>
        <row r="382">
          <cell r="H382" t="b">
            <v>0</v>
          </cell>
          <cell r="I382" t="b">
            <v>0</v>
          </cell>
          <cell r="J382" t="b">
            <v>0</v>
          </cell>
          <cell r="K382" t="b">
            <v>0</v>
          </cell>
          <cell r="L382" t="b">
            <v>0</v>
          </cell>
          <cell r="M382" t="b">
            <v>0</v>
          </cell>
          <cell r="N382" t="b">
            <v>0</v>
          </cell>
          <cell r="O382" t="b">
            <v>0</v>
          </cell>
          <cell r="P382" t="b">
            <v>0</v>
          </cell>
          <cell r="Q382" t="b">
            <v>0</v>
          </cell>
          <cell r="W382" t="e">
            <v>#REF!</v>
          </cell>
        </row>
        <row r="383">
          <cell r="H383" t="b">
            <v>0</v>
          </cell>
          <cell r="I383" t="b">
            <v>0</v>
          </cell>
          <cell r="J383" t="b">
            <v>0</v>
          </cell>
          <cell r="K383" t="b">
            <v>0</v>
          </cell>
          <cell r="L383" t="b">
            <v>0</v>
          </cell>
          <cell r="M383" t="b">
            <v>0</v>
          </cell>
          <cell r="N383" t="b">
            <v>0</v>
          </cell>
          <cell r="O383" t="b">
            <v>0</v>
          </cell>
          <cell r="P383" t="b">
            <v>0</v>
          </cell>
          <cell r="Q383" t="b">
            <v>0</v>
          </cell>
          <cell r="W383" t="e">
            <v>#REF!</v>
          </cell>
        </row>
        <row r="384">
          <cell r="H384" t="b">
            <v>0</v>
          </cell>
          <cell r="I384" t="b">
            <v>0</v>
          </cell>
          <cell r="J384" t="b">
            <v>0</v>
          </cell>
          <cell r="K384" t="b">
            <v>0</v>
          </cell>
          <cell r="L384" t="b">
            <v>0</v>
          </cell>
          <cell r="M384" t="b">
            <v>0</v>
          </cell>
          <cell r="N384" t="b">
            <v>0</v>
          </cell>
          <cell r="O384" t="b">
            <v>0</v>
          </cell>
          <cell r="P384" t="b">
            <v>0</v>
          </cell>
          <cell r="Q384" t="b">
            <v>0</v>
          </cell>
          <cell r="W384" t="e">
            <v>#REF!</v>
          </cell>
        </row>
        <row r="385">
          <cell r="H385" t="b">
            <v>0</v>
          </cell>
          <cell r="I385" t="b">
            <v>0</v>
          </cell>
          <cell r="J385" t="b">
            <v>0</v>
          </cell>
          <cell r="K385" t="b">
            <v>0</v>
          </cell>
          <cell r="L385" t="b">
            <v>0</v>
          </cell>
          <cell r="M385" t="b">
            <v>0</v>
          </cell>
          <cell r="N385" t="b">
            <v>0</v>
          </cell>
          <cell r="O385" t="b">
            <v>0</v>
          </cell>
          <cell r="P385" t="b">
            <v>0</v>
          </cell>
          <cell r="Q385" t="b">
            <v>0</v>
          </cell>
          <cell r="W385" t="e">
            <v>#REF!</v>
          </cell>
        </row>
        <row r="386">
          <cell r="H386" t="b">
            <v>0</v>
          </cell>
          <cell r="I386" t="b">
            <v>0</v>
          </cell>
          <cell r="J386" t="b">
            <v>0</v>
          </cell>
          <cell r="K386" t="b">
            <v>0</v>
          </cell>
          <cell r="L386" t="b">
            <v>0</v>
          </cell>
          <cell r="M386" t="b">
            <v>0</v>
          </cell>
          <cell r="N386" t="b">
            <v>0</v>
          </cell>
          <cell r="O386" t="b">
            <v>0</v>
          </cell>
          <cell r="P386" t="b">
            <v>0</v>
          </cell>
          <cell r="Q386" t="b">
            <v>0</v>
          </cell>
          <cell r="W386" t="e">
            <v>#REF!</v>
          </cell>
        </row>
        <row r="387">
          <cell r="H387" t="b">
            <v>0</v>
          </cell>
          <cell r="I387" t="b">
            <v>0</v>
          </cell>
          <cell r="J387" t="b">
            <v>0</v>
          </cell>
          <cell r="K387" t="b">
            <v>0</v>
          </cell>
          <cell r="L387" t="b">
            <v>0</v>
          </cell>
          <cell r="M387" t="b">
            <v>0</v>
          </cell>
          <cell r="N387" t="b">
            <v>0</v>
          </cell>
          <cell r="O387" t="b">
            <v>0</v>
          </cell>
          <cell r="P387" t="b">
            <v>0</v>
          </cell>
          <cell r="Q387" t="b">
            <v>0</v>
          </cell>
          <cell r="W387" t="e">
            <v>#REF!</v>
          </cell>
        </row>
        <row r="388">
          <cell r="H388" t="b">
            <v>0</v>
          </cell>
          <cell r="I388" t="b">
            <v>0</v>
          </cell>
          <cell r="J388" t="b">
            <v>0</v>
          </cell>
          <cell r="K388" t="b">
            <v>0</v>
          </cell>
          <cell r="L388" t="b">
            <v>0</v>
          </cell>
          <cell r="M388" t="b">
            <v>0</v>
          </cell>
          <cell r="N388" t="b">
            <v>0</v>
          </cell>
          <cell r="O388" t="b">
            <v>0</v>
          </cell>
          <cell r="P388" t="b">
            <v>0</v>
          </cell>
          <cell r="Q388" t="b">
            <v>0</v>
          </cell>
          <cell r="W388" t="e">
            <v>#REF!</v>
          </cell>
        </row>
        <row r="389">
          <cell r="H389" t="b">
            <v>0</v>
          </cell>
          <cell r="I389" t="b">
            <v>0</v>
          </cell>
          <cell r="J389" t="b">
            <v>0</v>
          </cell>
          <cell r="K389" t="b">
            <v>0</v>
          </cell>
          <cell r="L389" t="b">
            <v>0</v>
          </cell>
          <cell r="M389" t="b">
            <v>0</v>
          </cell>
          <cell r="N389" t="b">
            <v>0</v>
          </cell>
          <cell r="O389" t="b">
            <v>0</v>
          </cell>
          <cell r="P389" t="b">
            <v>0</v>
          </cell>
          <cell r="Q389" t="b">
            <v>0</v>
          </cell>
          <cell r="W389" t="e">
            <v>#REF!</v>
          </cell>
        </row>
        <row r="390">
          <cell r="H390" t="b">
            <v>0</v>
          </cell>
          <cell r="I390" t="b">
            <v>0</v>
          </cell>
          <cell r="J390" t="b">
            <v>0</v>
          </cell>
          <cell r="K390" t="b">
            <v>0</v>
          </cell>
          <cell r="L390" t="b">
            <v>0</v>
          </cell>
          <cell r="M390" t="b">
            <v>0</v>
          </cell>
          <cell r="N390" t="b">
            <v>0</v>
          </cell>
          <cell r="O390" t="b">
            <v>0</v>
          </cell>
          <cell r="P390" t="b">
            <v>0</v>
          </cell>
          <cell r="Q390" t="b">
            <v>0</v>
          </cell>
          <cell r="W390" t="e">
            <v>#REF!</v>
          </cell>
        </row>
        <row r="391">
          <cell r="H391" t="b">
            <v>0</v>
          </cell>
          <cell r="I391" t="b">
            <v>0</v>
          </cell>
          <cell r="J391" t="b">
            <v>0</v>
          </cell>
          <cell r="K391" t="b">
            <v>0</v>
          </cell>
          <cell r="L391" t="b">
            <v>0</v>
          </cell>
          <cell r="M391" t="b">
            <v>0</v>
          </cell>
          <cell r="N391" t="b">
            <v>0</v>
          </cell>
          <cell r="O391" t="b">
            <v>0</v>
          </cell>
          <cell r="P391" t="b">
            <v>0</v>
          </cell>
          <cell r="Q391" t="b">
            <v>0</v>
          </cell>
          <cell r="W391" t="e">
            <v>#REF!</v>
          </cell>
        </row>
        <row r="392">
          <cell r="H392" t="b">
            <v>0</v>
          </cell>
          <cell r="I392" t="b">
            <v>0</v>
          </cell>
          <cell r="J392" t="b">
            <v>0</v>
          </cell>
          <cell r="K392" t="b">
            <v>0</v>
          </cell>
          <cell r="L392" t="b">
            <v>0</v>
          </cell>
          <cell r="M392" t="b">
            <v>0</v>
          </cell>
          <cell r="N392" t="b">
            <v>0</v>
          </cell>
          <cell r="O392" t="b">
            <v>0</v>
          </cell>
          <cell r="P392" t="b">
            <v>0</v>
          </cell>
          <cell r="Q392" t="b">
            <v>0</v>
          </cell>
          <cell r="W392" t="e">
            <v>#REF!</v>
          </cell>
        </row>
        <row r="393">
          <cell r="H393" t="b">
            <v>0</v>
          </cell>
          <cell r="I393" t="b">
            <v>0</v>
          </cell>
          <cell r="J393" t="b">
            <v>0</v>
          </cell>
          <cell r="K393" t="b">
            <v>0</v>
          </cell>
          <cell r="L393" t="b">
            <v>0</v>
          </cell>
          <cell r="M393" t="b">
            <v>0</v>
          </cell>
          <cell r="N393" t="b">
            <v>0</v>
          </cell>
          <cell r="O393" t="b">
            <v>0</v>
          </cell>
          <cell r="P393" t="b">
            <v>0</v>
          </cell>
          <cell r="Q393" t="b">
            <v>0</v>
          </cell>
          <cell r="W393" t="e">
            <v>#REF!</v>
          </cell>
        </row>
        <row r="394">
          <cell r="H394" t="b">
            <v>0</v>
          </cell>
          <cell r="I394" t="b">
            <v>0</v>
          </cell>
          <cell r="J394" t="b">
            <v>0</v>
          </cell>
          <cell r="K394" t="b">
            <v>0</v>
          </cell>
          <cell r="L394" t="b">
            <v>0</v>
          </cell>
          <cell r="M394" t="b">
            <v>0</v>
          </cell>
          <cell r="N394" t="b">
            <v>0</v>
          </cell>
          <cell r="O394" t="b">
            <v>0</v>
          </cell>
          <cell r="P394" t="b">
            <v>0</v>
          </cell>
          <cell r="Q394" t="b">
            <v>0</v>
          </cell>
          <cell r="W394" t="e">
            <v>#REF!</v>
          </cell>
        </row>
        <row r="395">
          <cell r="H395" t="b">
            <v>0</v>
          </cell>
          <cell r="I395" t="b">
            <v>0</v>
          </cell>
          <cell r="J395" t="b">
            <v>0</v>
          </cell>
          <cell r="K395" t="b">
            <v>0</v>
          </cell>
          <cell r="L395" t="b">
            <v>0</v>
          </cell>
          <cell r="M395" t="b">
            <v>0</v>
          </cell>
          <cell r="N395" t="b">
            <v>0</v>
          </cell>
          <cell r="O395" t="b">
            <v>0</v>
          </cell>
          <cell r="P395" t="b">
            <v>0</v>
          </cell>
          <cell r="Q395" t="b">
            <v>0</v>
          </cell>
          <cell r="W395" t="e">
            <v>#REF!</v>
          </cell>
        </row>
        <row r="396">
          <cell r="H396" t="b">
            <v>0</v>
          </cell>
          <cell r="I396" t="b">
            <v>0</v>
          </cell>
          <cell r="J396" t="b">
            <v>0</v>
          </cell>
          <cell r="K396" t="b">
            <v>0</v>
          </cell>
          <cell r="L396" t="b">
            <v>0</v>
          </cell>
          <cell r="M396" t="b">
            <v>0</v>
          </cell>
          <cell r="N396" t="b">
            <v>0</v>
          </cell>
          <cell r="O396" t="b">
            <v>0</v>
          </cell>
          <cell r="P396" t="b">
            <v>0</v>
          </cell>
          <cell r="Q396" t="b">
            <v>0</v>
          </cell>
          <cell r="W396" t="e">
            <v>#REF!</v>
          </cell>
        </row>
        <row r="397">
          <cell r="H397" t="b">
            <v>0</v>
          </cell>
          <cell r="I397" t="b">
            <v>0</v>
          </cell>
          <cell r="J397" t="b">
            <v>0</v>
          </cell>
          <cell r="K397" t="b">
            <v>0</v>
          </cell>
          <cell r="L397" t="b">
            <v>0</v>
          </cell>
          <cell r="M397" t="b">
            <v>0</v>
          </cell>
          <cell r="N397" t="b">
            <v>0</v>
          </cell>
          <cell r="O397" t="b">
            <v>0</v>
          </cell>
          <cell r="P397" t="b">
            <v>0</v>
          </cell>
          <cell r="Q397" t="b">
            <v>0</v>
          </cell>
          <cell r="W397" t="e">
            <v>#REF!</v>
          </cell>
        </row>
        <row r="398">
          <cell r="H398" t="b">
            <v>0</v>
          </cell>
          <cell r="I398" t="b">
            <v>0</v>
          </cell>
          <cell r="J398" t="b">
            <v>0</v>
          </cell>
          <cell r="K398" t="b">
            <v>0</v>
          </cell>
          <cell r="L398" t="b">
            <v>0</v>
          </cell>
          <cell r="M398" t="b">
            <v>0</v>
          </cell>
          <cell r="N398" t="b">
            <v>0</v>
          </cell>
          <cell r="O398" t="b">
            <v>0</v>
          </cell>
          <cell r="P398" t="b">
            <v>0</v>
          </cell>
          <cell r="Q398" t="b">
            <v>0</v>
          </cell>
          <cell r="W398" t="e">
            <v>#REF!</v>
          </cell>
        </row>
        <row r="399">
          <cell r="H399" t="b">
            <v>0</v>
          </cell>
          <cell r="I399" t="b">
            <v>0</v>
          </cell>
          <cell r="J399" t="b">
            <v>0</v>
          </cell>
          <cell r="K399" t="b">
            <v>0</v>
          </cell>
          <cell r="L399" t="b">
            <v>0</v>
          </cell>
          <cell r="M399" t="b">
            <v>0</v>
          </cell>
          <cell r="N399" t="b">
            <v>0</v>
          </cell>
          <cell r="O399" t="b">
            <v>0</v>
          </cell>
          <cell r="P399" t="b">
            <v>0</v>
          </cell>
          <cell r="Q399" t="b">
            <v>0</v>
          </cell>
          <cell r="W399" t="e">
            <v>#REF!</v>
          </cell>
        </row>
        <row r="400">
          <cell r="H400" t="b">
            <v>0</v>
          </cell>
          <cell r="I400" t="b">
            <v>0</v>
          </cell>
          <cell r="J400" t="b">
            <v>0</v>
          </cell>
          <cell r="K400" t="b">
            <v>0</v>
          </cell>
          <cell r="L400" t="b">
            <v>0</v>
          </cell>
          <cell r="M400" t="b">
            <v>0</v>
          </cell>
          <cell r="N400" t="b">
            <v>0</v>
          </cell>
          <cell r="O400" t="b">
            <v>0</v>
          </cell>
          <cell r="P400" t="b">
            <v>0</v>
          </cell>
          <cell r="Q400" t="b">
            <v>0</v>
          </cell>
          <cell r="W400" t="e">
            <v>#REF!</v>
          </cell>
        </row>
        <row r="401">
          <cell r="H401" t="b">
            <v>0</v>
          </cell>
          <cell r="I401" t="b">
            <v>0</v>
          </cell>
          <cell r="J401" t="b">
            <v>0</v>
          </cell>
          <cell r="K401" t="b">
            <v>0</v>
          </cell>
          <cell r="L401" t="b">
            <v>0</v>
          </cell>
          <cell r="M401" t="b">
            <v>0</v>
          </cell>
          <cell r="N401" t="b">
            <v>0</v>
          </cell>
          <cell r="O401" t="b">
            <v>0</v>
          </cell>
          <cell r="P401" t="b">
            <v>0</v>
          </cell>
          <cell r="Q401" t="b">
            <v>0</v>
          </cell>
          <cell r="W401" t="e">
            <v>#REF!</v>
          </cell>
        </row>
        <row r="402">
          <cell r="H402" t="b">
            <v>0</v>
          </cell>
          <cell r="I402" t="b">
            <v>0</v>
          </cell>
          <cell r="J402" t="b">
            <v>0</v>
          </cell>
          <cell r="K402" t="b">
            <v>0</v>
          </cell>
          <cell r="L402" t="b">
            <v>0</v>
          </cell>
          <cell r="M402" t="b">
            <v>0</v>
          </cell>
          <cell r="N402" t="b">
            <v>0</v>
          </cell>
          <cell r="O402" t="b">
            <v>0</v>
          </cell>
          <cell r="P402" t="b">
            <v>0</v>
          </cell>
          <cell r="Q402" t="b">
            <v>0</v>
          </cell>
          <cell r="W402" t="e">
            <v>#REF!</v>
          </cell>
        </row>
        <row r="403">
          <cell r="H403" t="b">
            <v>0</v>
          </cell>
          <cell r="I403" t="b">
            <v>0</v>
          </cell>
          <cell r="J403" t="b">
            <v>0</v>
          </cell>
          <cell r="K403" t="b">
            <v>0</v>
          </cell>
          <cell r="L403" t="b">
            <v>0</v>
          </cell>
          <cell r="M403" t="b">
            <v>0</v>
          </cell>
          <cell r="N403" t="b">
            <v>0</v>
          </cell>
          <cell r="O403" t="b">
            <v>0</v>
          </cell>
          <cell r="P403" t="b">
            <v>0</v>
          </cell>
          <cell r="Q403" t="b">
            <v>0</v>
          </cell>
          <cell r="W403" t="e">
            <v>#REF!</v>
          </cell>
        </row>
        <row r="404">
          <cell r="H404" t="b">
            <v>0</v>
          </cell>
          <cell r="I404" t="b">
            <v>0</v>
          </cell>
          <cell r="J404" t="b">
            <v>0</v>
          </cell>
          <cell r="K404" t="b">
            <v>0</v>
          </cell>
          <cell r="L404" t="b">
            <v>0</v>
          </cell>
          <cell r="M404" t="b">
            <v>0</v>
          </cell>
          <cell r="N404" t="b">
            <v>0</v>
          </cell>
          <cell r="O404" t="b">
            <v>0</v>
          </cell>
          <cell r="P404" t="b">
            <v>0</v>
          </cell>
          <cell r="Q404" t="b">
            <v>0</v>
          </cell>
          <cell r="W404" t="e">
            <v>#REF!</v>
          </cell>
        </row>
        <row r="405">
          <cell r="H405" t="b">
            <v>0</v>
          </cell>
          <cell r="I405" t="b">
            <v>0</v>
          </cell>
          <cell r="J405" t="b">
            <v>0</v>
          </cell>
          <cell r="K405" t="b">
            <v>0</v>
          </cell>
          <cell r="L405" t="b">
            <v>0</v>
          </cell>
          <cell r="M405" t="b">
            <v>0</v>
          </cell>
          <cell r="N405" t="b">
            <v>0</v>
          </cell>
          <cell r="O405" t="b">
            <v>0</v>
          </cell>
          <cell r="P405" t="b">
            <v>0</v>
          </cell>
          <cell r="Q405" t="b">
            <v>0</v>
          </cell>
          <cell r="W405" t="e">
            <v>#REF!</v>
          </cell>
        </row>
        <row r="406">
          <cell r="H406" t="b">
            <v>0</v>
          </cell>
          <cell r="I406" t="b">
            <v>0</v>
          </cell>
          <cell r="J406" t="b">
            <v>0</v>
          </cell>
          <cell r="K406" t="b">
            <v>0</v>
          </cell>
          <cell r="L406" t="b">
            <v>0</v>
          </cell>
          <cell r="M406" t="b">
            <v>0</v>
          </cell>
          <cell r="N406" t="b">
            <v>0</v>
          </cell>
          <cell r="O406" t="b">
            <v>0</v>
          </cell>
          <cell r="P406" t="b">
            <v>0</v>
          </cell>
          <cell r="Q406" t="b">
            <v>0</v>
          </cell>
          <cell r="W406" t="e">
            <v>#REF!</v>
          </cell>
        </row>
        <row r="407">
          <cell r="H407" t="b">
            <v>0</v>
          </cell>
          <cell r="I407" t="b">
            <v>0</v>
          </cell>
          <cell r="J407" t="b">
            <v>0</v>
          </cell>
          <cell r="K407" t="b">
            <v>0</v>
          </cell>
          <cell r="L407" t="b">
            <v>0</v>
          </cell>
          <cell r="M407" t="b">
            <v>0</v>
          </cell>
          <cell r="N407" t="b">
            <v>0</v>
          </cell>
          <cell r="O407" t="b">
            <v>0</v>
          </cell>
          <cell r="P407" t="b">
            <v>0</v>
          </cell>
          <cell r="Q407" t="b">
            <v>0</v>
          </cell>
          <cell r="W407" t="e">
            <v>#REF!</v>
          </cell>
        </row>
        <row r="408">
          <cell r="H408" t="b">
            <v>0</v>
          </cell>
          <cell r="I408" t="b">
            <v>0</v>
          </cell>
          <cell r="J408" t="b">
            <v>0</v>
          </cell>
          <cell r="K408" t="b">
            <v>0</v>
          </cell>
          <cell r="L408" t="b">
            <v>0</v>
          </cell>
          <cell r="M408" t="b">
            <v>0</v>
          </cell>
          <cell r="N408" t="b">
            <v>0</v>
          </cell>
          <cell r="O408" t="b">
            <v>0</v>
          </cell>
          <cell r="P408" t="b">
            <v>0</v>
          </cell>
          <cell r="Q408" t="b">
            <v>0</v>
          </cell>
          <cell r="W408" t="e">
            <v>#REF!</v>
          </cell>
        </row>
        <row r="409">
          <cell r="H409" t="b">
            <v>0</v>
          </cell>
          <cell r="I409" t="b">
            <v>0</v>
          </cell>
          <cell r="J409" t="b">
            <v>0</v>
          </cell>
          <cell r="K409" t="b">
            <v>0</v>
          </cell>
          <cell r="L409" t="b">
            <v>0</v>
          </cell>
          <cell r="M409" t="b">
            <v>0</v>
          </cell>
          <cell r="N409" t="b">
            <v>0</v>
          </cell>
          <cell r="O409" t="b">
            <v>0</v>
          </cell>
          <cell r="P409" t="b">
            <v>0</v>
          </cell>
          <cell r="Q409" t="b">
            <v>0</v>
          </cell>
          <cell r="W409" t="e">
            <v>#REF!</v>
          </cell>
        </row>
        <row r="410">
          <cell r="H410" t="b">
            <v>0</v>
          </cell>
          <cell r="I410" t="b">
            <v>0</v>
          </cell>
          <cell r="J410" t="b">
            <v>0</v>
          </cell>
          <cell r="K410" t="b">
            <v>0</v>
          </cell>
          <cell r="L410" t="b">
            <v>0</v>
          </cell>
          <cell r="M410" t="b">
            <v>0</v>
          </cell>
          <cell r="N410" t="b">
            <v>0</v>
          </cell>
          <cell r="O410" t="b">
            <v>0</v>
          </cell>
          <cell r="P410" t="b">
            <v>0</v>
          </cell>
          <cell r="Q410" t="b">
            <v>0</v>
          </cell>
          <cell r="W410" t="e">
            <v>#REF!</v>
          </cell>
        </row>
        <row r="411">
          <cell r="H411" t="b">
            <v>0</v>
          </cell>
          <cell r="I411" t="b">
            <v>0</v>
          </cell>
          <cell r="J411" t="b">
            <v>0</v>
          </cell>
          <cell r="K411" t="b">
            <v>0</v>
          </cell>
          <cell r="L411" t="b">
            <v>0</v>
          </cell>
          <cell r="M411" t="b">
            <v>0</v>
          </cell>
          <cell r="N411" t="b">
            <v>0</v>
          </cell>
          <cell r="O411" t="b">
            <v>0</v>
          </cell>
          <cell r="P411" t="b">
            <v>0</v>
          </cell>
          <cell r="Q411" t="b">
            <v>0</v>
          </cell>
          <cell r="W411" t="e">
            <v>#REF!</v>
          </cell>
        </row>
        <row r="412">
          <cell r="H412" t="b">
            <v>0</v>
          </cell>
          <cell r="I412" t="b">
            <v>0</v>
          </cell>
          <cell r="J412" t="b">
            <v>0</v>
          </cell>
          <cell r="K412" t="b">
            <v>0</v>
          </cell>
          <cell r="L412" t="b">
            <v>0</v>
          </cell>
          <cell r="M412" t="b">
            <v>0</v>
          </cell>
          <cell r="N412" t="b">
            <v>0</v>
          </cell>
          <cell r="O412" t="b">
            <v>0</v>
          </cell>
          <cell r="P412" t="b">
            <v>0</v>
          </cell>
          <cell r="Q412" t="b">
            <v>0</v>
          </cell>
          <cell r="W412" t="e">
            <v>#REF!</v>
          </cell>
        </row>
        <row r="413">
          <cell r="H413" t="b">
            <v>0</v>
          </cell>
          <cell r="I413" t="b">
            <v>0</v>
          </cell>
          <cell r="J413" t="b">
            <v>0</v>
          </cell>
          <cell r="K413" t="b">
            <v>0</v>
          </cell>
          <cell r="L413" t="b">
            <v>0</v>
          </cell>
          <cell r="M413" t="b">
            <v>0</v>
          </cell>
          <cell r="N413" t="b">
            <v>0</v>
          </cell>
          <cell r="O413" t="b">
            <v>0</v>
          </cell>
          <cell r="P413" t="b">
            <v>0</v>
          </cell>
          <cell r="Q413" t="b">
            <v>0</v>
          </cell>
          <cell r="W413" t="e">
            <v>#REF!</v>
          </cell>
        </row>
        <row r="414">
          <cell r="H414" t="b">
            <v>0</v>
          </cell>
          <cell r="I414" t="b">
            <v>0</v>
          </cell>
          <cell r="J414" t="b">
            <v>0</v>
          </cell>
          <cell r="K414" t="b">
            <v>0</v>
          </cell>
          <cell r="L414" t="b">
            <v>0</v>
          </cell>
          <cell r="M414" t="b">
            <v>0</v>
          </cell>
          <cell r="N414" t="b">
            <v>0</v>
          </cell>
          <cell r="O414" t="b">
            <v>0</v>
          </cell>
          <cell r="P414" t="b">
            <v>0</v>
          </cell>
          <cell r="Q414" t="b">
            <v>0</v>
          </cell>
          <cell r="W414" t="e">
            <v>#REF!</v>
          </cell>
        </row>
        <row r="415">
          <cell r="H415" t="b">
            <v>0</v>
          </cell>
          <cell r="I415" t="b">
            <v>0</v>
          </cell>
          <cell r="J415" t="b">
            <v>0</v>
          </cell>
          <cell r="K415" t="b">
            <v>0</v>
          </cell>
          <cell r="L415" t="b">
            <v>0</v>
          </cell>
          <cell r="M415" t="b">
            <v>0</v>
          </cell>
          <cell r="N415" t="b">
            <v>0</v>
          </cell>
          <cell r="O415" t="b">
            <v>0</v>
          </cell>
          <cell r="P415" t="b">
            <v>0</v>
          </cell>
          <cell r="Q415" t="b">
            <v>0</v>
          </cell>
          <cell r="W415" t="e">
            <v>#REF!</v>
          </cell>
        </row>
        <row r="416">
          <cell r="H416" t="b">
            <v>0</v>
          </cell>
          <cell r="I416" t="b">
            <v>0</v>
          </cell>
          <cell r="J416" t="b">
            <v>0</v>
          </cell>
          <cell r="K416" t="b">
            <v>0</v>
          </cell>
          <cell r="L416" t="b">
            <v>0</v>
          </cell>
          <cell r="M416" t="b">
            <v>0</v>
          </cell>
          <cell r="N416" t="b">
            <v>0</v>
          </cell>
          <cell r="O416" t="b">
            <v>0</v>
          </cell>
          <cell r="P416" t="b">
            <v>0</v>
          </cell>
          <cell r="Q416" t="b">
            <v>0</v>
          </cell>
          <cell r="W416" t="e">
            <v>#REF!</v>
          </cell>
        </row>
        <row r="417">
          <cell r="H417" t="b">
            <v>0</v>
          </cell>
          <cell r="I417" t="b">
            <v>0</v>
          </cell>
          <cell r="J417" t="b">
            <v>0</v>
          </cell>
          <cell r="K417" t="b">
            <v>0</v>
          </cell>
          <cell r="L417" t="b">
            <v>0</v>
          </cell>
          <cell r="M417" t="b">
            <v>0</v>
          </cell>
          <cell r="N417" t="b">
            <v>0</v>
          </cell>
          <cell r="O417" t="b">
            <v>0</v>
          </cell>
          <cell r="P417" t="b">
            <v>0</v>
          </cell>
          <cell r="Q417" t="b">
            <v>0</v>
          </cell>
          <cell r="W417" t="e">
            <v>#REF!</v>
          </cell>
        </row>
        <row r="418">
          <cell r="H418" t="b">
            <v>0</v>
          </cell>
          <cell r="I418" t="b">
            <v>0</v>
          </cell>
          <cell r="J418" t="b">
            <v>0</v>
          </cell>
          <cell r="K418" t="b">
            <v>0</v>
          </cell>
          <cell r="L418" t="b">
            <v>0</v>
          </cell>
          <cell r="M418" t="b">
            <v>0</v>
          </cell>
          <cell r="N418" t="b">
            <v>0</v>
          </cell>
          <cell r="O418" t="b">
            <v>0</v>
          </cell>
          <cell r="P418" t="b">
            <v>0</v>
          </cell>
          <cell r="Q418" t="b">
            <v>0</v>
          </cell>
          <cell r="W418" t="e">
            <v>#REF!</v>
          </cell>
        </row>
        <row r="419">
          <cell r="H419" t="b">
            <v>0</v>
          </cell>
          <cell r="I419" t="b">
            <v>0</v>
          </cell>
          <cell r="J419" t="b">
            <v>0</v>
          </cell>
          <cell r="K419" t="b">
            <v>0</v>
          </cell>
          <cell r="L419" t="b">
            <v>0</v>
          </cell>
          <cell r="M419" t="b">
            <v>0</v>
          </cell>
          <cell r="N419" t="b">
            <v>0</v>
          </cell>
          <cell r="O419" t="b">
            <v>0</v>
          </cell>
          <cell r="P419" t="b">
            <v>0</v>
          </cell>
          <cell r="Q419" t="b">
            <v>0</v>
          </cell>
          <cell r="W419" t="e">
            <v>#REF!</v>
          </cell>
        </row>
        <row r="420">
          <cell r="H420" t="b">
            <v>0</v>
          </cell>
          <cell r="I420" t="b">
            <v>0</v>
          </cell>
          <cell r="J420" t="b">
            <v>0</v>
          </cell>
          <cell r="K420" t="b">
            <v>0</v>
          </cell>
          <cell r="L420" t="b">
            <v>0</v>
          </cell>
          <cell r="M420" t="b">
            <v>0</v>
          </cell>
          <cell r="N420" t="b">
            <v>0</v>
          </cell>
          <cell r="O420" t="b">
            <v>0</v>
          </cell>
          <cell r="P420" t="b">
            <v>0</v>
          </cell>
          <cell r="Q420" t="b">
            <v>0</v>
          </cell>
          <cell r="W420" t="e">
            <v>#REF!</v>
          </cell>
        </row>
        <row r="421">
          <cell r="H421" t="b">
            <v>0</v>
          </cell>
          <cell r="I421" t="b">
            <v>0</v>
          </cell>
          <cell r="J421" t="b">
            <v>0</v>
          </cell>
          <cell r="K421" t="b">
            <v>0</v>
          </cell>
          <cell r="L421" t="b">
            <v>0</v>
          </cell>
          <cell r="M421" t="b">
            <v>0</v>
          </cell>
          <cell r="N421" t="b">
            <v>0</v>
          </cell>
          <cell r="O421" t="b">
            <v>0</v>
          </cell>
          <cell r="P421" t="b">
            <v>0</v>
          </cell>
          <cell r="Q421" t="b">
            <v>0</v>
          </cell>
          <cell r="W421" t="e">
            <v>#REF!</v>
          </cell>
        </row>
        <row r="422">
          <cell r="H422" t="b">
            <v>0</v>
          </cell>
          <cell r="I422" t="b">
            <v>0</v>
          </cell>
          <cell r="J422" t="b">
            <v>0</v>
          </cell>
          <cell r="K422" t="b">
            <v>0</v>
          </cell>
          <cell r="L422" t="b">
            <v>0</v>
          </cell>
          <cell r="M422" t="b">
            <v>0</v>
          </cell>
          <cell r="N422" t="b">
            <v>0</v>
          </cell>
          <cell r="O422" t="b">
            <v>0</v>
          </cell>
          <cell r="P422" t="b">
            <v>0</v>
          </cell>
          <cell r="Q422" t="b">
            <v>0</v>
          </cell>
          <cell r="W422" t="e">
            <v>#REF!</v>
          </cell>
        </row>
        <row r="423">
          <cell r="H423" t="b">
            <v>0</v>
          </cell>
          <cell r="I423" t="b">
            <v>0</v>
          </cell>
          <cell r="J423" t="b">
            <v>0</v>
          </cell>
          <cell r="K423" t="b">
            <v>0</v>
          </cell>
          <cell r="L423" t="b">
            <v>0</v>
          </cell>
          <cell r="M423" t="b">
            <v>0</v>
          </cell>
          <cell r="N423" t="b">
            <v>0</v>
          </cell>
          <cell r="O423" t="b">
            <v>0</v>
          </cell>
          <cell r="P423" t="b">
            <v>0</v>
          </cell>
          <cell r="Q423" t="b">
            <v>0</v>
          </cell>
          <cell r="W423" t="e">
            <v>#REF!</v>
          </cell>
        </row>
        <row r="424">
          <cell r="H424" t="b">
            <v>0</v>
          </cell>
          <cell r="I424" t="b">
            <v>0</v>
          </cell>
          <cell r="J424" t="b">
            <v>0</v>
          </cell>
          <cell r="K424" t="b">
            <v>0</v>
          </cell>
          <cell r="L424" t="b">
            <v>0</v>
          </cell>
          <cell r="M424" t="b">
            <v>0</v>
          </cell>
          <cell r="N424" t="b">
            <v>0</v>
          </cell>
          <cell r="O424" t="b">
            <v>0</v>
          </cell>
          <cell r="P424" t="b">
            <v>0</v>
          </cell>
          <cell r="Q424" t="b">
            <v>0</v>
          </cell>
          <cell r="W424" t="e">
            <v>#REF!</v>
          </cell>
        </row>
        <row r="425">
          <cell r="H425" t="b">
            <v>0</v>
          </cell>
          <cell r="I425" t="b">
            <v>0</v>
          </cell>
          <cell r="J425" t="b">
            <v>0</v>
          </cell>
          <cell r="K425" t="b">
            <v>0</v>
          </cell>
          <cell r="L425" t="b">
            <v>0</v>
          </cell>
          <cell r="M425" t="b">
            <v>0</v>
          </cell>
          <cell r="N425" t="b">
            <v>0</v>
          </cell>
          <cell r="O425" t="b">
            <v>0</v>
          </cell>
          <cell r="P425" t="b">
            <v>0</v>
          </cell>
          <cell r="Q425" t="b">
            <v>0</v>
          </cell>
          <cell r="W425" t="e">
            <v>#REF!</v>
          </cell>
        </row>
        <row r="426">
          <cell r="H426" t="b">
            <v>0</v>
          </cell>
          <cell r="I426" t="b">
            <v>0</v>
          </cell>
          <cell r="J426" t="b">
            <v>0</v>
          </cell>
          <cell r="K426" t="b">
            <v>0</v>
          </cell>
          <cell r="L426" t="b">
            <v>0</v>
          </cell>
          <cell r="M426" t="b">
            <v>0</v>
          </cell>
          <cell r="N426" t="b">
            <v>0</v>
          </cell>
          <cell r="O426" t="b">
            <v>0</v>
          </cell>
          <cell r="P426" t="b">
            <v>0</v>
          </cell>
          <cell r="Q426" t="b">
            <v>0</v>
          </cell>
          <cell r="W426" t="e">
            <v>#REF!</v>
          </cell>
        </row>
        <row r="427">
          <cell r="H427" t="b">
            <v>0</v>
          </cell>
          <cell r="I427" t="b">
            <v>0</v>
          </cell>
          <cell r="J427" t="b">
            <v>0</v>
          </cell>
          <cell r="K427" t="b">
            <v>0</v>
          </cell>
          <cell r="L427" t="b">
            <v>0</v>
          </cell>
          <cell r="M427" t="b">
            <v>0</v>
          </cell>
          <cell r="N427" t="b">
            <v>0</v>
          </cell>
          <cell r="O427" t="b">
            <v>0</v>
          </cell>
          <cell r="P427" t="b">
            <v>0</v>
          </cell>
          <cell r="Q427" t="b">
            <v>0</v>
          </cell>
          <cell r="W427" t="e">
            <v>#REF!</v>
          </cell>
        </row>
        <row r="428">
          <cell r="H428" t="b">
            <v>0</v>
          </cell>
          <cell r="I428" t="b">
            <v>0</v>
          </cell>
          <cell r="J428" t="b">
            <v>0</v>
          </cell>
          <cell r="K428" t="b">
            <v>0</v>
          </cell>
          <cell r="L428" t="b">
            <v>0</v>
          </cell>
          <cell r="M428" t="b">
            <v>0</v>
          </cell>
          <cell r="N428" t="b">
            <v>0</v>
          </cell>
          <cell r="O428" t="b">
            <v>0</v>
          </cell>
          <cell r="P428" t="b">
            <v>0</v>
          </cell>
          <cell r="Q428" t="b">
            <v>0</v>
          </cell>
          <cell r="W428" t="e">
            <v>#REF!</v>
          </cell>
        </row>
        <row r="429">
          <cell r="H429" t="b">
            <v>0</v>
          </cell>
          <cell r="I429" t="b">
            <v>0</v>
          </cell>
          <cell r="J429" t="b">
            <v>0</v>
          </cell>
          <cell r="K429" t="b">
            <v>0</v>
          </cell>
          <cell r="L429" t="b">
            <v>0</v>
          </cell>
          <cell r="M429" t="b">
            <v>0</v>
          </cell>
          <cell r="N429" t="b">
            <v>0</v>
          </cell>
          <cell r="O429" t="b">
            <v>0</v>
          </cell>
          <cell r="P429" t="b">
            <v>0</v>
          </cell>
          <cell r="Q429" t="b">
            <v>0</v>
          </cell>
          <cell r="W429" t="e">
            <v>#REF!</v>
          </cell>
        </row>
        <row r="430">
          <cell r="H430" t="b">
            <v>0</v>
          </cell>
          <cell r="I430" t="b">
            <v>0</v>
          </cell>
          <cell r="J430" t="b">
            <v>0</v>
          </cell>
          <cell r="K430" t="b">
            <v>0</v>
          </cell>
          <cell r="L430" t="b">
            <v>0</v>
          </cell>
          <cell r="M430" t="b">
            <v>0</v>
          </cell>
          <cell r="N430" t="b">
            <v>0</v>
          </cell>
          <cell r="O430" t="b">
            <v>0</v>
          </cell>
          <cell r="P430" t="b">
            <v>0</v>
          </cell>
          <cell r="Q430" t="b">
            <v>0</v>
          </cell>
          <cell r="W430" t="e">
            <v>#REF!</v>
          </cell>
        </row>
        <row r="431">
          <cell r="H431" t="b">
            <v>0</v>
          </cell>
          <cell r="I431" t="b">
            <v>0</v>
          </cell>
          <cell r="J431" t="b">
            <v>0</v>
          </cell>
          <cell r="K431" t="b">
            <v>0</v>
          </cell>
          <cell r="L431" t="b">
            <v>0</v>
          </cell>
          <cell r="M431" t="b">
            <v>0</v>
          </cell>
          <cell r="N431" t="b">
            <v>0</v>
          </cell>
          <cell r="O431" t="b">
            <v>0</v>
          </cell>
          <cell r="P431" t="b">
            <v>0</v>
          </cell>
          <cell r="Q431" t="b">
            <v>0</v>
          </cell>
          <cell r="W431" t="e">
            <v>#REF!</v>
          </cell>
        </row>
        <row r="432">
          <cell r="H432" t="b">
            <v>0</v>
          </cell>
          <cell r="I432" t="b">
            <v>0</v>
          </cell>
          <cell r="J432" t="b">
            <v>0</v>
          </cell>
          <cell r="K432" t="b">
            <v>0</v>
          </cell>
          <cell r="L432" t="b">
            <v>0</v>
          </cell>
          <cell r="M432" t="b">
            <v>0</v>
          </cell>
          <cell r="N432" t="b">
            <v>0</v>
          </cell>
          <cell r="O432" t="b">
            <v>0</v>
          </cell>
          <cell r="P432" t="b">
            <v>0</v>
          </cell>
          <cell r="Q432" t="b">
            <v>0</v>
          </cell>
          <cell r="W432" t="e">
            <v>#REF!</v>
          </cell>
        </row>
        <row r="433">
          <cell r="H433" t="b">
            <v>0</v>
          </cell>
          <cell r="I433" t="b">
            <v>0</v>
          </cell>
          <cell r="J433" t="b">
            <v>0</v>
          </cell>
          <cell r="K433" t="b">
            <v>0</v>
          </cell>
          <cell r="L433" t="b">
            <v>0</v>
          </cell>
          <cell r="M433" t="b">
            <v>0</v>
          </cell>
          <cell r="N433" t="b">
            <v>0</v>
          </cell>
          <cell r="O433" t="b">
            <v>0</v>
          </cell>
          <cell r="P433" t="b">
            <v>0</v>
          </cell>
          <cell r="Q433" t="b">
            <v>0</v>
          </cell>
          <cell r="W433" t="e">
            <v>#REF!</v>
          </cell>
        </row>
        <row r="434">
          <cell r="H434" t="b">
            <v>0</v>
          </cell>
          <cell r="I434" t="b">
            <v>0</v>
          </cell>
          <cell r="J434" t="b">
            <v>0</v>
          </cell>
          <cell r="K434" t="b">
            <v>0</v>
          </cell>
          <cell r="L434" t="b">
            <v>0</v>
          </cell>
          <cell r="M434" t="b">
            <v>0</v>
          </cell>
          <cell r="N434" t="b">
            <v>0</v>
          </cell>
          <cell r="O434" t="b">
            <v>0</v>
          </cell>
          <cell r="P434" t="b">
            <v>0</v>
          </cell>
          <cell r="Q434" t="b">
            <v>0</v>
          </cell>
          <cell r="W434" t="e">
            <v>#REF!</v>
          </cell>
        </row>
        <row r="435">
          <cell r="H435" t="b">
            <v>0</v>
          </cell>
          <cell r="I435" t="b">
            <v>0</v>
          </cell>
          <cell r="J435" t="b">
            <v>0</v>
          </cell>
          <cell r="K435" t="b">
            <v>0</v>
          </cell>
          <cell r="L435" t="b">
            <v>0</v>
          </cell>
          <cell r="M435" t="b">
            <v>0</v>
          </cell>
          <cell r="N435" t="b">
            <v>0</v>
          </cell>
          <cell r="O435" t="b">
            <v>0</v>
          </cell>
          <cell r="P435" t="b">
            <v>0</v>
          </cell>
          <cell r="Q435" t="b">
            <v>0</v>
          </cell>
          <cell r="W435" t="e">
            <v>#REF!</v>
          </cell>
        </row>
        <row r="436">
          <cell r="H436" t="b">
            <v>0</v>
          </cell>
          <cell r="I436" t="b">
            <v>0</v>
          </cell>
          <cell r="J436" t="b">
            <v>0</v>
          </cell>
          <cell r="K436" t="b">
            <v>0</v>
          </cell>
          <cell r="L436" t="b">
            <v>0</v>
          </cell>
          <cell r="M436" t="b">
            <v>0</v>
          </cell>
          <cell r="N436" t="b">
            <v>0</v>
          </cell>
          <cell r="O436" t="b">
            <v>0</v>
          </cell>
          <cell r="P436" t="b">
            <v>0</v>
          </cell>
          <cell r="Q436" t="b">
            <v>0</v>
          </cell>
          <cell r="W436" t="e">
            <v>#REF!</v>
          </cell>
        </row>
        <row r="437">
          <cell r="H437" t="b">
            <v>0</v>
          </cell>
          <cell r="I437" t="b">
            <v>0</v>
          </cell>
          <cell r="J437" t="b">
            <v>0</v>
          </cell>
          <cell r="K437" t="b">
            <v>0</v>
          </cell>
          <cell r="L437" t="b">
            <v>0</v>
          </cell>
          <cell r="M437" t="b">
            <v>0</v>
          </cell>
          <cell r="N437" t="b">
            <v>0</v>
          </cell>
          <cell r="O437" t="b">
            <v>0</v>
          </cell>
          <cell r="P437" t="b">
            <v>0</v>
          </cell>
          <cell r="Q437" t="b">
            <v>0</v>
          </cell>
          <cell r="W437" t="e">
            <v>#REF!</v>
          </cell>
        </row>
        <row r="438">
          <cell r="H438" t="b">
            <v>0</v>
          </cell>
          <cell r="I438" t="b">
            <v>0</v>
          </cell>
          <cell r="J438" t="b">
            <v>0</v>
          </cell>
          <cell r="K438" t="b">
            <v>0</v>
          </cell>
          <cell r="L438" t="b">
            <v>0</v>
          </cell>
          <cell r="M438" t="b">
            <v>0</v>
          </cell>
          <cell r="N438" t="b">
            <v>0</v>
          </cell>
          <cell r="O438" t="b">
            <v>0</v>
          </cell>
          <cell r="P438" t="b">
            <v>0</v>
          </cell>
          <cell r="Q438" t="b">
            <v>0</v>
          </cell>
          <cell r="W438" t="e">
            <v>#REF!</v>
          </cell>
        </row>
        <row r="439">
          <cell r="H439" t="b">
            <v>0</v>
          </cell>
          <cell r="I439" t="b">
            <v>0</v>
          </cell>
          <cell r="J439" t="b">
            <v>0</v>
          </cell>
          <cell r="K439" t="b">
            <v>0</v>
          </cell>
          <cell r="L439" t="b">
            <v>0</v>
          </cell>
          <cell r="M439" t="b">
            <v>0</v>
          </cell>
          <cell r="N439" t="b">
            <v>0</v>
          </cell>
          <cell r="O439" t="b">
            <v>0</v>
          </cell>
          <cell r="P439" t="b">
            <v>0</v>
          </cell>
          <cell r="Q439" t="b">
            <v>0</v>
          </cell>
          <cell r="W439" t="e">
            <v>#REF!</v>
          </cell>
        </row>
        <row r="440">
          <cell r="H440" t="b">
            <v>0</v>
          </cell>
          <cell r="I440" t="b">
            <v>0</v>
          </cell>
          <cell r="J440" t="b">
            <v>0</v>
          </cell>
          <cell r="K440" t="b">
            <v>0</v>
          </cell>
          <cell r="L440" t="b">
            <v>0</v>
          </cell>
          <cell r="M440" t="b">
            <v>0</v>
          </cell>
          <cell r="N440" t="b">
            <v>0</v>
          </cell>
          <cell r="O440" t="b">
            <v>0</v>
          </cell>
          <cell r="P440" t="b">
            <v>0</v>
          </cell>
          <cell r="Q440" t="b">
            <v>0</v>
          </cell>
          <cell r="W440" t="e">
            <v>#REF!</v>
          </cell>
        </row>
        <row r="441">
          <cell r="H441" t="b">
            <v>0</v>
          </cell>
          <cell r="I441" t="b">
            <v>0</v>
          </cell>
          <cell r="J441" t="b">
            <v>0</v>
          </cell>
          <cell r="K441" t="b">
            <v>0</v>
          </cell>
          <cell r="L441" t="b">
            <v>0</v>
          </cell>
          <cell r="M441" t="b">
            <v>0</v>
          </cell>
          <cell r="N441" t="b">
            <v>0</v>
          </cell>
          <cell r="O441" t="b">
            <v>0</v>
          </cell>
          <cell r="P441" t="b">
            <v>0</v>
          </cell>
          <cell r="Q441" t="b">
            <v>0</v>
          </cell>
          <cell r="W441" t="e">
            <v>#REF!</v>
          </cell>
        </row>
        <row r="442">
          <cell r="H442" t="b">
            <v>0</v>
          </cell>
          <cell r="I442" t="b">
            <v>0</v>
          </cell>
          <cell r="J442" t="b">
            <v>0</v>
          </cell>
          <cell r="K442" t="b">
            <v>0</v>
          </cell>
          <cell r="L442" t="b">
            <v>0</v>
          </cell>
          <cell r="M442" t="b">
            <v>0</v>
          </cell>
          <cell r="N442" t="b">
            <v>0</v>
          </cell>
          <cell r="O442" t="b">
            <v>0</v>
          </cell>
          <cell r="P442" t="b">
            <v>0</v>
          </cell>
          <cell r="Q442" t="b">
            <v>0</v>
          </cell>
          <cell r="W442" t="e">
            <v>#REF!</v>
          </cell>
        </row>
        <row r="443">
          <cell r="H443" t="b">
            <v>0</v>
          </cell>
          <cell r="I443" t="b">
            <v>0</v>
          </cell>
          <cell r="J443" t="b">
            <v>0</v>
          </cell>
          <cell r="K443" t="b">
            <v>0</v>
          </cell>
          <cell r="L443" t="b">
            <v>0</v>
          </cell>
          <cell r="M443" t="b">
            <v>0</v>
          </cell>
          <cell r="N443" t="b">
            <v>0</v>
          </cell>
          <cell r="O443" t="b">
            <v>0</v>
          </cell>
          <cell r="P443" t="b">
            <v>0</v>
          </cell>
          <cell r="Q443" t="b">
            <v>0</v>
          </cell>
          <cell r="W443" t="e">
            <v>#REF!</v>
          </cell>
        </row>
        <row r="444">
          <cell r="H444" t="b">
            <v>0</v>
          </cell>
          <cell r="I444" t="b">
            <v>0</v>
          </cell>
          <cell r="J444" t="b">
            <v>0</v>
          </cell>
          <cell r="K444" t="b">
            <v>0</v>
          </cell>
          <cell r="L444" t="b">
            <v>0</v>
          </cell>
          <cell r="M444" t="b">
            <v>0</v>
          </cell>
          <cell r="N444" t="b">
            <v>0</v>
          </cell>
          <cell r="O444" t="b">
            <v>0</v>
          </cell>
          <cell r="P444" t="b">
            <v>0</v>
          </cell>
          <cell r="Q444" t="b">
            <v>0</v>
          </cell>
          <cell r="W444" t="e">
            <v>#REF!</v>
          </cell>
        </row>
        <row r="445">
          <cell r="H445" t="b">
            <v>0</v>
          </cell>
          <cell r="I445" t="b">
            <v>0</v>
          </cell>
          <cell r="J445" t="b">
            <v>0</v>
          </cell>
          <cell r="K445" t="b">
            <v>0</v>
          </cell>
          <cell r="L445" t="b">
            <v>0</v>
          </cell>
          <cell r="M445" t="b">
            <v>0</v>
          </cell>
          <cell r="N445" t="b">
            <v>0</v>
          </cell>
          <cell r="O445" t="b">
            <v>0</v>
          </cell>
          <cell r="P445" t="b">
            <v>0</v>
          </cell>
          <cell r="Q445" t="b">
            <v>0</v>
          </cell>
          <cell r="W445" t="e">
            <v>#REF!</v>
          </cell>
        </row>
        <row r="446">
          <cell r="H446" t="b">
            <v>0</v>
          </cell>
          <cell r="I446" t="b">
            <v>0</v>
          </cell>
          <cell r="J446" t="b">
            <v>0</v>
          </cell>
          <cell r="K446" t="b">
            <v>0</v>
          </cell>
          <cell r="L446" t="b">
            <v>0</v>
          </cell>
          <cell r="M446" t="b">
            <v>0</v>
          </cell>
          <cell r="N446" t="b">
            <v>0</v>
          </cell>
          <cell r="O446" t="b">
            <v>0</v>
          </cell>
          <cell r="P446" t="b">
            <v>0</v>
          </cell>
          <cell r="Q446" t="b">
            <v>0</v>
          </cell>
          <cell r="W446" t="e">
            <v>#REF!</v>
          </cell>
        </row>
        <row r="447">
          <cell r="H447" t="b">
            <v>0</v>
          </cell>
          <cell r="I447" t="b">
            <v>0</v>
          </cell>
          <cell r="J447" t="b">
            <v>0</v>
          </cell>
          <cell r="K447" t="b">
            <v>0</v>
          </cell>
          <cell r="L447" t="b">
            <v>0</v>
          </cell>
          <cell r="M447" t="b">
            <v>0</v>
          </cell>
          <cell r="N447" t="b">
            <v>0</v>
          </cell>
          <cell r="O447" t="b">
            <v>0</v>
          </cell>
          <cell r="P447" t="b">
            <v>0</v>
          </cell>
          <cell r="Q447" t="b">
            <v>0</v>
          </cell>
          <cell r="W447" t="e">
            <v>#REF!</v>
          </cell>
        </row>
        <row r="448">
          <cell r="H448" t="b">
            <v>0</v>
          </cell>
          <cell r="I448" t="b">
            <v>0</v>
          </cell>
          <cell r="J448" t="b">
            <v>0</v>
          </cell>
          <cell r="K448" t="b">
            <v>0</v>
          </cell>
          <cell r="L448" t="b">
            <v>0</v>
          </cell>
          <cell r="M448" t="b">
            <v>0</v>
          </cell>
          <cell r="N448" t="b">
            <v>0</v>
          </cell>
          <cell r="O448" t="b">
            <v>0</v>
          </cell>
          <cell r="P448" t="b">
            <v>0</v>
          </cell>
          <cell r="Q448" t="b">
            <v>0</v>
          </cell>
          <cell r="W448" t="e">
            <v>#REF!</v>
          </cell>
        </row>
        <row r="449">
          <cell r="H449" t="b">
            <v>0</v>
          </cell>
          <cell r="I449" t="b">
            <v>0</v>
          </cell>
          <cell r="J449" t="b">
            <v>0</v>
          </cell>
          <cell r="K449" t="b">
            <v>0</v>
          </cell>
          <cell r="L449" t="b">
            <v>0</v>
          </cell>
          <cell r="M449" t="b">
            <v>0</v>
          </cell>
          <cell r="N449" t="b">
            <v>0</v>
          </cell>
          <cell r="O449" t="b">
            <v>0</v>
          </cell>
          <cell r="P449" t="b">
            <v>0</v>
          </cell>
          <cell r="Q449" t="b">
            <v>0</v>
          </cell>
          <cell r="W449" t="e">
            <v>#REF!</v>
          </cell>
        </row>
        <row r="450">
          <cell r="H450" t="b">
            <v>0</v>
          </cell>
          <cell r="I450" t="b">
            <v>0</v>
          </cell>
          <cell r="J450" t="b">
            <v>0</v>
          </cell>
          <cell r="K450" t="b">
            <v>0</v>
          </cell>
          <cell r="L450" t="b">
            <v>0</v>
          </cell>
          <cell r="M450" t="b">
            <v>0</v>
          </cell>
          <cell r="N450" t="b">
            <v>0</v>
          </cell>
          <cell r="O450" t="b">
            <v>0</v>
          </cell>
          <cell r="P450" t="b">
            <v>0</v>
          </cell>
          <cell r="Q450" t="b">
            <v>0</v>
          </cell>
          <cell r="W450" t="e">
            <v>#REF!</v>
          </cell>
        </row>
        <row r="451">
          <cell r="H451" t="b">
            <v>0</v>
          </cell>
          <cell r="I451" t="b">
            <v>0</v>
          </cell>
          <cell r="J451" t="b">
            <v>0</v>
          </cell>
          <cell r="K451" t="b">
            <v>0</v>
          </cell>
          <cell r="L451" t="b">
            <v>0</v>
          </cell>
          <cell r="M451" t="b">
            <v>0</v>
          </cell>
          <cell r="N451" t="b">
            <v>0</v>
          </cell>
          <cell r="O451" t="b">
            <v>0</v>
          </cell>
          <cell r="P451" t="b">
            <v>0</v>
          </cell>
          <cell r="Q451" t="b">
            <v>0</v>
          </cell>
          <cell r="W451" t="e">
            <v>#REF!</v>
          </cell>
        </row>
        <row r="452">
          <cell r="H452" t="b">
            <v>0</v>
          </cell>
          <cell r="I452" t="b">
            <v>0</v>
          </cell>
          <cell r="J452" t="b">
            <v>0</v>
          </cell>
          <cell r="K452" t="b">
            <v>0</v>
          </cell>
          <cell r="L452" t="b">
            <v>0</v>
          </cell>
          <cell r="M452" t="b">
            <v>0</v>
          </cell>
          <cell r="N452" t="b">
            <v>0</v>
          </cell>
          <cell r="O452" t="b">
            <v>0</v>
          </cell>
          <cell r="P452" t="b">
            <v>0</v>
          </cell>
          <cell r="Q452" t="b">
            <v>0</v>
          </cell>
          <cell r="W452" t="e">
            <v>#REF!</v>
          </cell>
        </row>
        <row r="453">
          <cell r="H453" t="b">
            <v>0</v>
          </cell>
          <cell r="I453" t="b">
            <v>0</v>
          </cell>
          <cell r="J453" t="b">
            <v>0</v>
          </cell>
          <cell r="K453" t="b">
            <v>0</v>
          </cell>
          <cell r="L453" t="b">
            <v>0</v>
          </cell>
          <cell r="M453" t="b">
            <v>0</v>
          </cell>
          <cell r="N453" t="b">
            <v>0</v>
          </cell>
          <cell r="O453" t="b">
            <v>0</v>
          </cell>
          <cell r="P453" t="b">
            <v>0</v>
          </cell>
          <cell r="Q453" t="b">
            <v>0</v>
          </cell>
          <cell r="W453" t="e">
            <v>#REF!</v>
          </cell>
        </row>
        <row r="454">
          <cell r="H454" t="b">
            <v>0</v>
          </cell>
          <cell r="I454" t="b">
            <v>0</v>
          </cell>
          <cell r="J454" t="b">
            <v>0</v>
          </cell>
          <cell r="K454" t="b">
            <v>0</v>
          </cell>
          <cell r="L454" t="b">
            <v>0</v>
          </cell>
          <cell r="M454" t="b">
            <v>0</v>
          </cell>
          <cell r="N454" t="b">
            <v>0</v>
          </cell>
          <cell r="O454" t="b">
            <v>0</v>
          </cell>
          <cell r="P454" t="b">
            <v>0</v>
          </cell>
          <cell r="Q454" t="b">
            <v>0</v>
          </cell>
          <cell r="W454" t="e">
            <v>#REF!</v>
          </cell>
        </row>
        <row r="455">
          <cell r="H455" t="b">
            <v>0</v>
          </cell>
          <cell r="I455" t="b">
            <v>0</v>
          </cell>
          <cell r="J455" t="b">
            <v>0</v>
          </cell>
          <cell r="K455" t="b">
            <v>0</v>
          </cell>
          <cell r="L455" t="b">
            <v>0</v>
          </cell>
          <cell r="M455" t="b">
            <v>0</v>
          </cell>
          <cell r="N455" t="b">
            <v>0</v>
          </cell>
          <cell r="O455" t="b">
            <v>0</v>
          </cell>
          <cell r="P455" t="b">
            <v>0</v>
          </cell>
          <cell r="Q455" t="b">
            <v>0</v>
          </cell>
          <cell r="W455" t="e">
            <v>#REF!</v>
          </cell>
        </row>
        <row r="456">
          <cell r="H456" t="b">
            <v>0</v>
          </cell>
          <cell r="I456" t="b">
            <v>0</v>
          </cell>
          <cell r="J456" t="b">
            <v>0</v>
          </cell>
          <cell r="K456" t="b">
            <v>0</v>
          </cell>
          <cell r="L456" t="b">
            <v>0</v>
          </cell>
          <cell r="M456" t="b">
            <v>0</v>
          </cell>
          <cell r="N456" t="b">
            <v>0</v>
          </cell>
          <cell r="O456" t="b">
            <v>0</v>
          </cell>
          <cell r="P456" t="b">
            <v>0</v>
          </cell>
          <cell r="Q456" t="b">
            <v>0</v>
          </cell>
          <cell r="W456" t="e">
            <v>#REF!</v>
          </cell>
        </row>
        <row r="457">
          <cell r="H457" t="b">
            <v>0</v>
          </cell>
          <cell r="I457" t="b">
            <v>0</v>
          </cell>
          <cell r="J457" t="b">
            <v>0</v>
          </cell>
          <cell r="K457" t="b">
            <v>0</v>
          </cell>
          <cell r="L457" t="b">
            <v>0</v>
          </cell>
          <cell r="M457" t="b">
            <v>0</v>
          </cell>
          <cell r="N457" t="b">
            <v>0</v>
          </cell>
          <cell r="O457" t="b">
            <v>0</v>
          </cell>
          <cell r="P457" t="b">
            <v>0</v>
          </cell>
          <cell r="Q457" t="b">
            <v>0</v>
          </cell>
          <cell r="W457" t="e">
            <v>#REF!</v>
          </cell>
        </row>
        <row r="458">
          <cell r="H458" t="b">
            <v>0</v>
          </cell>
          <cell r="I458" t="b">
            <v>0</v>
          </cell>
          <cell r="J458" t="b">
            <v>0</v>
          </cell>
          <cell r="K458" t="b">
            <v>0</v>
          </cell>
          <cell r="L458" t="b">
            <v>0</v>
          </cell>
          <cell r="M458" t="b">
            <v>0</v>
          </cell>
          <cell r="N458" t="b">
            <v>0</v>
          </cell>
          <cell r="O458" t="b">
            <v>0</v>
          </cell>
          <cell r="P458" t="b">
            <v>0</v>
          </cell>
          <cell r="Q458" t="b">
            <v>0</v>
          </cell>
          <cell r="W458" t="e">
            <v>#REF!</v>
          </cell>
        </row>
        <row r="459">
          <cell r="H459" t="b">
            <v>0</v>
          </cell>
          <cell r="I459" t="b">
            <v>0</v>
          </cell>
          <cell r="J459" t="b">
            <v>0</v>
          </cell>
          <cell r="K459" t="b">
            <v>0</v>
          </cell>
          <cell r="L459" t="b">
            <v>0</v>
          </cell>
          <cell r="M459" t="b">
            <v>0</v>
          </cell>
          <cell r="N459" t="b">
            <v>0</v>
          </cell>
          <cell r="O459" t="b">
            <v>0</v>
          </cell>
          <cell r="P459" t="b">
            <v>0</v>
          </cell>
          <cell r="Q459" t="b">
            <v>0</v>
          </cell>
          <cell r="W459" t="e">
            <v>#REF!</v>
          </cell>
        </row>
        <row r="460">
          <cell r="H460" t="b">
            <v>0</v>
          </cell>
          <cell r="I460" t="b">
            <v>0</v>
          </cell>
          <cell r="J460" t="b">
            <v>0</v>
          </cell>
          <cell r="K460" t="b">
            <v>0</v>
          </cell>
          <cell r="L460" t="b">
            <v>0</v>
          </cell>
          <cell r="M460" t="b">
            <v>0</v>
          </cell>
          <cell r="N460" t="b">
            <v>0</v>
          </cell>
          <cell r="O460" t="b">
            <v>0</v>
          </cell>
          <cell r="P460" t="b">
            <v>0</v>
          </cell>
          <cell r="Q460" t="b">
            <v>0</v>
          </cell>
          <cell r="W460" t="e">
            <v>#REF!</v>
          </cell>
        </row>
        <row r="461">
          <cell r="H461" t="b">
            <v>0</v>
          </cell>
          <cell r="I461" t="b">
            <v>0</v>
          </cell>
          <cell r="J461" t="b">
            <v>0</v>
          </cell>
          <cell r="K461" t="b">
            <v>0</v>
          </cell>
          <cell r="L461" t="b">
            <v>0</v>
          </cell>
          <cell r="M461" t="b">
            <v>0</v>
          </cell>
          <cell r="N461" t="b">
            <v>0</v>
          </cell>
          <cell r="O461" t="b">
            <v>0</v>
          </cell>
          <cell r="P461" t="b">
            <v>0</v>
          </cell>
          <cell r="Q461" t="b">
            <v>0</v>
          </cell>
          <cell r="W461" t="e">
            <v>#REF!</v>
          </cell>
        </row>
        <row r="462">
          <cell r="H462" t="b">
            <v>0</v>
          </cell>
          <cell r="I462" t="b">
            <v>0</v>
          </cell>
          <cell r="J462" t="b">
            <v>0</v>
          </cell>
          <cell r="K462" t="b">
            <v>0</v>
          </cell>
          <cell r="L462" t="b">
            <v>0</v>
          </cell>
          <cell r="M462" t="b">
            <v>0</v>
          </cell>
          <cell r="N462" t="b">
            <v>0</v>
          </cell>
          <cell r="O462" t="b">
            <v>0</v>
          </cell>
          <cell r="P462" t="b">
            <v>0</v>
          </cell>
          <cell r="Q462" t="b">
            <v>0</v>
          </cell>
          <cell r="W462" t="e">
            <v>#REF!</v>
          </cell>
        </row>
        <row r="463">
          <cell r="H463" t="b">
            <v>0</v>
          </cell>
          <cell r="I463" t="b">
            <v>0</v>
          </cell>
          <cell r="J463" t="b">
            <v>0</v>
          </cell>
          <cell r="K463" t="b">
            <v>0</v>
          </cell>
          <cell r="L463" t="b">
            <v>0</v>
          </cell>
          <cell r="M463" t="b">
            <v>0</v>
          </cell>
          <cell r="N463" t="b">
            <v>0</v>
          </cell>
          <cell r="O463" t="b">
            <v>0</v>
          </cell>
          <cell r="P463" t="b">
            <v>0</v>
          </cell>
          <cell r="Q463" t="b">
            <v>0</v>
          </cell>
          <cell r="W463" t="e">
            <v>#REF!</v>
          </cell>
        </row>
        <row r="464">
          <cell r="H464" t="b">
            <v>0</v>
          </cell>
          <cell r="I464" t="b">
            <v>0</v>
          </cell>
          <cell r="J464" t="b">
            <v>0</v>
          </cell>
          <cell r="K464" t="b">
            <v>0</v>
          </cell>
          <cell r="L464" t="b">
            <v>0</v>
          </cell>
          <cell r="M464" t="b">
            <v>0</v>
          </cell>
          <cell r="N464" t="b">
            <v>0</v>
          </cell>
          <cell r="O464" t="b">
            <v>0</v>
          </cell>
          <cell r="P464" t="b">
            <v>0</v>
          </cell>
          <cell r="Q464" t="b">
            <v>0</v>
          </cell>
          <cell r="W464" t="e">
            <v>#REF!</v>
          </cell>
        </row>
        <row r="465">
          <cell r="H465" t="b">
            <v>0</v>
          </cell>
          <cell r="I465" t="b">
            <v>0</v>
          </cell>
          <cell r="J465" t="b">
            <v>0</v>
          </cell>
          <cell r="K465" t="b">
            <v>0</v>
          </cell>
          <cell r="L465" t="b">
            <v>0</v>
          </cell>
          <cell r="M465" t="b">
            <v>0</v>
          </cell>
          <cell r="N465" t="b">
            <v>0</v>
          </cell>
          <cell r="O465" t="b">
            <v>0</v>
          </cell>
          <cell r="P465" t="b">
            <v>0</v>
          </cell>
          <cell r="Q465" t="b">
            <v>0</v>
          </cell>
          <cell r="W465" t="e">
            <v>#REF!</v>
          </cell>
        </row>
        <row r="466">
          <cell r="H466" t="b">
            <v>0</v>
          </cell>
          <cell r="I466" t="b">
            <v>0</v>
          </cell>
          <cell r="J466" t="b">
            <v>0</v>
          </cell>
          <cell r="K466" t="b">
            <v>0</v>
          </cell>
          <cell r="L466" t="b">
            <v>0</v>
          </cell>
          <cell r="M466" t="b">
            <v>0</v>
          </cell>
          <cell r="N466" t="b">
            <v>0</v>
          </cell>
          <cell r="O466" t="b">
            <v>0</v>
          </cell>
          <cell r="P466" t="b">
            <v>0</v>
          </cell>
          <cell r="Q466" t="b">
            <v>0</v>
          </cell>
          <cell r="W466" t="e">
            <v>#REF!</v>
          </cell>
        </row>
        <row r="467">
          <cell r="H467" t="b">
            <v>0</v>
          </cell>
          <cell r="I467" t="b">
            <v>0</v>
          </cell>
          <cell r="J467" t="b">
            <v>0</v>
          </cell>
          <cell r="K467" t="b">
            <v>0</v>
          </cell>
          <cell r="L467" t="b">
            <v>0</v>
          </cell>
          <cell r="M467" t="b">
            <v>0</v>
          </cell>
          <cell r="N467" t="b">
            <v>0</v>
          </cell>
          <cell r="O467" t="b">
            <v>0</v>
          </cell>
          <cell r="P467" t="b">
            <v>0</v>
          </cell>
          <cell r="Q467" t="b">
            <v>0</v>
          </cell>
          <cell r="W467" t="e">
            <v>#REF!</v>
          </cell>
        </row>
        <row r="468">
          <cell r="H468" t="b">
            <v>0</v>
          </cell>
          <cell r="I468" t="b">
            <v>0</v>
          </cell>
          <cell r="J468" t="b">
            <v>0</v>
          </cell>
          <cell r="K468" t="b">
            <v>0</v>
          </cell>
          <cell r="L468" t="b">
            <v>0</v>
          </cell>
          <cell r="M468" t="b">
            <v>0</v>
          </cell>
          <cell r="N468" t="b">
            <v>0</v>
          </cell>
          <cell r="O468" t="b">
            <v>0</v>
          </cell>
          <cell r="P468" t="b">
            <v>0</v>
          </cell>
          <cell r="Q468" t="b">
            <v>0</v>
          </cell>
          <cell r="W468" t="e">
            <v>#REF!</v>
          </cell>
        </row>
        <row r="469">
          <cell r="H469" t="b">
            <v>0</v>
          </cell>
          <cell r="I469" t="b">
            <v>0</v>
          </cell>
          <cell r="J469" t="b">
            <v>0</v>
          </cell>
          <cell r="K469" t="b">
            <v>0</v>
          </cell>
          <cell r="L469" t="b">
            <v>0</v>
          </cell>
          <cell r="M469" t="b">
            <v>0</v>
          </cell>
          <cell r="N469" t="b">
            <v>0</v>
          </cell>
          <cell r="O469" t="b">
            <v>0</v>
          </cell>
          <cell r="P469" t="b">
            <v>0</v>
          </cell>
          <cell r="Q469" t="b">
            <v>0</v>
          </cell>
          <cell r="W469" t="e">
            <v>#REF!</v>
          </cell>
        </row>
        <row r="470">
          <cell r="H470" t="b">
            <v>0</v>
          </cell>
          <cell r="I470" t="b">
            <v>0</v>
          </cell>
          <cell r="J470" t="b">
            <v>0</v>
          </cell>
          <cell r="K470" t="b">
            <v>0</v>
          </cell>
          <cell r="L470" t="b">
            <v>0</v>
          </cell>
          <cell r="M470" t="b">
            <v>0</v>
          </cell>
          <cell r="N470" t="b">
            <v>0</v>
          </cell>
          <cell r="O470" t="b">
            <v>0</v>
          </cell>
          <cell r="P470" t="b">
            <v>0</v>
          </cell>
          <cell r="Q470" t="b">
            <v>0</v>
          </cell>
          <cell r="W470" t="e">
            <v>#REF!</v>
          </cell>
        </row>
        <row r="471">
          <cell r="H471" t="b">
            <v>0</v>
          </cell>
          <cell r="I471" t="b">
            <v>0</v>
          </cell>
          <cell r="J471" t="b">
            <v>0</v>
          </cell>
          <cell r="K471" t="b">
            <v>0</v>
          </cell>
          <cell r="L471" t="b">
            <v>0</v>
          </cell>
          <cell r="M471" t="b">
            <v>0</v>
          </cell>
          <cell r="N471" t="b">
            <v>0</v>
          </cell>
          <cell r="O471" t="b">
            <v>0</v>
          </cell>
          <cell r="P471" t="b">
            <v>0</v>
          </cell>
          <cell r="Q471" t="b">
            <v>0</v>
          </cell>
          <cell r="W471" t="e">
            <v>#REF!</v>
          </cell>
        </row>
        <row r="472">
          <cell r="H472" t="b">
            <v>0</v>
          </cell>
          <cell r="I472" t="b">
            <v>0</v>
          </cell>
          <cell r="J472" t="b">
            <v>0</v>
          </cell>
          <cell r="K472" t="b">
            <v>0</v>
          </cell>
          <cell r="L472" t="b">
            <v>0</v>
          </cell>
          <cell r="M472" t="b">
            <v>0</v>
          </cell>
          <cell r="N472" t="b">
            <v>0</v>
          </cell>
          <cell r="O472" t="b">
            <v>0</v>
          </cell>
          <cell r="P472" t="b">
            <v>0</v>
          </cell>
          <cell r="Q472" t="b">
            <v>0</v>
          </cell>
          <cell r="W472" t="e">
            <v>#REF!</v>
          </cell>
        </row>
        <row r="473">
          <cell r="H473" t="b">
            <v>0</v>
          </cell>
          <cell r="I473" t="b">
            <v>0</v>
          </cell>
          <cell r="J473" t="b">
            <v>0</v>
          </cell>
          <cell r="K473" t="b">
            <v>0</v>
          </cell>
          <cell r="L473" t="b">
            <v>0</v>
          </cell>
          <cell r="M473" t="b">
            <v>0</v>
          </cell>
          <cell r="N473" t="b">
            <v>0</v>
          </cell>
          <cell r="O473" t="b">
            <v>0</v>
          </cell>
          <cell r="P473" t="b">
            <v>0</v>
          </cell>
          <cell r="Q473" t="b">
            <v>0</v>
          </cell>
          <cell r="W473" t="e">
            <v>#REF!</v>
          </cell>
        </row>
        <row r="474">
          <cell r="H474" t="b">
            <v>0</v>
          </cell>
          <cell r="I474" t="b">
            <v>0</v>
          </cell>
          <cell r="J474" t="b">
            <v>0</v>
          </cell>
          <cell r="K474" t="b">
            <v>0</v>
          </cell>
          <cell r="L474" t="b">
            <v>0</v>
          </cell>
          <cell r="M474" t="b">
            <v>0</v>
          </cell>
          <cell r="N474" t="b">
            <v>0</v>
          </cell>
          <cell r="O474" t="b">
            <v>0</v>
          </cell>
          <cell r="P474" t="b">
            <v>0</v>
          </cell>
          <cell r="Q474" t="b">
            <v>0</v>
          </cell>
          <cell r="W474" t="e">
            <v>#REF!</v>
          </cell>
        </row>
        <row r="475">
          <cell r="H475" t="b">
            <v>0</v>
          </cell>
          <cell r="I475" t="b">
            <v>0</v>
          </cell>
          <cell r="J475" t="b">
            <v>0</v>
          </cell>
          <cell r="K475" t="b">
            <v>0</v>
          </cell>
          <cell r="L475" t="b">
            <v>0</v>
          </cell>
          <cell r="M475" t="b">
            <v>0</v>
          </cell>
          <cell r="N475" t="b">
            <v>0</v>
          </cell>
          <cell r="O475" t="b">
            <v>0</v>
          </cell>
          <cell r="P475" t="b">
            <v>0</v>
          </cell>
          <cell r="Q475" t="b">
            <v>0</v>
          </cell>
          <cell r="W475" t="e">
            <v>#REF!</v>
          </cell>
        </row>
        <row r="476">
          <cell r="H476" t="b">
            <v>0</v>
          </cell>
          <cell r="I476" t="b">
            <v>0</v>
          </cell>
          <cell r="J476" t="b">
            <v>0</v>
          </cell>
          <cell r="K476" t="b">
            <v>0</v>
          </cell>
          <cell r="L476" t="b">
            <v>0</v>
          </cell>
          <cell r="M476" t="b">
            <v>0</v>
          </cell>
          <cell r="N476" t="b">
            <v>0</v>
          </cell>
          <cell r="O476" t="b">
            <v>0</v>
          </cell>
          <cell r="P476" t="b">
            <v>0</v>
          </cell>
          <cell r="Q476" t="b">
            <v>0</v>
          </cell>
          <cell r="W476" t="e">
            <v>#REF!</v>
          </cell>
        </row>
        <row r="477">
          <cell r="H477" t="b">
            <v>0</v>
          </cell>
          <cell r="I477" t="b">
            <v>0</v>
          </cell>
          <cell r="J477" t="b">
            <v>0</v>
          </cell>
          <cell r="K477" t="b">
            <v>0</v>
          </cell>
          <cell r="L477" t="b">
            <v>0</v>
          </cell>
          <cell r="M477" t="b">
            <v>0</v>
          </cell>
          <cell r="N477" t="b">
            <v>0</v>
          </cell>
          <cell r="O477" t="b">
            <v>0</v>
          </cell>
          <cell r="P477" t="b">
            <v>0</v>
          </cell>
          <cell r="Q477" t="b">
            <v>0</v>
          </cell>
          <cell r="W477" t="e">
            <v>#REF!</v>
          </cell>
        </row>
        <row r="478">
          <cell r="H478" t="b">
            <v>0</v>
          </cell>
          <cell r="I478" t="b">
            <v>0</v>
          </cell>
          <cell r="J478" t="b">
            <v>0</v>
          </cell>
          <cell r="K478" t="b">
            <v>0</v>
          </cell>
          <cell r="L478" t="b">
            <v>0</v>
          </cell>
          <cell r="M478" t="b">
            <v>0</v>
          </cell>
          <cell r="N478" t="b">
            <v>0</v>
          </cell>
          <cell r="O478" t="b">
            <v>0</v>
          </cell>
          <cell r="P478" t="b">
            <v>0</v>
          </cell>
          <cell r="Q478" t="b">
            <v>0</v>
          </cell>
          <cell r="W478" t="e">
            <v>#REF!</v>
          </cell>
        </row>
        <row r="479">
          <cell r="H479" t="b">
            <v>0</v>
          </cell>
          <cell r="I479" t="b">
            <v>0</v>
          </cell>
          <cell r="J479" t="b">
            <v>0</v>
          </cell>
          <cell r="K479" t="b">
            <v>0</v>
          </cell>
          <cell r="L479" t="b">
            <v>0</v>
          </cell>
          <cell r="M479" t="b">
            <v>0</v>
          </cell>
          <cell r="N479" t="b">
            <v>0</v>
          </cell>
          <cell r="O479" t="b">
            <v>0</v>
          </cell>
          <cell r="P479" t="b">
            <v>0</v>
          </cell>
          <cell r="Q479" t="b">
            <v>0</v>
          </cell>
          <cell r="W479" t="e">
            <v>#REF!</v>
          </cell>
        </row>
        <row r="480">
          <cell r="H480" t="b">
            <v>0</v>
          </cell>
          <cell r="I480" t="b">
            <v>0</v>
          </cell>
          <cell r="J480" t="b">
            <v>0</v>
          </cell>
          <cell r="K480" t="b">
            <v>0</v>
          </cell>
          <cell r="L480" t="b">
            <v>0</v>
          </cell>
          <cell r="M480" t="b">
            <v>0</v>
          </cell>
          <cell r="N480" t="b">
            <v>0</v>
          </cell>
          <cell r="O480" t="b">
            <v>0</v>
          </cell>
          <cell r="P480" t="b">
            <v>0</v>
          </cell>
          <cell r="Q480" t="b">
            <v>0</v>
          </cell>
          <cell r="W480" t="e">
            <v>#REF!</v>
          </cell>
        </row>
        <row r="481">
          <cell r="H481" t="b">
            <v>0</v>
          </cell>
          <cell r="I481" t="b">
            <v>0</v>
          </cell>
          <cell r="J481" t="b">
            <v>0</v>
          </cell>
          <cell r="K481" t="b">
            <v>0</v>
          </cell>
          <cell r="L481" t="b">
            <v>0</v>
          </cell>
          <cell r="M481" t="b">
            <v>0</v>
          </cell>
          <cell r="N481" t="b">
            <v>0</v>
          </cell>
          <cell r="O481" t="b">
            <v>0</v>
          </cell>
          <cell r="P481" t="b">
            <v>0</v>
          </cell>
          <cell r="Q481" t="b">
            <v>0</v>
          </cell>
          <cell r="W481" t="e">
            <v>#REF!</v>
          </cell>
        </row>
        <row r="482">
          <cell r="H482" t="b">
            <v>0</v>
          </cell>
          <cell r="I482" t="b">
            <v>0</v>
          </cell>
          <cell r="J482" t="b">
            <v>0</v>
          </cell>
          <cell r="K482" t="b">
            <v>0</v>
          </cell>
          <cell r="L482" t="b">
            <v>0</v>
          </cell>
          <cell r="M482" t="b">
            <v>0</v>
          </cell>
          <cell r="N482" t="b">
            <v>0</v>
          </cell>
          <cell r="O482" t="b">
            <v>0</v>
          </cell>
          <cell r="P482" t="b">
            <v>0</v>
          </cell>
          <cell r="Q482" t="b">
            <v>0</v>
          </cell>
          <cell r="W482" t="e">
            <v>#REF!</v>
          </cell>
        </row>
        <row r="483">
          <cell r="H483" t="b">
            <v>0</v>
          </cell>
          <cell r="I483" t="b">
            <v>0</v>
          </cell>
          <cell r="J483" t="b">
            <v>0</v>
          </cell>
          <cell r="K483" t="b">
            <v>0</v>
          </cell>
          <cell r="L483" t="b">
            <v>0</v>
          </cell>
          <cell r="M483" t="b">
            <v>0</v>
          </cell>
          <cell r="N483" t="b">
            <v>0</v>
          </cell>
          <cell r="O483" t="b">
            <v>0</v>
          </cell>
          <cell r="P483" t="b">
            <v>0</v>
          </cell>
          <cell r="Q483" t="b">
            <v>0</v>
          </cell>
          <cell r="W483" t="e">
            <v>#REF!</v>
          </cell>
        </row>
        <row r="484">
          <cell r="H484" t="b">
            <v>0</v>
          </cell>
          <cell r="I484" t="b">
            <v>0</v>
          </cell>
          <cell r="J484" t="b">
            <v>0</v>
          </cell>
          <cell r="K484" t="b">
            <v>0</v>
          </cell>
          <cell r="L484" t="b">
            <v>0</v>
          </cell>
          <cell r="M484" t="b">
            <v>0</v>
          </cell>
          <cell r="N484" t="b">
            <v>0</v>
          </cell>
          <cell r="O484" t="b">
            <v>0</v>
          </cell>
          <cell r="P484" t="b">
            <v>0</v>
          </cell>
          <cell r="Q484" t="b">
            <v>0</v>
          </cell>
          <cell r="W484" t="e">
            <v>#REF!</v>
          </cell>
        </row>
        <row r="485">
          <cell r="H485" t="b">
            <v>0</v>
          </cell>
          <cell r="I485" t="b">
            <v>0</v>
          </cell>
          <cell r="J485" t="b">
            <v>0</v>
          </cell>
          <cell r="K485" t="b">
            <v>0</v>
          </cell>
          <cell r="L485" t="b">
            <v>0</v>
          </cell>
          <cell r="M485" t="b">
            <v>0</v>
          </cell>
          <cell r="N485" t="b">
            <v>0</v>
          </cell>
          <cell r="O485" t="b">
            <v>0</v>
          </cell>
          <cell r="P485" t="b">
            <v>0</v>
          </cell>
          <cell r="Q485" t="b">
            <v>0</v>
          </cell>
          <cell r="W485" t="e">
            <v>#REF!</v>
          </cell>
        </row>
        <row r="486">
          <cell r="H486" t="b">
            <v>0</v>
          </cell>
          <cell r="I486" t="b">
            <v>0</v>
          </cell>
          <cell r="J486" t="b">
            <v>0</v>
          </cell>
          <cell r="K486" t="b">
            <v>0</v>
          </cell>
          <cell r="L486" t="b">
            <v>0</v>
          </cell>
          <cell r="M486" t="b">
            <v>0</v>
          </cell>
          <cell r="N486" t="b">
            <v>0</v>
          </cell>
          <cell r="O486" t="b">
            <v>0</v>
          </cell>
          <cell r="P486" t="b">
            <v>0</v>
          </cell>
          <cell r="Q486" t="b">
            <v>0</v>
          </cell>
          <cell r="W486" t="e">
            <v>#REF!</v>
          </cell>
        </row>
        <row r="487">
          <cell r="H487" t="b">
            <v>0</v>
          </cell>
          <cell r="I487" t="b">
            <v>0</v>
          </cell>
          <cell r="J487" t="b">
            <v>0</v>
          </cell>
          <cell r="K487" t="b">
            <v>0</v>
          </cell>
          <cell r="L487" t="b">
            <v>0</v>
          </cell>
          <cell r="M487" t="b">
            <v>0</v>
          </cell>
          <cell r="N487" t="b">
            <v>0</v>
          </cell>
          <cell r="O487" t="b">
            <v>0</v>
          </cell>
          <cell r="P487" t="b">
            <v>0</v>
          </cell>
          <cell r="Q487" t="b">
            <v>0</v>
          </cell>
          <cell r="W487" t="e">
            <v>#REF!</v>
          </cell>
        </row>
        <row r="488">
          <cell r="H488" t="b">
            <v>0</v>
          </cell>
          <cell r="I488" t="b">
            <v>0</v>
          </cell>
          <cell r="J488" t="b">
            <v>0</v>
          </cell>
          <cell r="K488" t="b">
            <v>0</v>
          </cell>
          <cell r="L488" t="b">
            <v>0</v>
          </cell>
          <cell r="M488" t="b">
            <v>0</v>
          </cell>
          <cell r="N488" t="b">
            <v>0</v>
          </cell>
          <cell r="O488" t="b">
            <v>0</v>
          </cell>
          <cell r="P488" t="b">
            <v>0</v>
          </cell>
          <cell r="Q488" t="b">
            <v>0</v>
          </cell>
          <cell r="W488" t="e">
            <v>#REF!</v>
          </cell>
        </row>
        <row r="489">
          <cell r="H489" t="b">
            <v>0</v>
          </cell>
          <cell r="I489" t="b">
            <v>0</v>
          </cell>
          <cell r="J489" t="b">
            <v>0</v>
          </cell>
          <cell r="K489" t="b">
            <v>0</v>
          </cell>
          <cell r="L489" t="b">
            <v>0</v>
          </cell>
          <cell r="M489" t="b">
            <v>0</v>
          </cell>
          <cell r="N489" t="b">
            <v>0</v>
          </cell>
          <cell r="O489" t="b">
            <v>0</v>
          </cell>
          <cell r="P489" t="b">
            <v>0</v>
          </cell>
          <cell r="Q489" t="b">
            <v>0</v>
          </cell>
          <cell r="W489" t="e">
            <v>#REF!</v>
          </cell>
        </row>
        <row r="490">
          <cell r="H490" t="b">
            <v>0</v>
          </cell>
          <cell r="I490" t="b">
            <v>0</v>
          </cell>
          <cell r="J490" t="b">
            <v>0</v>
          </cell>
          <cell r="K490" t="b">
            <v>0</v>
          </cell>
          <cell r="L490" t="b">
            <v>0</v>
          </cell>
          <cell r="M490" t="b">
            <v>0</v>
          </cell>
          <cell r="N490" t="b">
            <v>0</v>
          </cell>
          <cell r="O490" t="b">
            <v>0</v>
          </cell>
          <cell r="P490" t="b">
            <v>0</v>
          </cell>
          <cell r="Q490" t="b">
            <v>0</v>
          </cell>
          <cell r="W490" t="e">
            <v>#REF!</v>
          </cell>
        </row>
        <row r="491">
          <cell r="H491" t="b">
            <v>0</v>
          </cell>
          <cell r="I491" t="b">
            <v>0</v>
          </cell>
          <cell r="J491" t="b">
            <v>0</v>
          </cell>
          <cell r="K491" t="b">
            <v>0</v>
          </cell>
          <cell r="L491" t="b">
            <v>0</v>
          </cell>
          <cell r="M491" t="b">
            <v>0</v>
          </cell>
          <cell r="N491" t="b">
            <v>0</v>
          </cell>
          <cell r="O491" t="b">
            <v>0</v>
          </cell>
          <cell r="P491" t="b">
            <v>0</v>
          </cell>
          <cell r="Q491" t="b">
            <v>0</v>
          </cell>
          <cell r="W491" t="e">
            <v>#REF!</v>
          </cell>
        </row>
        <row r="492">
          <cell r="H492" t="b">
            <v>0</v>
          </cell>
          <cell r="I492" t="b">
            <v>0</v>
          </cell>
          <cell r="J492" t="b">
            <v>0</v>
          </cell>
          <cell r="K492" t="b">
            <v>0</v>
          </cell>
          <cell r="L492" t="b">
            <v>0</v>
          </cell>
          <cell r="M492" t="b">
            <v>0</v>
          </cell>
          <cell r="N492" t="b">
            <v>0</v>
          </cell>
          <cell r="O492" t="b">
            <v>0</v>
          </cell>
          <cell r="P492" t="b">
            <v>0</v>
          </cell>
          <cell r="Q492" t="b">
            <v>0</v>
          </cell>
          <cell r="W492" t="e">
            <v>#REF!</v>
          </cell>
        </row>
        <row r="493">
          <cell r="H493" t="b">
            <v>0</v>
          </cell>
          <cell r="I493" t="b">
            <v>0</v>
          </cell>
          <cell r="J493" t="b">
            <v>0</v>
          </cell>
          <cell r="K493" t="b">
            <v>0</v>
          </cell>
          <cell r="L493" t="b">
            <v>0</v>
          </cell>
          <cell r="M493" t="b">
            <v>0</v>
          </cell>
          <cell r="N493" t="b">
            <v>0</v>
          </cell>
          <cell r="O493" t="b">
            <v>0</v>
          </cell>
          <cell r="P493" t="b">
            <v>0</v>
          </cell>
          <cell r="Q493" t="b">
            <v>0</v>
          </cell>
          <cell r="W493" t="e">
            <v>#REF!</v>
          </cell>
        </row>
        <row r="494">
          <cell r="H494" t="b">
            <v>0</v>
          </cell>
          <cell r="I494" t="b">
            <v>0</v>
          </cell>
          <cell r="J494" t="b">
            <v>0</v>
          </cell>
          <cell r="K494" t="b">
            <v>0</v>
          </cell>
          <cell r="L494" t="b">
            <v>0</v>
          </cell>
          <cell r="M494" t="b">
            <v>0</v>
          </cell>
          <cell r="N494" t="b">
            <v>0</v>
          </cell>
          <cell r="O494" t="b">
            <v>0</v>
          </cell>
          <cell r="P494" t="b">
            <v>0</v>
          </cell>
          <cell r="Q494" t="b">
            <v>0</v>
          </cell>
          <cell r="W494" t="e">
            <v>#REF!</v>
          </cell>
        </row>
        <row r="495">
          <cell r="H495" t="b">
            <v>0</v>
          </cell>
          <cell r="I495" t="b">
            <v>0</v>
          </cell>
          <cell r="J495" t="b">
            <v>0</v>
          </cell>
          <cell r="K495" t="b">
            <v>0</v>
          </cell>
          <cell r="L495" t="b">
            <v>0</v>
          </cell>
          <cell r="M495" t="b">
            <v>0</v>
          </cell>
          <cell r="N495" t="b">
            <v>0</v>
          </cell>
          <cell r="O495" t="b">
            <v>0</v>
          </cell>
          <cell r="P495" t="b">
            <v>0</v>
          </cell>
          <cell r="Q495" t="b">
            <v>0</v>
          </cell>
          <cell r="W495" t="e">
            <v>#REF!</v>
          </cell>
        </row>
        <row r="496">
          <cell r="H496" t="b">
            <v>0</v>
          </cell>
          <cell r="I496" t="b">
            <v>0</v>
          </cell>
          <cell r="J496" t="b">
            <v>0</v>
          </cell>
          <cell r="K496" t="b">
            <v>0</v>
          </cell>
          <cell r="L496" t="b">
            <v>0</v>
          </cell>
          <cell r="M496" t="b">
            <v>0</v>
          </cell>
          <cell r="N496" t="b">
            <v>0</v>
          </cell>
          <cell r="O496" t="b">
            <v>0</v>
          </cell>
          <cell r="P496" t="b">
            <v>0</v>
          </cell>
          <cell r="Q496" t="b">
            <v>0</v>
          </cell>
          <cell r="W496" t="e">
            <v>#REF!</v>
          </cell>
        </row>
        <row r="497">
          <cell r="H497" t="b">
            <v>0</v>
          </cell>
          <cell r="I497" t="b">
            <v>0</v>
          </cell>
          <cell r="J497" t="b">
            <v>0</v>
          </cell>
          <cell r="K497" t="b">
            <v>0</v>
          </cell>
          <cell r="L497" t="b">
            <v>0</v>
          </cell>
          <cell r="M497" t="b">
            <v>0</v>
          </cell>
          <cell r="N497" t="b">
            <v>0</v>
          </cell>
          <cell r="O497" t="b">
            <v>0</v>
          </cell>
          <cell r="P497" t="b">
            <v>0</v>
          </cell>
          <cell r="Q497" t="b">
            <v>0</v>
          </cell>
          <cell r="W497" t="e">
            <v>#REF!</v>
          </cell>
        </row>
        <row r="498">
          <cell r="H498" t="b">
            <v>0</v>
          </cell>
          <cell r="I498" t="b">
            <v>0</v>
          </cell>
          <cell r="J498" t="b">
            <v>0</v>
          </cell>
          <cell r="K498" t="b">
            <v>0</v>
          </cell>
          <cell r="L498" t="b">
            <v>0</v>
          </cell>
          <cell r="M498" t="b">
            <v>0</v>
          </cell>
          <cell r="N498" t="b">
            <v>0</v>
          </cell>
          <cell r="O498" t="b">
            <v>0</v>
          </cell>
          <cell r="P498" t="b">
            <v>0</v>
          </cell>
          <cell r="Q498" t="b">
            <v>0</v>
          </cell>
          <cell r="W498" t="e">
            <v>#REF!</v>
          </cell>
        </row>
        <row r="499">
          <cell r="H499" t="b">
            <v>0</v>
          </cell>
          <cell r="I499" t="b">
            <v>0</v>
          </cell>
          <cell r="J499" t="b">
            <v>0</v>
          </cell>
          <cell r="K499" t="b">
            <v>0</v>
          </cell>
          <cell r="L499" t="b">
            <v>0</v>
          </cell>
          <cell r="M499" t="b">
            <v>0</v>
          </cell>
          <cell r="N499" t="b">
            <v>0</v>
          </cell>
          <cell r="O499" t="b">
            <v>0</v>
          </cell>
          <cell r="P499" t="b">
            <v>0</v>
          </cell>
          <cell r="Q499" t="b">
            <v>0</v>
          </cell>
          <cell r="W499" t="e">
            <v>#REF!</v>
          </cell>
        </row>
        <row r="500">
          <cell r="H500" t="b">
            <v>0</v>
          </cell>
          <cell r="I500" t="b">
            <v>0</v>
          </cell>
          <cell r="J500" t="b">
            <v>0</v>
          </cell>
          <cell r="K500" t="b">
            <v>0</v>
          </cell>
          <cell r="L500" t="b">
            <v>0</v>
          </cell>
          <cell r="M500" t="b">
            <v>0</v>
          </cell>
          <cell r="N500" t="b">
            <v>0</v>
          </cell>
          <cell r="O500" t="b">
            <v>0</v>
          </cell>
          <cell r="P500" t="b">
            <v>0</v>
          </cell>
          <cell r="Q500" t="b">
            <v>0</v>
          </cell>
          <cell r="W500" t="e">
            <v>#REF!</v>
          </cell>
        </row>
        <row r="501">
          <cell r="H501" t="b">
            <v>0</v>
          </cell>
          <cell r="I501" t="b">
            <v>0</v>
          </cell>
          <cell r="J501" t="b">
            <v>0</v>
          </cell>
          <cell r="K501" t="b">
            <v>0</v>
          </cell>
          <cell r="L501" t="b">
            <v>0</v>
          </cell>
          <cell r="M501" t="b">
            <v>0</v>
          </cell>
          <cell r="N501" t="b">
            <v>0</v>
          </cell>
          <cell r="O501" t="b">
            <v>0</v>
          </cell>
          <cell r="P501" t="b">
            <v>0</v>
          </cell>
          <cell r="Q501" t="b">
            <v>0</v>
          </cell>
          <cell r="W501" t="e">
            <v>#REF!</v>
          </cell>
        </row>
        <row r="502">
          <cell r="H502" t="b">
            <v>0</v>
          </cell>
          <cell r="I502" t="b">
            <v>0</v>
          </cell>
          <cell r="J502" t="b">
            <v>0</v>
          </cell>
          <cell r="K502" t="b">
            <v>0</v>
          </cell>
          <cell r="L502" t="b">
            <v>0</v>
          </cell>
          <cell r="M502" t="b">
            <v>0</v>
          </cell>
          <cell r="N502" t="b">
            <v>0</v>
          </cell>
          <cell r="O502" t="b">
            <v>0</v>
          </cell>
          <cell r="P502" t="b">
            <v>0</v>
          </cell>
          <cell r="Q502" t="b">
            <v>0</v>
          </cell>
          <cell r="W502" t="e">
            <v>#REF!</v>
          </cell>
        </row>
        <row r="503">
          <cell r="H503" t="b">
            <v>0</v>
          </cell>
          <cell r="I503" t="b">
            <v>0</v>
          </cell>
          <cell r="J503" t="b">
            <v>0</v>
          </cell>
          <cell r="K503" t="b">
            <v>0</v>
          </cell>
          <cell r="L503" t="b">
            <v>0</v>
          </cell>
          <cell r="M503" t="b">
            <v>0</v>
          </cell>
          <cell r="N503" t="b">
            <v>0</v>
          </cell>
          <cell r="O503" t="b">
            <v>0</v>
          </cell>
          <cell r="P503" t="b">
            <v>0</v>
          </cell>
          <cell r="Q503" t="b">
            <v>0</v>
          </cell>
          <cell r="W503" t="e">
            <v>#REF!</v>
          </cell>
        </row>
        <row r="504">
          <cell r="H504" t="b">
            <v>0</v>
          </cell>
          <cell r="I504" t="b">
            <v>0</v>
          </cell>
          <cell r="J504" t="b">
            <v>0</v>
          </cell>
          <cell r="K504" t="b">
            <v>0</v>
          </cell>
          <cell r="L504" t="b">
            <v>0</v>
          </cell>
          <cell r="M504" t="b">
            <v>0</v>
          </cell>
          <cell r="N504" t="b">
            <v>0</v>
          </cell>
          <cell r="O504" t="b">
            <v>0</v>
          </cell>
          <cell r="P504" t="b">
            <v>0</v>
          </cell>
          <cell r="Q504" t="b">
            <v>0</v>
          </cell>
          <cell r="W504" t="e">
            <v>#REF!</v>
          </cell>
        </row>
        <row r="505">
          <cell r="H505" t="b">
            <v>0</v>
          </cell>
          <cell r="I505" t="b">
            <v>0</v>
          </cell>
          <cell r="J505" t="b">
            <v>0</v>
          </cell>
          <cell r="K505" t="b">
            <v>0</v>
          </cell>
          <cell r="L505" t="b">
            <v>0</v>
          </cell>
          <cell r="M505" t="b">
            <v>0</v>
          </cell>
          <cell r="N505" t="b">
            <v>0</v>
          </cell>
          <cell r="O505" t="b">
            <v>0</v>
          </cell>
          <cell r="P505" t="b">
            <v>0</v>
          </cell>
          <cell r="Q505" t="b">
            <v>0</v>
          </cell>
          <cell r="W505" t="e">
            <v>#REF!</v>
          </cell>
        </row>
        <row r="506">
          <cell r="H506" t="b">
            <v>0</v>
          </cell>
          <cell r="I506" t="b">
            <v>0</v>
          </cell>
          <cell r="J506" t="b">
            <v>0</v>
          </cell>
          <cell r="K506" t="b">
            <v>0</v>
          </cell>
          <cell r="L506" t="b">
            <v>0</v>
          </cell>
          <cell r="M506" t="b">
            <v>0</v>
          </cell>
          <cell r="N506" t="b">
            <v>0</v>
          </cell>
          <cell r="O506" t="b">
            <v>0</v>
          </cell>
          <cell r="P506" t="b">
            <v>0</v>
          </cell>
          <cell r="Q506" t="b">
            <v>0</v>
          </cell>
          <cell r="W506" t="e">
            <v>#REF!</v>
          </cell>
        </row>
        <row r="507">
          <cell r="H507" t="b">
            <v>0</v>
          </cell>
          <cell r="I507" t="b">
            <v>0</v>
          </cell>
          <cell r="J507" t="b">
            <v>0</v>
          </cell>
          <cell r="K507" t="b">
            <v>0</v>
          </cell>
          <cell r="L507" t="b">
            <v>0</v>
          </cell>
          <cell r="M507" t="b">
            <v>0</v>
          </cell>
          <cell r="N507" t="b">
            <v>0</v>
          </cell>
          <cell r="O507" t="b">
            <v>0</v>
          </cell>
          <cell r="P507" t="b">
            <v>0</v>
          </cell>
          <cell r="Q507" t="b">
            <v>0</v>
          </cell>
          <cell r="W507" t="e">
            <v>#REF!</v>
          </cell>
        </row>
        <row r="508">
          <cell r="H508" t="b">
            <v>0</v>
          </cell>
          <cell r="I508" t="b">
            <v>0</v>
          </cell>
          <cell r="J508" t="b">
            <v>0</v>
          </cell>
          <cell r="K508" t="b">
            <v>0</v>
          </cell>
          <cell r="L508" t="b">
            <v>0</v>
          </cell>
          <cell r="M508" t="b">
            <v>0</v>
          </cell>
          <cell r="N508" t="b">
            <v>0</v>
          </cell>
          <cell r="O508" t="b">
            <v>0</v>
          </cell>
          <cell r="P508" t="b">
            <v>0</v>
          </cell>
          <cell r="Q508" t="b">
            <v>0</v>
          </cell>
          <cell r="W508" t="e">
            <v>#REF!</v>
          </cell>
        </row>
        <row r="509">
          <cell r="H509" t="b">
            <v>0</v>
          </cell>
          <cell r="I509" t="b">
            <v>0</v>
          </cell>
          <cell r="J509" t="b">
            <v>0</v>
          </cell>
          <cell r="K509" t="b">
            <v>0</v>
          </cell>
          <cell r="L509" t="b">
            <v>0</v>
          </cell>
          <cell r="M509" t="b">
            <v>0</v>
          </cell>
          <cell r="N509" t="b">
            <v>0</v>
          </cell>
          <cell r="O509" t="b">
            <v>0</v>
          </cell>
          <cell r="P509" t="b">
            <v>0</v>
          </cell>
          <cell r="Q509" t="b">
            <v>0</v>
          </cell>
          <cell r="W509" t="e">
            <v>#REF!</v>
          </cell>
        </row>
        <row r="510">
          <cell r="H510" t="b">
            <v>0</v>
          </cell>
          <cell r="I510" t="b">
            <v>0</v>
          </cell>
          <cell r="J510" t="b">
            <v>0</v>
          </cell>
          <cell r="K510" t="b">
            <v>0</v>
          </cell>
          <cell r="L510" t="b">
            <v>0</v>
          </cell>
          <cell r="M510" t="b">
            <v>0</v>
          </cell>
          <cell r="N510" t="b">
            <v>0</v>
          </cell>
          <cell r="O510" t="b">
            <v>0</v>
          </cell>
          <cell r="P510" t="b">
            <v>0</v>
          </cell>
          <cell r="Q510" t="b">
            <v>0</v>
          </cell>
          <cell r="W510" t="e">
            <v>#REF!</v>
          </cell>
        </row>
        <row r="511">
          <cell r="H511" t="b">
            <v>0</v>
          </cell>
          <cell r="I511" t="b">
            <v>0</v>
          </cell>
          <cell r="J511" t="b">
            <v>0</v>
          </cell>
          <cell r="K511" t="b">
            <v>0</v>
          </cell>
          <cell r="L511" t="b">
            <v>0</v>
          </cell>
          <cell r="M511" t="b">
            <v>0</v>
          </cell>
          <cell r="N511" t="b">
            <v>0</v>
          </cell>
          <cell r="O511" t="b">
            <v>0</v>
          </cell>
          <cell r="P511" t="b">
            <v>0</v>
          </cell>
          <cell r="Q511" t="b">
            <v>0</v>
          </cell>
          <cell r="W511" t="e">
            <v>#REF!</v>
          </cell>
        </row>
        <row r="512">
          <cell r="H512" t="b">
            <v>0</v>
          </cell>
          <cell r="I512" t="b">
            <v>0</v>
          </cell>
          <cell r="J512" t="b">
            <v>0</v>
          </cell>
          <cell r="K512" t="b">
            <v>0</v>
          </cell>
          <cell r="L512" t="b">
            <v>0</v>
          </cell>
          <cell r="M512" t="b">
            <v>0</v>
          </cell>
          <cell r="N512" t="b">
            <v>0</v>
          </cell>
          <cell r="O512" t="b">
            <v>0</v>
          </cell>
          <cell r="P512" t="b">
            <v>0</v>
          </cell>
          <cell r="Q512" t="b">
            <v>0</v>
          </cell>
          <cell r="W512" t="e">
            <v>#REF!</v>
          </cell>
        </row>
        <row r="513">
          <cell r="H513" t="b">
            <v>0</v>
          </cell>
          <cell r="I513" t="b">
            <v>0</v>
          </cell>
          <cell r="J513" t="b">
            <v>0</v>
          </cell>
          <cell r="K513" t="b">
            <v>0</v>
          </cell>
          <cell r="L513" t="b">
            <v>0</v>
          </cell>
          <cell r="M513" t="b">
            <v>0</v>
          </cell>
          <cell r="N513" t="b">
            <v>0</v>
          </cell>
          <cell r="O513" t="b">
            <v>0</v>
          </cell>
          <cell r="P513" t="b">
            <v>0</v>
          </cell>
          <cell r="Q513" t="b">
            <v>0</v>
          </cell>
          <cell r="W513" t="e">
            <v>#REF!</v>
          </cell>
        </row>
        <row r="514">
          <cell r="H514" t="b">
            <v>0</v>
          </cell>
          <cell r="I514" t="b">
            <v>0</v>
          </cell>
          <cell r="J514" t="b">
            <v>0</v>
          </cell>
          <cell r="K514" t="b">
            <v>0</v>
          </cell>
          <cell r="L514" t="b">
            <v>0</v>
          </cell>
          <cell r="M514" t="b">
            <v>0</v>
          </cell>
          <cell r="N514" t="b">
            <v>0</v>
          </cell>
          <cell r="O514" t="b">
            <v>0</v>
          </cell>
          <cell r="P514" t="b">
            <v>0</v>
          </cell>
          <cell r="Q514" t="b">
            <v>0</v>
          </cell>
          <cell r="W514" t="e">
            <v>#REF!</v>
          </cell>
        </row>
        <row r="515">
          <cell r="H515" t="b">
            <v>0</v>
          </cell>
          <cell r="I515" t="b">
            <v>0</v>
          </cell>
          <cell r="J515" t="b">
            <v>0</v>
          </cell>
          <cell r="K515" t="b">
            <v>0</v>
          </cell>
          <cell r="L515" t="b">
            <v>0</v>
          </cell>
          <cell r="M515" t="b">
            <v>0</v>
          </cell>
          <cell r="N515" t="b">
            <v>0</v>
          </cell>
          <cell r="O515" t="b">
            <v>0</v>
          </cell>
          <cell r="P515" t="b">
            <v>0</v>
          </cell>
          <cell r="Q515" t="b">
            <v>0</v>
          </cell>
          <cell r="W515" t="e">
            <v>#REF!</v>
          </cell>
        </row>
        <row r="516">
          <cell r="H516" t="b">
            <v>0</v>
          </cell>
          <cell r="I516" t="b">
            <v>0</v>
          </cell>
          <cell r="J516" t="b">
            <v>0</v>
          </cell>
          <cell r="K516" t="b">
            <v>0</v>
          </cell>
          <cell r="L516" t="b">
            <v>0</v>
          </cell>
          <cell r="M516" t="b">
            <v>0</v>
          </cell>
          <cell r="N516" t="b">
            <v>0</v>
          </cell>
          <cell r="O516" t="b">
            <v>0</v>
          </cell>
          <cell r="P516" t="b">
            <v>0</v>
          </cell>
          <cell r="Q516" t="b">
            <v>0</v>
          </cell>
          <cell r="W516" t="e">
            <v>#REF!</v>
          </cell>
        </row>
        <row r="517">
          <cell r="H517" t="b">
            <v>0</v>
          </cell>
          <cell r="I517" t="b">
            <v>0</v>
          </cell>
          <cell r="J517" t="b">
            <v>0</v>
          </cell>
          <cell r="K517" t="b">
            <v>0</v>
          </cell>
          <cell r="L517" t="b">
            <v>0</v>
          </cell>
          <cell r="M517" t="b">
            <v>0</v>
          </cell>
          <cell r="N517" t="b">
            <v>0</v>
          </cell>
          <cell r="O517" t="b">
            <v>0</v>
          </cell>
          <cell r="P517" t="b">
            <v>0</v>
          </cell>
          <cell r="Q517" t="b">
            <v>0</v>
          </cell>
          <cell r="W517" t="e">
            <v>#REF!</v>
          </cell>
        </row>
        <row r="518">
          <cell r="H518" t="b">
            <v>0</v>
          </cell>
          <cell r="I518" t="b">
            <v>0</v>
          </cell>
          <cell r="J518" t="b">
            <v>0</v>
          </cell>
          <cell r="K518" t="b">
            <v>0</v>
          </cell>
          <cell r="L518" t="b">
            <v>0</v>
          </cell>
          <cell r="M518" t="b">
            <v>0</v>
          </cell>
          <cell r="N518" t="b">
            <v>0</v>
          </cell>
          <cell r="O518" t="b">
            <v>0</v>
          </cell>
          <cell r="P518" t="b">
            <v>0</v>
          </cell>
          <cell r="Q518" t="b">
            <v>0</v>
          </cell>
          <cell r="W518" t="e">
            <v>#REF!</v>
          </cell>
        </row>
        <row r="519">
          <cell r="H519" t="b">
            <v>0</v>
          </cell>
          <cell r="I519" t="b">
            <v>0</v>
          </cell>
          <cell r="J519" t="b">
            <v>0</v>
          </cell>
          <cell r="K519" t="b">
            <v>0</v>
          </cell>
          <cell r="L519" t="b">
            <v>0</v>
          </cell>
          <cell r="M519" t="b">
            <v>0</v>
          </cell>
          <cell r="N519" t="b">
            <v>0</v>
          </cell>
          <cell r="O519" t="b">
            <v>0</v>
          </cell>
          <cell r="P519" t="b">
            <v>0</v>
          </cell>
          <cell r="Q519" t="b">
            <v>0</v>
          </cell>
          <cell r="W519" t="e">
            <v>#REF!</v>
          </cell>
        </row>
        <row r="520">
          <cell r="H520" t="b">
            <v>0</v>
          </cell>
          <cell r="I520" t="b">
            <v>0</v>
          </cell>
          <cell r="J520" t="b">
            <v>0</v>
          </cell>
          <cell r="K520" t="b">
            <v>0</v>
          </cell>
          <cell r="L520" t="b">
            <v>0</v>
          </cell>
          <cell r="M520" t="b">
            <v>0</v>
          </cell>
          <cell r="N520" t="b">
            <v>0</v>
          </cell>
          <cell r="O520" t="b">
            <v>0</v>
          </cell>
          <cell r="P520" t="b">
            <v>0</v>
          </cell>
          <cell r="Q520" t="b">
            <v>0</v>
          </cell>
          <cell r="W520" t="e">
            <v>#REF!</v>
          </cell>
        </row>
        <row r="521">
          <cell r="H521" t="b">
            <v>0</v>
          </cell>
          <cell r="I521" t="b">
            <v>0</v>
          </cell>
          <cell r="J521" t="b">
            <v>0</v>
          </cell>
          <cell r="K521" t="b">
            <v>0</v>
          </cell>
          <cell r="L521" t="b">
            <v>0</v>
          </cell>
          <cell r="M521" t="b">
            <v>0</v>
          </cell>
          <cell r="N521" t="b">
            <v>0</v>
          </cell>
          <cell r="O521" t="b">
            <v>0</v>
          </cell>
          <cell r="P521" t="b">
            <v>0</v>
          </cell>
          <cell r="Q521" t="b">
            <v>0</v>
          </cell>
          <cell r="W521" t="e">
            <v>#REF!</v>
          </cell>
        </row>
        <row r="522">
          <cell r="H522" t="b">
            <v>0</v>
          </cell>
          <cell r="I522" t="b">
            <v>0</v>
          </cell>
          <cell r="J522" t="b">
            <v>0</v>
          </cell>
          <cell r="K522" t="b">
            <v>0</v>
          </cell>
          <cell r="L522" t="b">
            <v>0</v>
          </cell>
          <cell r="M522" t="b">
            <v>0</v>
          </cell>
          <cell r="N522" t="b">
            <v>0</v>
          </cell>
          <cell r="O522" t="b">
            <v>0</v>
          </cell>
          <cell r="P522" t="b">
            <v>0</v>
          </cell>
          <cell r="Q522" t="b">
            <v>0</v>
          </cell>
          <cell r="W522" t="e">
            <v>#REF!</v>
          </cell>
        </row>
        <row r="523">
          <cell r="H523" t="b">
            <v>0</v>
          </cell>
          <cell r="I523" t="b">
            <v>0</v>
          </cell>
          <cell r="J523" t="b">
            <v>0</v>
          </cell>
          <cell r="K523" t="b">
            <v>0</v>
          </cell>
          <cell r="L523" t="b">
            <v>0</v>
          </cell>
          <cell r="M523" t="b">
            <v>0</v>
          </cell>
          <cell r="N523" t="b">
            <v>0</v>
          </cell>
          <cell r="O523" t="b">
            <v>0</v>
          </cell>
          <cell r="P523" t="b">
            <v>0</v>
          </cell>
          <cell r="Q523" t="b">
            <v>0</v>
          </cell>
          <cell r="W523" t="e">
            <v>#REF!</v>
          </cell>
        </row>
        <row r="524">
          <cell r="H524" t="b">
            <v>0</v>
          </cell>
          <cell r="I524" t="b">
            <v>0</v>
          </cell>
          <cell r="J524" t="b">
            <v>0</v>
          </cell>
          <cell r="K524" t="b">
            <v>0</v>
          </cell>
          <cell r="L524" t="b">
            <v>0</v>
          </cell>
          <cell r="M524" t="b">
            <v>0</v>
          </cell>
          <cell r="N524" t="b">
            <v>0</v>
          </cell>
          <cell r="O524" t="b">
            <v>0</v>
          </cell>
          <cell r="P524" t="b">
            <v>0</v>
          </cell>
          <cell r="Q524" t="b">
            <v>0</v>
          </cell>
          <cell r="W524" t="e">
            <v>#REF!</v>
          </cell>
        </row>
        <row r="525">
          <cell r="H525" t="b">
            <v>0</v>
          </cell>
          <cell r="I525" t="b">
            <v>0</v>
          </cell>
          <cell r="J525" t="b">
            <v>0</v>
          </cell>
          <cell r="K525" t="b">
            <v>0</v>
          </cell>
          <cell r="L525" t="b">
            <v>0</v>
          </cell>
          <cell r="M525" t="b">
            <v>0</v>
          </cell>
          <cell r="N525" t="b">
            <v>0</v>
          </cell>
          <cell r="O525" t="b">
            <v>0</v>
          </cell>
          <cell r="P525" t="b">
            <v>0</v>
          </cell>
          <cell r="Q525" t="b">
            <v>0</v>
          </cell>
          <cell r="W525" t="e">
            <v>#REF!</v>
          </cell>
        </row>
        <row r="526">
          <cell r="H526" t="b">
            <v>0</v>
          </cell>
          <cell r="I526" t="b">
            <v>0</v>
          </cell>
          <cell r="J526" t="b">
            <v>0</v>
          </cell>
          <cell r="K526" t="b">
            <v>0</v>
          </cell>
          <cell r="L526" t="b">
            <v>0</v>
          </cell>
          <cell r="M526" t="b">
            <v>0</v>
          </cell>
          <cell r="N526" t="b">
            <v>0</v>
          </cell>
          <cell r="O526" t="b">
            <v>0</v>
          </cell>
          <cell r="P526" t="b">
            <v>0</v>
          </cell>
          <cell r="Q526" t="b">
            <v>0</v>
          </cell>
          <cell r="W526" t="e">
            <v>#REF!</v>
          </cell>
        </row>
        <row r="527">
          <cell r="H527" t="b">
            <v>0</v>
          </cell>
          <cell r="I527" t="b">
            <v>0</v>
          </cell>
          <cell r="J527" t="b">
            <v>0</v>
          </cell>
          <cell r="K527" t="b">
            <v>0</v>
          </cell>
          <cell r="L527" t="b">
            <v>0</v>
          </cell>
          <cell r="M527" t="b">
            <v>0</v>
          </cell>
          <cell r="N527" t="b">
            <v>0</v>
          </cell>
          <cell r="O527" t="b">
            <v>0</v>
          </cell>
          <cell r="P527" t="b">
            <v>0</v>
          </cell>
          <cell r="Q527" t="b">
            <v>0</v>
          </cell>
          <cell r="W527" t="e">
            <v>#REF!</v>
          </cell>
        </row>
        <row r="528">
          <cell r="H528" t="b">
            <v>0</v>
          </cell>
          <cell r="I528" t="b">
            <v>0</v>
          </cell>
          <cell r="J528" t="b">
            <v>0</v>
          </cell>
          <cell r="K528" t="b">
            <v>0</v>
          </cell>
          <cell r="L528" t="b">
            <v>0</v>
          </cell>
          <cell r="M528" t="b">
            <v>0</v>
          </cell>
          <cell r="N528" t="b">
            <v>0</v>
          </cell>
          <cell r="O528" t="b">
            <v>0</v>
          </cell>
          <cell r="P528" t="b">
            <v>0</v>
          </cell>
          <cell r="Q528" t="b">
            <v>0</v>
          </cell>
          <cell r="W528" t="e">
            <v>#REF!</v>
          </cell>
        </row>
        <row r="529">
          <cell r="H529" t="b">
            <v>0</v>
          </cell>
          <cell r="I529" t="b">
            <v>0</v>
          </cell>
          <cell r="J529" t="b">
            <v>0</v>
          </cell>
          <cell r="K529" t="b">
            <v>0</v>
          </cell>
          <cell r="L529" t="b">
            <v>0</v>
          </cell>
          <cell r="M529" t="b">
            <v>0</v>
          </cell>
          <cell r="N529" t="b">
            <v>0</v>
          </cell>
          <cell r="O529" t="b">
            <v>0</v>
          </cell>
          <cell r="P529" t="b">
            <v>0</v>
          </cell>
          <cell r="Q529" t="b">
            <v>0</v>
          </cell>
          <cell r="W529" t="e">
            <v>#REF!</v>
          </cell>
        </row>
        <row r="530">
          <cell r="H530" t="b">
            <v>0</v>
          </cell>
          <cell r="I530" t="b">
            <v>0</v>
          </cell>
          <cell r="J530" t="b">
            <v>0</v>
          </cell>
          <cell r="K530" t="b">
            <v>0</v>
          </cell>
          <cell r="L530" t="b">
            <v>0</v>
          </cell>
          <cell r="M530" t="b">
            <v>0</v>
          </cell>
          <cell r="N530" t="b">
            <v>0</v>
          </cell>
          <cell r="O530" t="b">
            <v>0</v>
          </cell>
          <cell r="P530" t="b">
            <v>0</v>
          </cell>
          <cell r="Q530" t="b">
            <v>0</v>
          </cell>
          <cell r="W530" t="e">
            <v>#REF!</v>
          </cell>
        </row>
        <row r="531">
          <cell r="H531" t="b">
            <v>0</v>
          </cell>
          <cell r="I531" t="b">
            <v>0</v>
          </cell>
          <cell r="J531" t="b">
            <v>0</v>
          </cell>
          <cell r="K531" t="b">
            <v>0</v>
          </cell>
          <cell r="L531" t="b">
            <v>0</v>
          </cell>
          <cell r="M531" t="b">
            <v>0</v>
          </cell>
          <cell r="N531" t="b">
            <v>0</v>
          </cell>
          <cell r="O531" t="b">
            <v>0</v>
          </cell>
          <cell r="P531" t="b">
            <v>0</v>
          </cell>
          <cell r="Q531" t="b">
            <v>0</v>
          </cell>
          <cell r="W531" t="e">
            <v>#REF!</v>
          </cell>
        </row>
        <row r="532">
          <cell r="H532" t="b">
            <v>0</v>
          </cell>
          <cell r="I532" t="b">
            <v>0</v>
          </cell>
          <cell r="J532" t="b">
            <v>0</v>
          </cell>
          <cell r="K532" t="b">
            <v>0</v>
          </cell>
          <cell r="L532" t="b">
            <v>0</v>
          </cell>
          <cell r="M532" t="b">
            <v>0</v>
          </cell>
          <cell r="N532" t="b">
            <v>0</v>
          </cell>
          <cell r="O532" t="b">
            <v>0</v>
          </cell>
          <cell r="P532" t="b">
            <v>0</v>
          </cell>
          <cell r="Q532" t="b">
            <v>0</v>
          </cell>
          <cell r="W532" t="e">
            <v>#REF!</v>
          </cell>
        </row>
        <row r="533">
          <cell r="H533" t="b">
            <v>0</v>
          </cell>
          <cell r="I533" t="b">
            <v>0</v>
          </cell>
          <cell r="J533" t="b">
            <v>0</v>
          </cell>
          <cell r="K533" t="b">
            <v>0</v>
          </cell>
          <cell r="L533" t="b">
            <v>0</v>
          </cell>
          <cell r="M533" t="b">
            <v>0</v>
          </cell>
          <cell r="N533" t="b">
            <v>0</v>
          </cell>
          <cell r="O533" t="b">
            <v>0</v>
          </cell>
          <cell r="P533" t="b">
            <v>0</v>
          </cell>
          <cell r="Q533" t="b">
            <v>0</v>
          </cell>
          <cell r="W533" t="e">
            <v>#REF!</v>
          </cell>
        </row>
        <row r="534">
          <cell r="H534" t="b">
            <v>0</v>
          </cell>
          <cell r="I534" t="b">
            <v>0</v>
          </cell>
          <cell r="J534" t="b">
            <v>0</v>
          </cell>
          <cell r="K534" t="b">
            <v>0</v>
          </cell>
          <cell r="L534" t="b">
            <v>0</v>
          </cell>
          <cell r="M534" t="b">
            <v>0</v>
          </cell>
          <cell r="N534" t="b">
            <v>0</v>
          </cell>
          <cell r="O534" t="b">
            <v>0</v>
          </cell>
          <cell r="P534" t="b">
            <v>0</v>
          </cell>
          <cell r="Q534" t="b">
            <v>0</v>
          </cell>
          <cell r="W534" t="e">
            <v>#REF!</v>
          </cell>
        </row>
        <row r="535">
          <cell r="H535" t="b">
            <v>0</v>
          </cell>
          <cell r="I535" t="b">
            <v>0</v>
          </cell>
          <cell r="J535" t="b">
            <v>0</v>
          </cell>
          <cell r="K535" t="b">
            <v>0</v>
          </cell>
          <cell r="L535" t="b">
            <v>0</v>
          </cell>
          <cell r="M535" t="b">
            <v>0</v>
          </cell>
          <cell r="N535" t="b">
            <v>0</v>
          </cell>
          <cell r="O535" t="b">
            <v>0</v>
          </cell>
          <cell r="P535" t="b">
            <v>0</v>
          </cell>
          <cell r="Q535" t="b">
            <v>0</v>
          </cell>
          <cell r="W535" t="e">
            <v>#REF!</v>
          </cell>
        </row>
        <row r="536">
          <cell r="H536" t="b">
            <v>0</v>
          </cell>
          <cell r="I536" t="b">
            <v>0</v>
          </cell>
          <cell r="J536" t="b">
            <v>0</v>
          </cell>
          <cell r="K536" t="b">
            <v>0</v>
          </cell>
          <cell r="L536" t="b">
            <v>0</v>
          </cell>
          <cell r="M536" t="b">
            <v>0</v>
          </cell>
          <cell r="N536" t="b">
            <v>0</v>
          </cell>
          <cell r="O536" t="b">
            <v>0</v>
          </cell>
          <cell r="P536" t="b">
            <v>0</v>
          </cell>
          <cell r="Q536" t="b">
            <v>0</v>
          </cell>
          <cell r="W536" t="e">
            <v>#REF!</v>
          </cell>
        </row>
        <row r="537">
          <cell r="H537" t="b">
            <v>0</v>
          </cell>
          <cell r="I537" t="b">
            <v>0</v>
          </cell>
          <cell r="J537" t="b">
            <v>0</v>
          </cell>
          <cell r="K537" t="b">
            <v>0</v>
          </cell>
          <cell r="L537" t="b">
            <v>0</v>
          </cell>
          <cell r="M537" t="b">
            <v>0</v>
          </cell>
          <cell r="N537" t="b">
            <v>0</v>
          </cell>
          <cell r="O537" t="b">
            <v>0</v>
          </cell>
          <cell r="P537" t="b">
            <v>0</v>
          </cell>
          <cell r="Q537" t="b">
            <v>0</v>
          </cell>
          <cell r="W537" t="e">
            <v>#REF!</v>
          </cell>
        </row>
        <row r="538">
          <cell r="H538" t="b">
            <v>0</v>
          </cell>
          <cell r="I538" t="b">
            <v>0</v>
          </cell>
          <cell r="J538" t="b">
            <v>0</v>
          </cell>
          <cell r="K538" t="b">
            <v>0</v>
          </cell>
          <cell r="L538" t="b">
            <v>0</v>
          </cell>
          <cell r="M538" t="b">
            <v>0</v>
          </cell>
          <cell r="N538" t="b">
            <v>0</v>
          </cell>
          <cell r="O538" t="b">
            <v>0</v>
          </cell>
          <cell r="P538" t="b">
            <v>0</v>
          </cell>
          <cell r="Q538" t="b">
            <v>0</v>
          </cell>
          <cell r="W538" t="e">
            <v>#REF!</v>
          </cell>
        </row>
        <row r="539">
          <cell r="H539" t="b">
            <v>0</v>
          </cell>
          <cell r="I539" t="b">
            <v>0</v>
          </cell>
          <cell r="J539" t="b">
            <v>0</v>
          </cell>
          <cell r="K539" t="b">
            <v>0</v>
          </cell>
          <cell r="L539" t="b">
            <v>0</v>
          </cell>
          <cell r="M539" t="b">
            <v>0</v>
          </cell>
          <cell r="N539" t="b">
            <v>0</v>
          </cell>
          <cell r="O539" t="b">
            <v>0</v>
          </cell>
          <cell r="P539" t="b">
            <v>0</v>
          </cell>
          <cell r="Q539" t="b">
            <v>0</v>
          </cell>
          <cell r="W539" t="e">
            <v>#REF!</v>
          </cell>
        </row>
        <row r="540">
          <cell r="H540" t="b">
            <v>0</v>
          </cell>
          <cell r="I540" t="b">
            <v>0</v>
          </cell>
          <cell r="J540" t="b">
            <v>0</v>
          </cell>
          <cell r="K540" t="b">
            <v>0</v>
          </cell>
          <cell r="L540" t="b">
            <v>0</v>
          </cell>
          <cell r="M540" t="b">
            <v>0</v>
          </cell>
          <cell r="N540" t="b">
            <v>0</v>
          </cell>
          <cell r="O540" t="b">
            <v>0</v>
          </cell>
          <cell r="P540" t="b">
            <v>0</v>
          </cell>
          <cell r="Q540" t="b">
            <v>0</v>
          </cell>
          <cell r="W540" t="e">
            <v>#REF!</v>
          </cell>
        </row>
        <row r="541">
          <cell r="H541" t="b">
            <v>0</v>
          </cell>
          <cell r="I541" t="b">
            <v>0</v>
          </cell>
          <cell r="J541" t="b">
            <v>0</v>
          </cell>
          <cell r="K541" t="b">
            <v>0</v>
          </cell>
          <cell r="L541" t="b">
            <v>0</v>
          </cell>
          <cell r="M541" t="b">
            <v>0</v>
          </cell>
          <cell r="N541" t="b">
            <v>0</v>
          </cell>
          <cell r="O541" t="b">
            <v>0</v>
          </cell>
          <cell r="P541" t="b">
            <v>0</v>
          </cell>
          <cell r="Q541" t="b">
            <v>0</v>
          </cell>
          <cell r="W541" t="e">
            <v>#REF!</v>
          </cell>
        </row>
        <row r="542">
          <cell r="H542" t="b">
            <v>0</v>
          </cell>
          <cell r="I542" t="b">
            <v>0</v>
          </cell>
          <cell r="J542" t="b">
            <v>0</v>
          </cell>
          <cell r="K542" t="b">
            <v>0</v>
          </cell>
          <cell r="L542" t="b">
            <v>0</v>
          </cell>
          <cell r="M542" t="b">
            <v>0</v>
          </cell>
          <cell r="N542" t="b">
            <v>0</v>
          </cell>
          <cell r="O542" t="b">
            <v>0</v>
          </cell>
          <cell r="P542" t="b">
            <v>0</v>
          </cell>
          <cell r="Q542" t="b">
            <v>0</v>
          </cell>
          <cell r="W542" t="e">
            <v>#REF!</v>
          </cell>
        </row>
        <row r="543">
          <cell r="H543" t="b">
            <v>0</v>
          </cell>
          <cell r="I543" t="b">
            <v>0</v>
          </cell>
          <cell r="J543" t="b">
            <v>0</v>
          </cell>
          <cell r="K543" t="b">
            <v>0</v>
          </cell>
          <cell r="L543" t="b">
            <v>0</v>
          </cell>
          <cell r="M543" t="b">
            <v>0</v>
          </cell>
          <cell r="N543" t="b">
            <v>0</v>
          </cell>
          <cell r="O543" t="b">
            <v>0</v>
          </cell>
          <cell r="P543" t="b">
            <v>0</v>
          </cell>
          <cell r="Q543" t="b">
            <v>0</v>
          </cell>
          <cell r="W543" t="e">
            <v>#REF!</v>
          </cell>
        </row>
        <row r="544">
          <cell r="H544" t="b">
            <v>0</v>
          </cell>
          <cell r="I544" t="b">
            <v>0</v>
          </cell>
          <cell r="J544" t="b">
            <v>0</v>
          </cell>
          <cell r="K544" t="b">
            <v>0</v>
          </cell>
          <cell r="L544" t="b">
            <v>0</v>
          </cell>
          <cell r="M544" t="b">
            <v>0</v>
          </cell>
          <cell r="N544" t="b">
            <v>0</v>
          </cell>
          <cell r="O544" t="b">
            <v>0</v>
          </cell>
          <cell r="P544" t="b">
            <v>0</v>
          </cell>
          <cell r="Q544" t="b">
            <v>0</v>
          </cell>
          <cell r="W544" t="e">
            <v>#REF!</v>
          </cell>
        </row>
        <row r="545">
          <cell r="H545" t="b">
            <v>0</v>
          </cell>
          <cell r="I545" t="b">
            <v>0</v>
          </cell>
          <cell r="J545" t="b">
            <v>0</v>
          </cell>
          <cell r="K545" t="b">
            <v>0</v>
          </cell>
          <cell r="L545" t="b">
            <v>0</v>
          </cell>
          <cell r="M545" t="b">
            <v>0</v>
          </cell>
          <cell r="N545" t="b">
            <v>0</v>
          </cell>
          <cell r="O545" t="b">
            <v>0</v>
          </cell>
          <cell r="P545" t="b">
            <v>0</v>
          </cell>
          <cell r="Q545" t="b">
            <v>0</v>
          </cell>
          <cell r="W545" t="e">
            <v>#REF!</v>
          </cell>
        </row>
        <row r="546">
          <cell r="H546" t="b">
            <v>0</v>
          </cell>
          <cell r="I546" t="b">
            <v>0</v>
          </cell>
          <cell r="J546" t="b">
            <v>0</v>
          </cell>
          <cell r="K546" t="b">
            <v>0</v>
          </cell>
          <cell r="L546" t="b">
            <v>0</v>
          </cell>
          <cell r="M546" t="b">
            <v>0</v>
          </cell>
          <cell r="N546" t="b">
            <v>0</v>
          </cell>
          <cell r="O546" t="b">
            <v>0</v>
          </cell>
          <cell r="P546" t="b">
            <v>0</v>
          </cell>
          <cell r="Q546" t="b">
            <v>0</v>
          </cell>
          <cell r="W546" t="e">
            <v>#REF!</v>
          </cell>
        </row>
        <row r="547">
          <cell r="H547" t="b">
            <v>0</v>
          </cell>
          <cell r="I547" t="b">
            <v>0</v>
          </cell>
          <cell r="J547" t="b">
            <v>0</v>
          </cell>
          <cell r="K547" t="b">
            <v>0</v>
          </cell>
          <cell r="L547" t="b">
            <v>0</v>
          </cell>
          <cell r="M547" t="b">
            <v>0</v>
          </cell>
          <cell r="N547" t="b">
            <v>0</v>
          </cell>
          <cell r="O547" t="b">
            <v>0</v>
          </cell>
          <cell r="P547" t="b">
            <v>0</v>
          </cell>
          <cell r="Q547" t="b">
            <v>0</v>
          </cell>
          <cell r="W547" t="e">
            <v>#REF!</v>
          </cell>
        </row>
        <row r="548">
          <cell r="H548" t="b">
            <v>0</v>
          </cell>
          <cell r="I548" t="b">
            <v>0</v>
          </cell>
          <cell r="J548" t="b">
            <v>0</v>
          </cell>
          <cell r="K548" t="b">
            <v>0</v>
          </cell>
          <cell r="L548" t="b">
            <v>0</v>
          </cell>
          <cell r="M548" t="b">
            <v>0</v>
          </cell>
          <cell r="N548" t="b">
            <v>0</v>
          </cell>
          <cell r="O548" t="b">
            <v>0</v>
          </cell>
          <cell r="P548" t="b">
            <v>0</v>
          </cell>
          <cell r="Q548" t="b">
            <v>0</v>
          </cell>
          <cell r="W548" t="e">
            <v>#REF!</v>
          </cell>
        </row>
        <row r="549">
          <cell r="H549" t="b">
            <v>0</v>
          </cell>
          <cell r="I549" t="b">
            <v>0</v>
          </cell>
          <cell r="J549" t="b">
            <v>0</v>
          </cell>
          <cell r="K549" t="b">
            <v>0</v>
          </cell>
          <cell r="L549" t="b">
            <v>0</v>
          </cell>
          <cell r="M549" t="b">
            <v>0</v>
          </cell>
          <cell r="N549" t="b">
            <v>0</v>
          </cell>
          <cell r="O549" t="b">
            <v>0</v>
          </cell>
          <cell r="P549" t="b">
            <v>0</v>
          </cell>
          <cell r="Q549" t="b">
            <v>0</v>
          </cell>
          <cell r="W549" t="e">
            <v>#REF!</v>
          </cell>
        </row>
        <row r="550">
          <cell r="H550" t="b">
            <v>0</v>
          </cell>
          <cell r="I550" t="b">
            <v>0</v>
          </cell>
          <cell r="J550" t="b">
            <v>0</v>
          </cell>
          <cell r="K550" t="b">
            <v>0</v>
          </cell>
          <cell r="L550" t="b">
            <v>0</v>
          </cell>
          <cell r="M550" t="b">
            <v>0</v>
          </cell>
          <cell r="N550" t="b">
            <v>0</v>
          </cell>
          <cell r="O550" t="b">
            <v>0</v>
          </cell>
          <cell r="P550" t="b">
            <v>0</v>
          </cell>
          <cell r="Q550" t="b">
            <v>0</v>
          </cell>
          <cell r="W550" t="e">
            <v>#REF!</v>
          </cell>
        </row>
        <row r="551">
          <cell r="H551" t="b">
            <v>0</v>
          </cell>
          <cell r="I551" t="b">
            <v>0</v>
          </cell>
          <cell r="J551" t="b">
            <v>0</v>
          </cell>
          <cell r="K551" t="b">
            <v>0</v>
          </cell>
          <cell r="L551" t="b">
            <v>0</v>
          </cell>
          <cell r="M551" t="b">
            <v>0</v>
          </cell>
          <cell r="N551" t="b">
            <v>0</v>
          </cell>
          <cell r="O551" t="b">
            <v>0</v>
          </cell>
          <cell r="P551" t="b">
            <v>0</v>
          </cell>
          <cell r="Q551" t="b">
            <v>0</v>
          </cell>
          <cell r="W551" t="e">
            <v>#REF!</v>
          </cell>
        </row>
        <row r="552">
          <cell r="H552" t="b">
            <v>0</v>
          </cell>
          <cell r="I552" t="b">
            <v>0</v>
          </cell>
          <cell r="J552" t="b">
            <v>0</v>
          </cell>
          <cell r="K552" t="b">
            <v>0</v>
          </cell>
          <cell r="L552" t="b">
            <v>0</v>
          </cell>
          <cell r="M552" t="b">
            <v>0</v>
          </cell>
          <cell r="N552" t="b">
            <v>0</v>
          </cell>
          <cell r="O552" t="b">
            <v>0</v>
          </cell>
          <cell r="P552" t="b">
            <v>0</v>
          </cell>
          <cell r="Q552" t="b">
            <v>0</v>
          </cell>
          <cell r="W552" t="e">
            <v>#REF!</v>
          </cell>
        </row>
        <row r="553">
          <cell r="H553" t="b">
            <v>0</v>
          </cell>
          <cell r="I553" t="b">
            <v>0</v>
          </cell>
          <cell r="J553" t="b">
            <v>0</v>
          </cell>
          <cell r="K553" t="b">
            <v>0</v>
          </cell>
          <cell r="L553" t="b">
            <v>0</v>
          </cell>
          <cell r="M553" t="b">
            <v>0</v>
          </cell>
          <cell r="N553" t="b">
            <v>0</v>
          </cell>
          <cell r="O553" t="b">
            <v>0</v>
          </cell>
          <cell r="P553" t="b">
            <v>0</v>
          </cell>
          <cell r="Q553" t="b">
            <v>0</v>
          </cell>
          <cell r="W553" t="e">
            <v>#REF!</v>
          </cell>
        </row>
        <row r="554">
          <cell r="H554" t="b">
            <v>0</v>
          </cell>
          <cell r="I554" t="b">
            <v>0</v>
          </cell>
          <cell r="J554" t="b">
            <v>0</v>
          </cell>
          <cell r="K554" t="b">
            <v>0</v>
          </cell>
          <cell r="L554" t="b">
            <v>0</v>
          </cell>
          <cell r="M554" t="b">
            <v>0</v>
          </cell>
          <cell r="N554" t="b">
            <v>0</v>
          </cell>
          <cell r="O554" t="b">
            <v>0</v>
          </cell>
          <cell r="P554" t="b">
            <v>0</v>
          </cell>
          <cell r="Q554" t="b">
            <v>0</v>
          </cell>
          <cell r="W554" t="e">
            <v>#REF!</v>
          </cell>
        </row>
        <row r="555">
          <cell r="H555" t="b">
            <v>0</v>
          </cell>
          <cell r="I555" t="b">
            <v>0</v>
          </cell>
          <cell r="J555" t="b">
            <v>0</v>
          </cell>
          <cell r="K555" t="b">
            <v>0</v>
          </cell>
          <cell r="L555" t="b">
            <v>0</v>
          </cell>
          <cell r="M555" t="b">
            <v>0</v>
          </cell>
          <cell r="N555" t="b">
            <v>0</v>
          </cell>
          <cell r="O555" t="b">
            <v>0</v>
          </cell>
          <cell r="P555" t="b">
            <v>0</v>
          </cell>
          <cell r="Q555" t="b">
            <v>0</v>
          </cell>
          <cell r="W555" t="e">
            <v>#REF!</v>
          </cell>
        </row>
        <row r="556">
          <cell r="H556" t="b">
            <v>0</v>
          </cell>
          <cell r="I556" t="b">
            <v>0</v>
          </cell>
          <cell r="J556" t="b">
            <v>0</v>
          </cell>
          <cell r="K556" t="b">
            <v>0</v>
          </cell>
          <cell r="L556" t="b">
            <v>0</v>
          </cell>
          <cell r="M556" t="b">
            <v>0</v>
          </cell>
          <cell r="N556" t="b">
            <v>0</v>
          </cell>
          <cell r="O556" t="b">
            <v>0</v>
          </cell>
          <cell r="P556" t="b">
            <v>0</v>
          </cell>
          <cell r="Q556" t="b">
            <v>0</v>
          </cell>
          <cell r="W556" t="e">
            <v>#REF!</v>
          </cell>
        </row>
        <row r="557">
          <cell r="H557" t="b">
            <v>0</v>
          </cell>
          <cell r="I557" t="b">
            <v>0</v>
          </cell>
          <cell r="J557" t="b">
            <v>0</v>
          </cell>
          <cell r="K557" t="b">
            <v>0</v>
          </cell>
          <cell r="L557" t="b">
            <v>0</v>
          </cell>
          <cell r="M557" t="b">
            <v>0</v>
          </cell>
          <cell r="N557" t="b">
            <v>0</v>
          </cell>
          <cell r="O557" t="b">
            <v>0</v>
          </cell>
          <cell r="P557" t="b">
            <v>0</v>
          </cell>
          <cell r="Q557" t="b">
            <v>0</v>
          </cell>
          <cell r="W557" t="e">
            <v>#REF!</v>
          </cell>
        </row>
        <row r="558">
          <cell r="H558" t="b">
            <v>0</v>
          </cell>
          <cell r="I558" t="b">
            <v>0</v>
          </cell>
          <cell r="J558" t="b">
            <v>0</v>
          </cell>
          <cell r="K558" t="b">
            <v>0</v>
          </cell>
          <cell r="L558" t="b">
            <v>0</v>
          </cell>
          <cell r="M558" t="b">
            <v>0</v>
          </cell>
          <cell r="N558" t="b">
            <v>0</v>
          </cell>
          <cell r="O558" t="b">
            <v>0</v>
          </cell>
          <cell r="P558" t="b">
            <v>0</v>
          </cell>
          <cell r="Q558" t="b">
            <v>0</v>
          </cell>
          <cell r="W558" t="e">
            <v>#REF!</v>
          </cell>
        </row>
        <row r="559">
          <cell r="H559" t="b">
            <v>0</v>
          </cell>
          <cell r="I559" t="b">
            <v>0</v>
          </cell>
          <cell r="J559" t="b">
            <v>0</v>
          </cell>
          <cell r="K559" t="b">
            <v>0</v>
          </cell>
          <cell r="L559" t="b">
            <v>0</v>
          </cell>
          <cell r="M559" t="b">
            <v>0</v>
          </cell>
          <cell r="N559" t="b">
            <v>0</v>
          </cell>
          <cell r="O559" t="b">
            <v>0</v>
          </cell>
          <cell r="P559" t="b">
            <v>0</v>
          </cell>
          <cell r="Q559" t="b">
            <v>0</v>
          </cell>
          <cell r="W559" t="e">
            <v>#REF!</v>
          </cell>
        </row>
        <row r="560">
          <cell r="H560" t="b">
            <v>0</v>
          </cell>
          <cell r="I560" t="b">
            <v>0</v>
          </cell>
          <cell r="J560" t="b">
            <v>0</v>
          </cell>
          <cell r="K560" t="b">
            <v>0</v>
          </cell>
          <cell r="L560" t="b">
            <v>0</v>
          </cell>
          <cell r="M560" t="b">
            <v>0</v>
          </cell>
          <cell r="N560" t="b">
            <v>0</v>
          </cell>
          <cell r="O560" t="b">
            <v>0</v>
          </cell>
          <cell r="P560" t="b">
            <v>0</v>
          </cell>
          <cell r="Q560" t="b">
            <v>0</v>
          </cell>
          <cell r="W560" t="e">
            <v>#REF!</v>
          </cell>
        </row>
        <row r="561">
          <cell r="H561" t="b">
            <v>0</v>
          </cell>
          <cell r="I561" t="b">
            <v>0</v>
          </cell>
          <cell r="J561" t="b">
            <v>0</v>
          </cell>
          <cell r="K561" t="b">
            <v>0</v>
          </cell>
          <cell r="L561" t="b">
            <v>0</v>
          </cell>
          <cell r="M561" t="b">
            <v>0</v>
          </cell>
          <cell r="N561" t="b">
            <v>0</v>
          </cell>
          <cell r="O561" t="b">
            <v>0</v>
          </cell>
          <cell r="P561" t="b">
            <v>0</v>
          </cell>
          <cell r="Q561" t="b">
            <v>0</v>
          </cell>
          <cell r="W561" t="e">
            <v>#REF!</v>
          </cell>
        </row>
        <row r="562">
          <cell r="H562" t="b">
            <v>0</v>
          </cell>
          <cell r="I562" t="b">
            <v>0</v>
          </cell>
          <cell r="J562" t="b">
            <v>0</v>
          </cell>
          <cell r="K562" t="b">
            <v>0</v>
          </cell>
          <cell r="L562" t="b">
            <v>0</v>
          </cell>
          <cell r="M562" t="b">
            <v>0</v>
          </cell>
          <cell r="N562" t="b">
            <v>0</v>
          </cell>
          <cell r="O562" t="b">
            <v>0</v>
          </cell>
          <cell r="P562" t="b">
            <v>0</v>
          </cell>
          <cell r="Q562" t="b">
            <v>0</v>
          </cell>
          <cell r="W562" t="e">
            <v>#REF!</v>
          </cell>
        </row>
        <row r="563">
          <cell r="H563" t="b">
            <v>0</v>
          </cell>
          <cell r="I563" t="b">
            <v>0</v>
          </cell>
          <cell r="J563" t="b">
            <v>0</v>
          </cell>
          <cell r="K563" t="b">
            <v>0</v>
          </cell>
          <cell r="L563" t="b">
            <v>0</v>
          </cell>
          <cell r="M563" t="b">
            <v>0</v>
          </cell>
          <cell r="N563" t="b">
            <v>0</v>
          </cell>
          <cell r="O563" t="b">
            <v>0</v>
          </cell>
          <cell r="P563" t="b">
            <v>0</v>
          </cell>
          <cell r="Q563" t="b">
            <v>0</v>
          </cell>
          <cell r="W563" t="e">
            <v>#REF!</v>
          </cell>
        </row>
        <row r="564">
          <cell r="H564" t="b">
            <v>0</v>
          </cell>
          <cell r="I564" t="b">
            <v>0</v>
          </cell>
          <cell r="J564" t="b">
            <v>0</v>
          </cell>
          <cell r="K564" t="b">
            <v>0</v>
          </cell>
          <cell r="L564" t="b">
            <v>0</v>
          </cell>
          <cell r="M564" t="b">
            <v>0</v>
          </cell>
          <cell r="N564" t="b">
            <v>0</v>
          </cell>
          <cell r="O564" t="b">
            <v>0</v>
          </cell>
          <cell r="P564" t="b">
            <v>0</v>
          </cell>
          <cell r="Q564" t="b">
            <v>0</v>
          </cell>
          <cell r="W564" t="e">
            <v>#REF!</v>
          </cell>
        </row>
        <row r="565">
          <cell r="H565" t="b">
            <v>0</v>
          </cell>
          <cell r="I565" t="b">
            <v>0</v>
          </cell>
          <cell r="J565" t="b">
            <v>0</v>
          </cell>
          <cell r="K565" t="b">
            <v>0</v>
          </cell>
          <cell r="L565" t="b">
            <v>0</v>
          </cell>
          <cell r="M565" t="b">
            <v>0</v>
          </cell>
          <cell r="N565" t="b">
            <v>0</v>
          </cell>
          <cell r="O565" t="b">
            <v>0</v>
          </cell>
          <cell r="P565" t="b">
            <v>0</v>
          </cell>
          <cell r="Q565" t="b">
            <v>0</v>
          </cell>
          <cell r="W565" t="e">
            <v>#REF!</v>
          </cell>
        </row>
        <row r="566">
          <cell r="H566" t="b">
            <v>0</v>
          </cell>
          <cell r="I566" t="b">
            <v>0</v>
          </cell>
          <cell r="J566" t="b">
            <v>0</v>
          </cell>
          <cell r="K566" t="b">
            <v>0</v>
          </cell>
          <cell r="L566" t="b">
            <v>0</v>
          </cell>
          <cell r="M566" t="b">
            <v>0</v>
          </cell>
          <cell r="N566" t="b">
            <v>0</v>
          </cell>
          <cell r="O566" t="b">
            <v>0</v>
          </cell>
          <cell r="P566" t="b">
            <v>0</v>
          </cell>
          <cell r="Q566" t="b">
            <v>0</v>
          </cell>
          <cell r="W566" t="e">
            <v>#REF!</v>
          </cell>
        </row>
        <row r="567">
          <cell r="H567" t="b">
            <v>0</v>
          </cell>
          <cell r="I567" t="b">
            <v>0</v>
          </cell>
          <cell r="J567" t="b">
            <v>0</v>
          </cell>
          <cell r="K567" t="b">
            <v>0</v>
          </cell>
          <cell r="L567" t="b">
            <v>0</v>
          </cell>
          <cell r="M567" t="b">
            <v>0</v>
          </cell>
          <cell r="N567" t="b">
            <v>0</v>
          </cell>
          <cell r="O567" t="b">
            <v>0</v>
          </cell>
          <cell r="P567" t="b">
            <v>0</v>
          </cell>
          <cell r="Q567" t="b">
            <v>0</v>
          </cell>
          <cell r="W567" t="e">
            <v>#REF!</v>
          </cell>
        </row>
        <row r="568">
          <cell r="H568" t="b">
            <v>0</v>
          </cell>
          <cell r="I568" t="b">
            <v>0</v>
          </cell>
          <cell r="J568" t="b">
            <v>0</v>
          </cell>
          <cell r="K568" t="b">
            <v>0</v>
          </cell>
          <cell r="L568" t="b">
            <v>0</v>
          </cell>
          <cell r="M568" t="b">
            <v>0</v>
          </cell>
          <cell r="N568" t="b">
            <v>0</v>
          </cell>
          <cell r="O568" t="b">
            <v>0</v>
          </cell>
          <cell r="P568" t="b">
            <v>0</v>
          </cell>
          <cell r="Q568" t="b">
            <v>0</v>
          </cell>
          <cell r="W568" t="e">
            <v>#REF!</v>
          </cell>
        </row>
        <row r="569">
          <cell r="H569" t="b">
            <v>0</v>
          </cell>
          <cell r="I569" t="b">
            <v>0</v>
          </cell>
          <cell r="J569" t="b">
            <v>0</v>
          </cell>
          <cell r="K569" t="b">
            <v>0</v>
          </cell>
          <cell r="L569" t="b">
            <v>0</v>
          </cell>
          <cell r="M569" t="b">
            <v>0</v>
          </cell>
          <cell r="N569" t="b">
            <v>0</v>
          </cell>
          <cell r="O569" t="b">
            <v>0</v>
          </cell>
          <cell r="P569" t="b">
            <v>0</v>
          </cell>
          <cell r="Q569" t="b">
            <v>0</v>
          </cell>
          <cell r="W569" t="e">
            <v>#REF!</v>
          </cell>
        </row>
        <row r="570">
          <cell r="H570" t="b">
            <v>0</v>
          </cell>
          <cell r="I570" t="b">
            <v>0</v>
          </cell>
          <cell r="J570" t="b">
            <v>0</v>
          </cell>
          <cell r="K570" t="b">
            <v>0</v>
          </cell>
          <cell r="L570" t="b">
            <v>0</v>
          </cell>
          <cell r="M570" t="b">
            <v>0</v>
          </cell>
          <cell r="N570" t="b">
            <v>0</v>
          </cell>
          <cell r="O570" t="b">
            <v>0</v>
          </cell>
          <cell r="P570" t="b">
            <v>0</v>
          </cell>
          <cell r="Q570" t="b">
            <v>0</v>
          </cell>
          <cell r="W570" t="e">
            <v>#REF!</v>
          </cell>
        </row>
        <row r="571">
          <cell r="H571" t="b">
            <v>0</v>
          </cell>
          <cell r="I571" t="b">
            <v>0</v>
          </cell>
          <cell r="J571" t="b">
            <v>0</v>
          </cell>
          <cell r="K571" t="b">
            <v>0</v>
          </cell>
          <cell r="L571" t="b">
            <v>0</v>
          </cell>
          <cell r="M571" t="b">
            <v>0</v>
          </cell>
          <cell r="N571" t="b">
            <v>0</v>
          </cell>
          <cell r="O571" t="b">
            <v>0</v>
          </cell>
          <cell r="P571" t="b">
            <v>0</v>
          </cell>
          <cell r="Q571" t="b">
            <v>0</v>
          </cell>
          <cell r="W571" t="e">
            <v>#REF!</v>
          </cell>
        </row>
        <row r="572">
          <cell r="H572" t="b">
            <v>0</v>
          </cell>
          <cell r="I572" t="b">
            <v>0</v>
          </cell>
          <cell r="J572" t="b">
            <v>0</v>
          </cell>
          <cell r="K572" t="b">
            <v>0</v>
          </cell>
          <cell r="L572" t="b">
            <v>0</v>
          </cell>
          <cell r="M572" t="b">
            <v>0</v>
          </cell>
          <cell r="N572" t="b">
            <v>0</v>
          </cell>
          <cell r="O572" t="b">
            <v>0</v>
          </cell>
          <cell r="P572" t="b">
            <v>0</v>
          </cell>
          <cell r="Q572" t="b">
            <v>0</v>
          </cell>
          <cell r="W572" t="e">
            <v>#REF!</v>
          </cell>
        </row>
        <row r="573">
          <cell r="H573" t="b">
            <v>0</v>
          </cell>
          <cell r="I573" t="b">
            <v>0</v>
          </cell>
          <cell r="J573" t="b">
            <v>0</v>
          </cell>
          <cell r="K573" t="b">
            <v>0</v>
          </cell>
          <cell r="L573" t="b">
            <v>0</v>
          </cell>
          <cell r="M573" t="b">
            <v>0</v>
          </cell>
          <cell r="N573" t="b">
            <v>0</v>
          </cell>
          <cell r="O573" t="b">
            <v>0</v>
          </cell>
          <cell r="P573" t="b">
            <v>0</v>
          </cell>
          <cell r="Q573" t="b">
            <v>0</v>
          </cell>
          <cell r="W573" t="e">
            <v>#REF!</v>
          </cell>
        </row>
        <row r="574">
          <cell r="H574" t="b">
            <v>0</v>
          </cell>
          <cell r="I574" t="b">
            <v>0</v>
          </cell>
          <cell r="J574" t="b">
            <v>0</v>
          </cell>
          <cell r="K574" t="b">
            <v>0</v>
          </cell>
          <cell r="L574" t="b">
            <v>0</v>
          </cell>
          <cell r="M574" t="b">
            <v>0</v>
          </cell>
          <cell r="N574" t="b">
            <v>0</v>
          </cell>
          <cell r="O574" t="b">
            <v>0</v>
          </cell>
          <cell r="P574" t="b">
            <v>0</v>
          </cell>
          <cell r="Q574" t="b">
            <v>0</v>
          </cell>
          <cell r="W574" t="e">
            <v>#REF!</v>
          </cell>
        </row>
        <row r="575">
          <cell r="H575" t="b">
            <v>0</v>
          </cell>
          <cell r="I575" t="b">
            <v>0</v>
          </cell>
          <cell r="J575" t="b">
            <v>0</v>
          </cell>
          <cell r="K575" t="b">
            <v>0</v>
          </cell>
          <cell r="L575" t="b">
            <v>0</v>
          </cell>
          <cell r="M575" t="b">
            <v>0</v>
          </cell>
          <cell r="N575" t="b">
            <v>0</v>
          </cell>
          <cell r="O575" t="b">
            <v>0</v>
          </cell>
          <cell r="P575" t="b">
            <v>0</v>
          </cell>
          <cell r="Q575" t="b">
            <v>0</v>
          </cell>
          <cell r="W575" t="e">
            <v>#REF!</v>
          </cell>
        </row>
        <row r="576">
          <cell r="H576" t="b">
            <v>0</v>
          </cell>
          <cell r="I576" t="b">
            <v>0</v>
          </cell>
          <cell r="J576" t="b">
            <v>0</v>
          </cell>
          <cell r="K576" t="b">
            <v>0</v>
          </cell>
          <cell r="L576" t="b">
            <v>0</v>
          </cell>
          <cell r="M576" t="b">
            <v>0</v>
          </cell>
          <cell r="N576" t="b">
            <v>0</v>
          </cell>
          <cell r="O576" t="b">
            <v>0</v>
          </cell>
          <cell r="P576" t="b">
            <v>0</v>
          </cell>
          <cell r="Q576" t="b">
            <v>0</v>
          </cell>
          <cell r="W576" t="e">
            <v>#REF!</v>
          </cell>
        </row>
        <row r="577">
          <cell r="H577" t="b">
            <v>0</v>
          </cell>
          <cell r="I577" t="b">
            <v>0</v>
          </cell>
          <cell r="J577" t="b">
            <v>0</v>
          </cell>
          <cell r="K577" t="b">
            <v>0</v>
          </cell>
          <cell r="L577" t="b">
            <v>0</v>
          </cell>
          <cell r="M577" t="b">
            <v>0</v>
          </cell>
          <cell r="N577" t="b">
            <v>0</v>
          </cell>
          <cell r="O577" t="b">
            <v>0</v>
          </cell>
          <cell r="P577" t="b">
            <v>0</v>
          </cell>
          <cell r="Q577" t="b">
            <v>0</v>
          </cell>
          <cell r="W577" t="e">
            <v>#REF!</v>
          </cell>
        </row>
        <row r="578">
          <cell r="H578" t="b">
            <v>0</v>
          </cell>
          <cell r="I578" t="b">
            <v>0</v>
          </cell>
          <cell r="J578" t="b">
            <v>0</v>
          </cell>
          <cell r="K578" t="b">
            <v>0</v>
          </cell>
          <cell r="L578" t="b">
            <v>0</v>
          </cell>
          <cell r="M578" t="b">
            <v>0</v>
          </cell>
          <cell r="N578" t="b">
            <v>0</v>
          </cell>
          <cell r="O578" t="b">
            <v>0</v>
          </cell>
          <cell r="P578" t="b">
            <v>0</v>
          </cell>
          <cell r="Q578" t="b">
            <v>0</v>
          </cell>
          <cell r="W578" t="e">
            <v>#REF!</v>
          </cell>
        </row>
        <row r="579">
          <cell r="H579" t="b">
            <v>0</v>
          </cell>
          <cell r="I579" t="b">
            <v>0</v>
          </cell>
          <cell r="J579" t="b">
            <v>0</v>
          </cell>
          <cell r="K579" t="b">
            <v>0</v>
          </cell>
          <cell r="L579" t="b">
            <v>0</v>
          </cell>
          <cell r="M579" t="b">
            <v>0</v>
          </cell>
          <cell r="N579" t="b">
            <v>0</v>
          </cell>
          <cell r="O579" t="b">
            <v>0</v>
          </cell>
          <cell r="P579" t="b">
            <v>0</v>
          </cell>
          <cell r="Q579" t="b">
            <v>0</v>
          </cell>
          <cell r="W579" t="e">
            <v>#REF!</v>
          </cell>
        </row>
        <row r="580">
          <cell r="H580" t="b">
            <v>0</v>
          </cell>
          <cell r="I580" t="b">
            <v>0</v>
          </cell>
          <cell r="J580" t="b">
            <v>0</v>
          </cell>
          <cell r="K580" t="b">
            <v>0</v>
          </cell>
          <cell r="L580" t="b">
            <v>0</v>
          </cell>
          <cell r="M580" t="b">
            <v>0</v>
          </cell>
          <cell r="N580" t="b">
            <v>0</v>
          </cell>
          <cell r="O580" t="b">
            <v>0</v>
          </cell>
          <cell r="P580" t="b">
            <v>0</v>
          </cell>
          <cell r="Q580" t="b">
            <v>0</v>
          </cell>
          <cell r="W580" t="e">
            <v>#REF!</v>
          </cell>
        </row>
        <row r="581">
          <cell r="H581" t="b">
            <v>0</v>
          </cell>
          <cell r="I581" t="b">
            <v>0</v>
          </cell>
          <cell r="J581" t="b">
            <v>0</v>
          </cell>
          <cell r="K581" t="b">
            <v>0</v>
          </cell>
          <cell r="L581" t="b">
            <v>0</v>
          </cell>
          <cell r="M581" t="b">
            <v>0</v>
          </cell>
          <cell r="N581" t="b">
            <v>0</v>
          </cell>
          <cell r="O581" t="b">
            <v>0</v>
          </cell>
          <cell r="P581" t="b">
            <v>0</v>
          </cell>
          <cell r="Q581" t="b">
            <v>0</v>
          </cell>
          <cell r="W581" t="e">
            <v>#REF!</v>
          </cell>
        </row>
        <row r="582">
          <cell r="H582" t="b">
            <v>0</v>
          </cell>
          <cell r="I582" t="b">
            <v>0</v>
          </cell>
          <cell r="J582" t="b">
            <v>0</v>
          </cell>
          <cell r="K582" t="b">
            <v>0</v>
          </cell>
          <cell r="L582" t="b">
            <v>0</v>
          </cell>
          <cell r="M582" t="b">
            <v>0</v>
          </cell>
          <cell r="N582" t="b">
            <v>0</v>
          </cell>
          <cell r="O582" t="b">
            <v>0</v>
          </cell>
          <cell r="P582" t="b">
            <v>0</v>
          </cell>
          <cell r="Q582" t="b">
            <v>0</v>
          </cell>
          <cell r="W582" t="e">
            <v>#REF!</v>
          </cell>
        </row>
        <row r="583">
          <cell r="H583" t="b">
            <v>0</v>
          </cell>
          <cell r="I583" t="b">
            <v>0</v>
          </cell>
          <cell r="J583" t="b">
            <v>0</v>
          </cell>
          <cell r="K583" t="b">
            <v>0</v>
          </cell>
          <cell r="L583" t="b">
            <v>0</v>
          </cell>
          <cell r="M583" t="b">
            <v>0</v>
          </cell>
          <cell r="N583" t="b">
            <v>0</v>
          </cell>
          <cell r="O583" t="b">
            <v>0</v>
          </cell>
          <cell r="P583" t="b">
            <v>0</v>
          </cell>
          <cell r="Q583" t="b">
            <v>0</v>
          </cell>
          <cell r="W583" t="e">
            <v>#REF!</v>
          </cell>
        </row>
        <row r="584">
          <cell r="H584" t="b">
            <v>0</v>
          </cell>
          <cell r="I584" t="b">
            <v>0</v>
          </cell>
          <cell r="J584" t="b">
            <v>0</v>
          </cell>
          <cell r="K584" t="b">
            <v>0</v>
          </cell>
          <cell r="L584" t="b">
            <v>0</v>
          </cell>
          <cell r="M584" t="b">
            <v>0</v>
          </cell>
          <cell r="N584" t="b">
            <v>0</v>
          </cell>
          <cell r="O584" t="b">
            <v>0</v>
          </cell>
          <cell r="P584" t="b">
            <v>0</v>
          </cell>
          <cell r="Q584" t="b">
            <v>0</v>
          </cell>
          <cell r="W584" t="e">
            <v>#REF!</v>
          </cell>
        </row>
        <row r="585">
          <cell r="H585" t="b">
            <v>0</v>
          </cell>
          <cell r="I585" t="b">
            <v>0</v>
          </cell>
          <cell r="J585" t="b">
            <v>0</v>
          </cell>
          <cell r="K585" t="b">
            <v>0</v>
          </cell>
          <cell r="L585" t="b">
            <v>0</v>
          </cell>
          <cell r="M585" t="b">
            <v>0</v>
          </cell>
          <cell r="N585" t="b">
            <v>0</v>
          </cell>
          <cell r="O585" t="b">
            <v>0</v>
          </cell>
          <cell r="P585" t="b">
            <v>0</v>
          </cell>
          <cell r="Q585" t="b">
            <v>0</v>
          </cell>
          <cell r="W585" t="e">
            <v>#REF!</v>
          </cell>
        </row>
        <row r="586">
          <cell r="H586" t="b">
            <v>0</v>
          </cell>
          <cell r="I586" t="b">
            <v>0</v>
          </cell>
          <cell r="J586" t="b">
            <v>0</v>
          </cell>
          <cell r="K586" t="b">
            <v>0</v>
          </cell>
          <cell r="L586" t="b">
            <v>0</v>
          </cell>
          <cell r="M586" t="b">
            <v>0</v>
          </cell>
          <cell r="N586" t="b">
            <v>0</v>
          </cell>
          <cell r="O586" t="b">
            <v>0</v>
          </cell>
          <cell r="P586" t="b">
            <v>0</v>
          </cell>
          <cell r="Q586" t="b">
            <v>0</v>
          </cell>
          <cell r="W586" t="e">
            <v>#REF!</v>
          </cell>
        </row>
        <row r="587">
          <cell r="H587" t="b">
            <v>0</v>
          </cell>
          <cell r="I587" t="b">
            <v>0</v>
          </cell>
          <cell r="J587" t="b">
            <v>0</v>
          </cell>
          <cell r="K587" t="b">
            <v>0</v>
          </cell>
          <cell r="L587" t="b">
            <v>0</v>
          </cell>
          <cell r="M587" t="b">
            <v>0</v>
          </cell>
          <cell r="N587" t="b">
            <v>0</v>
          </cell>
          <cell r="O587" t="b">
            <v>0</v>
          </cell>
          <cell r="P587" t="b">
            <v>0</v>
          </cell>
          <cell r="Q587" t="b">
            <v>0</v>
          </cell>
          <cell r="W587" t="e">
            <v>#REF!</v>
          </cell>
        </row>
        <row r="588">
          <cell r="H588" t="b">
            <v>0</v>
          </cell>
          <cell r="I588" t="b">
            <v>0</v>
          </cell>
          <cell r="J588" t="b">
            <v>0</v>
          </cell>
          <cell r="K588" t="b">
            <v>0</v>
          </cell>
          <cell r="L588" t="b">
            <v>0</v>
          </cell>
          <cell r="M588" t="b">
            <v>0</v>
          </cell>
          <cell r="N588" t="b">
            <v>0</v>
          </cell>
          <cell r="O588" t="b">
            <v>0</v>
          </cell>
          <cell r="P588" t="b">
            <v>0</v>
          </cell>
          <cell r="Q588" t="b">
            <v>0</v>
          </cell>
          <cell r="W588" t="e">
            <v>#REF!</v>
          </cell>
        </row>
        <row r="589">
          <cell r="H589" t="b">
            <v>0</v>
          </cell>
          <cell r="I589" t="b">
            <v>0</v>
          </cell>
          <cell r="J589" t="b">
            <v>0</v>
          </cell>
          <cell r="K589" t="b">
            <v>0</v>
          </cell>
          <cell r="L589" t="b">
            <v>0</v>
          </cell>
          <cell r="M589" t="b">
            <v>0</v>
          </cell>
          <cell r="N589" t="b">
            <v>0</v>
          </cell>
          <cell r="O589" t="b">
            <v>0</v>
          </cell>
          <cell r="P589" t="b">
            <v>0</v>
          </cell>
          <cell r="Q589" t="b">
            <v>0</v>
          </cell>
          <cell r="W589" t="e">
            <v>#REF!</v>
          </cell>
        </row>
        <row r="590">
          <cell r="H590" t="b">
            <v>0</v>
          </cell>
          <cell r="I590" t="b">
            <v>0</v>
          </cell>
          <cell r="J590" t="b">
            <v>0</v>
          </cell>
          <cell r="K590" t="b">
            <v>0</v>
          </cell>
          <cell r="L590" t="b">
            <v>0</v>
          </cell>
          <cell r="M590" t="b">
            <v>0</v>
          </cell>
          <cell r="N590" t="b">
            <v>0</v>
          </cell>
          <cell r="O590" t="b">
            <v>0</v>
          </cell>
          <cell r="P590" t="b">
            <v>0</v>
          </cell>
          <cell r="Q590" t="b">
            <v>0</v>
          </cell>
          <cell r="W590" t="e">
            <v>#REF!</v>
          </cell>
        </row>
        <row r="591">
          <cell r="H591" t="b">
            <v>0</v>
          </cell>
          <cell r="I591" t="b">
            <v>0</v>
          </cell>
          <cell r="J591" t="b">
            <v>0</v>
          </cell>
          <cell r="K591" t="b">
            <v>0</v>
          </cell>
          <cell r="L591" t="b">
            <v>0</v>
          </cell>
          <cell r="M591" t="b">
            <v>0</v>
          </cell>
          <cell r="N591" t="b">
            <v>0</v>
          </cell>
          <cell r="O591" t="b">
            <v>0</v>
          </cell>
          <cell r="P591" t="b">
            <v>0</v>
          </cell>
          <cell r="Q591" t="b">
            <v>0</v>
          </cell>
          <cell r="W591" t="e">
            <v>#REF!</v>
          </cell>
        </row>
        <row r="592">
          <cell r="H592" t="b">
            <v>0</v>
          </cell>
          <cell r="I592" t="b">
            <v>0</v>
          </cell>
          <cell r="J592" t="b">
            <v>0</v>
          </cell>
          <cell r="K592" t="b">
            <v>0</v>
          </cell>
          <cell r="L592" t="b">
            <v>0</v>
          </cell>
          <cell r="M592" t="b">
            <v>0</v>
          </cell>
          <cell r="N592" t="b">
            <v>0</v>
          </cell>
          <cell r="O592" t="b">
            <v>0</v>
          </cell>
          <cell r="P592" t="b">
            <v>0</v>
          </cell>
          <cell r="Q592" t="b">
            <v>0</v>
          </cell>
          <cell r="W592" t="e">
            <v>#REF!</v>
          </cell>
        </row>
        <row r="593">
          <cell r="H593" t="b">
            <v>0</v>
          </cell>
          <cell r="I593" t="b">
            <v>0</v>
          </cell>
          <cell r="J593" t="b">
            <v>0</v>
          </cell>
          <cell r="K593" t="b">
            <v>0</v>
          </cell>
          <cell r="L593" t="b">
            <v>0</v>
          </cell>
          <cell r="M593" t="b">
            <v>0</v>
          </cell>
          <cell r="N593" t="b">
            <v>0</v>
          </cell>
          <cell r="O593" t="b">
            <v>0</v>
          </cell>
          <cell r="P593" t="b">
            <v>0</v>
          </cell>
          <cell r="Q593" t="b">
            <v>0</v>
          </cell>
          <cell r="W593" t="e">
            <v>#REF!</v>
          </cell>
        </row>
        <row r="594">
          <cell r="H594" t="b">
            <v>0</v>
          </cell>
          <cell r="I594" t="b">
            <v>0</v>
          </cell>
          <cell r="J594" t="b">
            <v>0</v>
          </cell>
          <cell r="K594" t="b">
            <v>0</v>
          </cell>
          <cell r="L594" t="b">
            <v>0</v>
          </cell>
          <cell r="M594" t="b">
            <v>0</v>
          </cell>
          <cell r="N594" t="b">
            <v>0</v>
          </cell>
          <cell r="O594" t="b">
            <v>0</v>
          </cell>
          <cell r="P594" t="b">
            <v>0</v>
          </cell>
          <cell r="Q594" t="b">
            <v>0</v>
          </cell>
          <cell r="W594" t="e">
            <v>#REF!</v>
          </cell>
        </row>
        <row r="595">
          <cell r="H595" t="b">
            <v>0</v>
          </cell>
          <cell r="I595" t="b">
            <v>0</v>
          </cell>
          <cell r="J595" t="b">
            <v>0</v>
          </cell>
          <cell r="K595" t="b">
            <v>0</v>
          </cell>
          <cell r="L595" t="b">
            <v>0</v>
          </cell>
          <cell r="M595" t="b">
            <v>0</v>
          </cell>
          <cell r="N595" t="b">
            <v>0</v>
          </cell>
          <cell r="O595" t="b">
            <v>0</v>
          </cell>
          <cell r="P595" t="b">
            <v>0</v>
          </cell>
          <cell r="Q595" t="b">
            <v>0</v>
          </cell>
          <cell r="W595" t="e">
            <v>#REF!</v>
          </cell>
        </row>
        <row r="596">
          <cell r="H596" t="b">
            <v>0</v>
          </cell>
          <cell r="I596" t="b">
            <v>0</v>
          </cell>
          <cell r="J596" t="b">
            <v>0</v>
          </cell>
          <cell r="K596" t="b">
            <v>0</v>
          </cell>
          <cell r="L596" t="b">
            <v>0</v>
          </cell>
          <cell r="M596" t="b">
            <v>0</v>
          </cell>
          <cell r="N596" t="b">
            <v>0</v>
          </cell>
          <cell r="O596" t="b">
            <v>0</v>
          </cell>
          <cell r="P596" t="b">
            <v>0</v>
          </cell>
          <cell r="Q596" t="b">
            <v>0</v>
          </cell>
          <cell r="W596" t="e">
            <v>#REF!</v>
          </cell>
        </row>
        <row r="597">
          <cell r="H597" t="b">
            <v>0</v>
          </cell>
          <cell r="I597" t="b">
            <v>0</v>
          </cell>
          <cell r="J597" t="b">
            <v>0</v>
          </cell>
          <cell r="K597" t="b">
            <v>0</v>
          </cell>
          <cell r="L597" t="b">
            <v>0</v>
          </cell>
          <cell r="M597" t="b">
            <v>0</v>
          </cell>
          <cell r="N597" t="b">
            <v>0</v>
          </cell>
          <cell r="O597" t="b">
            <v>0</v>
          </cell>
          <cell r="P597" t="b">
            <v>0</v>
          </cell>
          <cell r="Q597" t="b">
            <v>0</v>
          </cell>
          <cell r="W597" t="e">
            <v>#REF!</v>
          </cell>
        </row>
        <row r="598">
          <cell r="H598" t="b">
            <v>0</v>
          </cell>
          <cell r="I598" t="b">
            <v>0</v>
          </cell>
          <cell r="J598" t="b">
            <v>0</v>
          </cell>
          <cell r="K598" t="b">
            <v>0</v>
          </cell>
          <cell r="L598" t="b">
            <v>0</v>
          </cell>
          <cell r="M598" t="b">
            <v>0</v>
          </cell>
          <cell r="N598" t="b">
            <v>0</v>
          </cell>
          <cell r="O598" t="b">
            <v>0</v>
          </cell>
          <cell r="P598" t="b">
            <v>0</v>
          </cell>
          <cell r="Q598" t="b">
            <v>0</v>
          </cell>
          <cell r="W598" t="e">
            <v>#REF!</v>
          </cell>
        </row>
        <row r="599">
          <cell r="H599" t="b">
            <v>0</v>
          </cell>
          <cell r="I599" t="b">
            <v>0</v>
          </cell>
          <cell r="J599" t="b">
            <v>0</v>
          </cell>
          <cell r="K599" t="b">
            <v>0</v>
          </cell>
          <cell r="L599" t="b">
            <v>0</v>
          </cell>
          <cell r="M599" t="b">
            <v>0</v>
          </cell>
          <cell r="N599" t="b">
            <v>0</v>
          </cell>
          <cell r="O599" t="b">
            <v>0</v>
          </cell>
          <cell r="P599" t="b">
            <v>0</v>
          </cell>
          <cell r="Q599" t="b">
            <v>0</v>
          </cell>
          <cell r="W599" t="e">
            <v>#REF!</v>
          </cell>
        </row>
        <row r="600">
          <cell r="H600" t="b">
            <v>0</v>
          </cell>
          <cell r="I600" t="b">
            <v>0</v>
          </cell>
          <cell r="J600" t="b">
            <v>0</v>
          </cell>
          <cell r="K600" t="b">
            <v>0</v>
          </cell>
          <cell r="L600" t="b">
            <v>0</v>
          </cell>
          <cell r="M600" t="b">
            <v>0</v>
          </cell>
          <cell r="N600" t="b">
            <v>0</v>
          </cell>
          <cell r="O600" t="b">
            <v>0</v>
          </cell>
          <cell r="P600" t="b">
            <v>0</v>
          </cell>
          <cell r="Q600" t="b">
            <v>0</v>
          </cell>
          <cell r="W600" t="e">
            <v>#REF!</v>
          </cell>
        </row>
        <row r="601">
          <cell r="H601" t="b">
            <v>0</v>
          </cell>
          <cell r="I601" t="b">
            <v>0</v>
          </cell>
          <cell r="J601" t="b">
            <v>0</v>
          </cell>
          <cell r="K601" t="b">
            <v>0</v>
          </cell>
          <cell r="L601" t="b">
            <v>0</v>
          </cell>
          <cell r="M601" t="b">
            <v>0</v>
          </cell>
          <cell r="N601" t="b">
            <v>0</v>
          </cell>
          <cell r="O601" t="b">
            <v>0</v>
          </cell>
          <cell r="P601" t="b">
            <v>0</v>
          </cell>
          <cell r="Q601" t="b">
            <v>0</v>
          </cell>
          <cell r="W601" t="e">
            <v>#REF!</v>
          </cell>
        </row>
        <row r="602">
          <cell r="H602" t="b">
            <v>0</v>
          </cell>
          <cell r="I602" t="b">
            <v>0</v>
          </cell>
          <cell r="J602" t="b">
            <v>0</v>
          </cell>
          <cell r="K602" t="b">
            <v>0</v>
          </cell>
          <cell r="L602" t="b">
            <v>0</v>
          </cell>
          <cell r="M602" t="b">
            <v>0</v>
          </cell>
          <cell r="N602" t="b">
            <v>0</v>
          </cell>
          <cell r="O602" t="b">
            <v>0</v>
          </cell>
          <cell r="P602" t="b">
            <v>0</v>
          </cell>
          <cell r="Q602" t="b">
            <v>0</v>
          </cell>
          <cell r="W602" t="e">
            <v>#REF!</v>
          </cell>
        </row>
        <row r="603">
          <cell r="H603" t="b">
            <v>0</v>
          </cell>
          <cell r="I603" t="b">
            <v>0</v>
          </cell>
          <cell r="J603" t="b">
            <v>0</v>
          </cell>
          <cell r="K603" t="b">
            <v>0</v>
          </cell>
          <cell r="L603" t="b">
            <v>0</v>
          </cell>
          <cell r="M603" t="b">
            <v>0</v>
          </cell>
          <cell r="N603" t="b">
            <v>0</v>
          </cell>
          <cell r="O603" t="b">
            <v>0</v>
          </cell>
          <cell r="P603" t="b">
            <v>0</v>
          </cell>
          <cell r="Q603" t="b">
            <v>0</v>
          </cell>
          <cell r="W603" t="e">
            <v>#REF!</v>
          </cell>
        </row>
        <row r="604">
          <cell r="H604" t="b">
            <v>0</v>
          </cell>
          <cell r="I604" t="b">
            <v>0</v>
          </cell>
          <cell r="J604" t="b">
            <v>0</v>
          </cell>
          <cell r="K604" t="b">
            <v>0</v>
          </cell>
          <cell r="L604" t="b">
            <v>0</v>
          </cell>
          <cell r="M604" t="b">
            <v>0</v>
          </cell>
          <cell r="N604" t="b">
            <v>0</v>
          </cell>
          <cell r="O604" t="b">
            <v>0</v>
          </cell>
          <cell r="P604" t="b">
            <v>0</v>
          </cell>
          <cell r="Q604" t="b">
            <v>0</v>
          </cell>
          <cell r="W604" t="e">
            <v>#REF!</v>
          </cell>
        </row>
        <row r="605">
          <cell r="H605" t="b">
            <v>0</v>
          </cell>
          <cell r="I605" t="b">
            <v>0</v>
          </cell>
          <cell r="J605" t="b">
            <v>0</v>
          </cell>
          <cell r="K605" t="b">
            <v>0</v>
          </cell>
          <cell r="L605" t="b">
            <v>0</v>
          </cell>
          <cell r="M605" t="b">
            <v>0</v>
          </cell>
          <cell r="N605" t="b">
            <v>0</v>
          </cell>
          <cell r="O605" t="b">
            <v>0</v>
          </cell>
          <cell r="P605" t="b">
            <v>0</v>
          </cell>
          <cell r="Q605" t="b">
            <v>0</v>
          </cell>
          <cell r="W605" t="e">
            <v>#REF!</v>
          </cell>
        </row>
        <row r="606">
          <cell r="H606" t="b">
            <v>0</v>
          </cell>
          <cell r="I606" t="b">
            <v>0</v>
          </cell>
          <cell r="J606" t="b">
            <v>0</v>
          </cell>
          <cell r="K606" t="b">
            <v>0</v>
          </cell>
          <cell r="L606" t="b">
            <v>0</v>
          </cell>
          <cell r="M606" t="b">
            <v>0</v>
          </cell>
          <cell r="N606" t="b">
            <v>0</v>
          </cell>
          <cell r="O606" t="b">
            <v>0</v>
          </cell>
          <cell r="P606" t="b">
            <v>0</v>
          </cell>
          <cell r="Q606" t="b">
            <v>0</v>
          </cell>
          <cell r="W606" t="e">
            <v>#REF!</v>
          </cell>
        </row>
        <row r="607">
          <cell r="H607" t="b">
            <v>0</v>
          </cell>
          <cell r="I607" t="b">
            <v>0</v>
          </cell>
          <cell r="J607" t="b">
            <v>0</v>
          </cell>
          <cell r="K607" t="b">
            <v>0</v>
          </cell>
          <cell r="L607" t="b">
            <v>0</v>
          </cell>
          <cell r="M607" t="b">
            <v>0</v>
          </cell>
          <cell r="N607" t="b">
            <v>0</v>
          </cell>
          <cell r="O607" t="b">
            <v>0</v>
          </cell>
          <cell r="P607" t="b">
            <v>0</v>
          </cell>
          <cell r="Q607" t="b">
            <v>0</v>
          </cell>
          <cell r="W607" t="e">
            <v>#REF!</v>
          </cell>
        </row>
        <row r="608">
          <cell r="H608" t="b">
            <v>0</v>
          </cell>
          <cell r="I608" t="b">
            <v>0</v>
          </cell>
          <cell r="J608" t="b">
            <v>0</v>
          </cell>
          <cell r="K608" t="b">
            <v>0</v>
          </cell>
          <cell r="L608" t="b">
            <v>0</v>
          </cell>
          <cell r="M608" t="b">
            <v>0</v>
          </cell>
          <cell r="N608" t="b">
            <v>0</v>
          </cell>
          <cell r="O608" t="b">
            <v>0</v>
          </cell>
          <cell r="P608" t="b">
            <v>0</v>
          </cell>
          <cell r="Q608" t="b">
            <v>0</v>
          </cell>
          <cell r="W608" t="e">
            <v>#REF!</v>
          </cell>
        </row>
        <row r="609">
          <cell r="H609" t="b">
            <v>0</v>
          </cell>
          <cell r="I609" t="b">
            <v>0</v>
          </cell>
          <cell r="J609" t="b">
            <v>0</v>
          </cell>
          <cell r="K609" t="b">
            <v>0</v>
          </cell>
          <cell r="L609" t="b">
            <v>0</v>
          </cell>
          <cell r="M609" t="b">
            <v>0</v>
          </cell>
          <cell r="N609" t="b">
            <v>0</v>
          </cell>
          <cell r="O609" t="b">
            <v>0</v>
          </cell>
          <cell r="P609" t="b">
            <v>0</v>
          </cell>
          <cell r="Q609" t="b">
            <v>0</v>
          </cell>
          <cell r="W609" t="e">
            <v>#REF!</v>
          </cell>
        </row>
        <row r="610">
          <cell r="H610" t="b">
            <v>0</v>
          </cell>
          <cell r="I610" t="b">
            <v>0</v>
          </cell>
          <cell r="J610" t="b">
            <v>0</v>
          </cell>
          <cell r="K610" t="b">
            <v>0</v>
          </cell>
          <cell r="L610" t="b">
            <v>0</v>
          </cell>
          <cell r="M610" t="b">
            <v>0</v>
          </cell>
          <cell r="N610" t="b">
            <v>0</v>
          </cell>
          <cell r="O610" t="b">
            <v>0</v>
          </cell>
          <cell r="P610" t="b">
            <v>0</v>
          </cell>
          <cell r="Q610" t="b">
            <v>0</v>
          </cell>
          <cell r="W610" t="e">
            <v>#REF!</v>
          </cell>
        </row>
        <row r="611">
          <cell r="H611" t="b">
            <v>0</v>
          </cell>
          <cell r="I611" t="b">
            <v>0</v>
          </cell>
          <cell r="J611" t="b">
            <v>0</v>
          </cell>
          <cell r="K611" t="b">
            <v>0</v>
          </cell>
          <cell r="L611" t="b">
            <v>0</v>
          </cell>
          <cell r="M611" t="b">
            <v>0</v>
          </cell>
          <cell r="N611" t="b">
            <v>0</v>
          </cell>
          <cell r="O611" t="b">
            <v>0</v>
          </cell>
          <cell r="P611" t="b">
            <v>0</v>
          </cell>
          <cell r="Q611" t="b">
            <v>0</v>
          </cell>
          <cell r="W611" t="e">
            <v>#REF!</v>
          </cell>
        </row>
        <row r="612">
          <cell r="H612" t="b">
            <v>0</v>
          </cell>
          <cell r="I612" t="b">
            <v>0</v>
          </cell>
          <cell r="J612" t="b">
            <v>0</v>
          </cell>
          <cell r="K612" t="b">
            <v>0</v>
          </cell>
          <cell r="L612" t="b">
            <v>0</v>
          </cell>
          <cell r="M612" t="b">
            <v>0</v>
          </cell>
          <cell r="N612" t="b">
            <v>0</v>
          </cell>
          <cell r="O612" t="b">
            <v>0</v>
          </cell>
          <cell r="P612" t="b">
            <v>0</v>
          </cell>
          <cell r="Q612" t="b">
            <v>0</v>
          </cell>
          <cell r="W612" t="e">
            <v>#REF!</v>
          </cell>
        </row>
        <row r="613">
          <cell r="H613" t="b">
            <v>0</v>
          </cell>
          <cell r="I613" t="b">
            <v>0</v>
          </cell>
          <cell r="J613" t="b">
            <v>0</v>
          </cell>
          <cell r="K613" t="b">
            <v>0</v>
          </cell>
          <cell r="L613" t="b">
            <v>0</v>
          </cell>
          <cell r="M613" t="b">
            <v>0</v>
          </cell>
          <cell r="N613" t="b">
            <v>0</v>
          </cell>
          <cell r="O613" t="b">
            <v>0</v>
          </cell>
          <cell r="P613" t="b">
            <v>0</v>
          </cell>
          <cell r="Q613" t="b">
            <v>0</v>
          </cell>
          <cell r="W613" t="e">
            <v>#REF!</v>
          </cell>
        </row>
        <row r="614">
          <cell r="H614" t="b">
            <v>0</v>
          </cell>
          <cell r="I614" t="b">
            <v>0</v>
          </cell>
          <cell r="J614" t="b">
            <v>0</v>
          </cell>
          <cell r="K614" t="b">
            <v>0</v>
          </cell>
          <cell r="L614" t="b">
            <v>0</v>
          </cell>
          <cell r="M614" t="b">
            <v>0</v>
          </cell>
          <cell r="N614" t="b">
            <v>0</v>
          </cell>
          <cell r="O614" t="b">
            <v>0</v>
          </cell>
          <cell r="P614" t="b">
            <v>0</v>
          </cell>
          <cell r="Q614" t="b">
            <v>0</v>
          </cell>
          <cell r="W614" t="e">
            <v>#REF!</v>
          </cell>
        </row>
        <row r="615">
          <cell r="H615" t="b">
            <v>0</v>
          </cell>
          <cell r="I615" t="b">
            <v>0</v>
          </cell>
          <cell r="J615" t="b">
            <v>0</v>
          </cell>
          <cell r="K615" t="b">
            <v>0</v>
          </cell>
          <cell r="L615" t="b">
            <v>0</v>
          </cell>
          <cell r="M615" t="b">
            <v>0</v>
          </cell>
          <cell r="N615" t="b">
            <v>0</v>
          </cell>
          <cell r="O615" t="b">
            <v>0</v>
          </cell>
          <cell r="P615" t="b">
            <v>0</v>
          </cell>
          <cell r="Q615" t="b">
            <v>0</v>
          </cell>
          <cell r="W615" t="e">
            <v>#REF!</v>
          </cell>
        </row>
        <row r="616">
          <cell r="H616" t="b">
            <v>0</v>
          </cell>
          <cell r="I616" t="b">
            <v>0</v>
          </cell>
          <cell r="J616" t="b">
            <v>0</v>
          </cell>
          <cell r="K616" t="b">
            <v>0</v>
          </cell>
          <cell r="L616" t="b">
            <v>0</v>
          </cell>
          <cell r="M616" t="b">
            <v>0</v>
          </cell>
          <cell r="N616" t="b">
            <v>0</v>
          </cell>
          <cell r="O616" t="b">
            <v>0</v>
          </cell>
          <cell r="P616" t="b">
            <v>0</v>
          </cell>
          <cell r="Q616" t="b">
            <v>0</v>
          </cell>
          <cell r="W616" t="e">
            <v>#REF!</v>
          </cell>
        </row>
        <row r="617">
          <cell r="H617" t="b">
            <v>0</v>
          </cell>
          <cell r="I617" t="b">
            <v>0</v>
          </cell>
          <cell r="J617" t="b">
            <v>0</v>
          </cell>
          <cell r="K617" t="b">
            <v>0</v>
          </cell>
          <cell r="L617" t="b">
            <v>0</v>
          </cell>
          <cell r="M617" t="b">
            <v>0</v>
          </cell>
          <cell r="N617" t="b">
            <v>0</v>
          </cell>
          <cell r="O617" t="b">
            <v>0</v>
          </cell>
          <cell r="P617" t="b">
            <v>0</v>
          </cell>
          <cell r="Q617" t="b">
            <v>0</v>
          </cell>
          <cell r="W617" t="e">
            <v>#REF!</v>
          </cell>
        </row>
        <row r="618">
          <cell r="H618" t="b">
            <v>0</v>
          </cell>
          <cell r="I618" t="b">
            <v>0</v>
          </cell>
          <cell r="J618" t="b">
            <v>0</v>
          </cell>
          <cell r="K618" t="b">
            <v>0</v>
          </cell>
          <cell r="L618" t="b">
            <v>0</v>
          </cell>
          <cell r="M618" t="b">
            <v>0</v>
          </cell>
          <cell r="N618" t="b">
            <v>0</v>
          </cell>
          <cell r="O618" t="b">
            <v>0</v>
          </cell>
          <cell r="P618" t="b">
            <v>0</v>
          </cell>
          <cell r="Q618" t="b">
            <v>0</v>
          </cell>
          <cell r="W618" t="e">
            <v>#REF!</v>
          </cell>
        </row>
        <row r="619">
          <cell r="H619" t="b">
            <v>0</v>
          </cell>
          <cell r="I619" t="b">
            <v>0</v>
          </cell>
          <cell r="J619" t="b">
            <v>0</v>
          </cell>
          <cell r="K619" t="b">
            <v>0</v>
          </cell>
          <cell r="L619" t="b">
            <v>0</v>
          </cell>
          <cell r="M619" t="b">
            <v>0</v>
          </cell>
          <cell r="N619" t="b">
            <v>0</v>
          </cell>
          <cell r="O619" t="b">
            <v>0</v>
          </cell>
          <cell r="P619" t="b">
            <v>0</v>
          </cell>
          <cell r="Q619" t="b">
            <v>0</v>
          </cell>
          <cell r="W619" t="e">
            <v>#REF!</v>
          </cell>
        </row>
        <row r="620">
          <cell r="H620" t="b">
            <v>0</v>
          </cell>
          <cell r="I620" t="b">
            <v>0</v>
          </cell>
          <cell r="J620" t="b">
            <v>0</v>
          </cell>
          <cell r="K620" t="b">
            <v>0</v>
          </cell>
          <cell r="L620" t="b">
            <v>0</v>
          </cell>
          <cell r="M620" t="b">
            <v>0</v>
          </cell>
          <cell r="N620" t="b">
            <v>0</v>
          </cell>
          <cell r="O620" t="b">
            <v>0</v>
          </cell>
          <cell r="P620" t="b">
            <v>0</v>
          </cell>
          <cell r="Q620" t="b">
            <v>0</v>
          </cell>
          <cell r="W620" t="e">
            <v>#REF!</v>
          </cell>
        </row>
        <row r="621">
          <cell r="H621" t="b">
            <v>0</v>
          </cell>
          <cell r="I621" t="b">
            <v>0</v>
          </cell>
          <cell r="J621" t="b">
            <v>0</v>
          </cell>
          <cell r="K621" t="b">
            <v>0</v>
          </cell>
          <cell r="L621" t="b">
            <v>0</v>
          </cell>
          <cell r="M621" t="b">
            <v>0</v>
          </cell>
          <cell r="N621" t="b">
            <v>0</v>
          </cell>
          <cell r="O621" t="b">
            <v>0</v>
          </cell>
          <cell r="P621" t="b">
            <v>0</v>
          </cell>
          <cell r="Q621" t="b">
            <v>0</v>
          </cell>
          <cell r="W621" t="e">
            <v>#REF!</v>
          </cell>
        </row>
        <row r="622">
          <cell r="H622" t="b">
            <v>0</v>
          </cell>
          <cell r="I622" t="b">
            <v>0</v>
          </cell>
          <cell r="J622" t="b">
            <v>0</v>
          </cell>
          <cell r="K622" t="b">
            <v>0</v>
          </cell>
          <cell r="L622" t="b">
            <v>0</v>
          </cell>
          <cell r="M622" t="b">
            <v>0</v>
          </cell>
          <cell r="N622" t="b">
            <v>0</v>
          </cell>
          <cell r="O622" t="b">
            <v>0</v>
          </cell>
          <cell r="P622" t="b">
            <v>0</v>
          </cell>
          <cell r="Q622" t="b">
            <v>0</v>
          </cell>
          <cell r="W622" t="e">
            <v>#REF!</v>
          </cell>
        </row>
        <row r="623">
          <cell r="H623" t="b">
            <v>0</v>
          </cell>
          <cell r="I623" t="b">
            <v>0</v>
          </cell>
          <cell r="J623" t="b">
            <v>0</v>
          </cell>
          <cell r="K623" t="b">
            <v>0</v>
          </cell>
          <cell r="L623" t="b">
            <v>0</v>
          </cell>
          <cell r="M623" t="b">
            <v>0</v>
          </cell>
          <cell r="N623" t="b">
            <v>0</v>
          </cell>
          <cell r="O623" t="b">
            <v>0</v>
          </cell>
          <cell r="P623" t="b">
            <v>0</v>
          </cell>
          <cell r="Q623" t="b">
            <v>0</v>
          </cell>
          <cell r="W623" t="e">
            <v>#REF!</v>
          </cell>
        </row>
        <row r="624">
          <cell r="H624" t="b">
            <v>0</v>
          </cell>
          <cell r="I624" t="b">
            <v>0</v>
          </cell>
          <cell r="J624" t="b">
            <v>0</v>
          </cell>
          <cell r="K624" t="b">
            <v>0</v>
          </cell>
          <cell r="L624" t="b">
            <v>0</v>
          </cell>
          <cell r="M624" t="b">
            <v>0</v>
          </cell>
          <cell r="N624" t="b">
            <v>0</v>
          </cell>
          <cell r="O624" t="b">
            <v>0</v>
          </cell>
          <cell r="P624" t="b">
            <v>0</v>
          </cell>
          <cell r="Q624" t="b">
            <v>0</v>
          </cell>
          <cell r="W624" t="e">
            <v>#REF!</v>
          </cell>
        </row>
        <row r="625">
          <cell r="H625" t="b">
            <v>0</v>
          </cell>
          <cell r="I625" t="b">
            <v>0</v>
          </cell>
          <cell r="J625" t="b">
            <v>0</v>
          </cell>
          <cell r="K625" t="b">
            <v>0</v>
          </cell>
          <cell r="L625" t="b">
            <v>0</v>
          </cell>
          <cell r="M625" t="b">
            <v>0</v>
          </cell>
          <cell r="N625" t="b">
            <v>0</v>
          </cell>
          <cell r="O625" t="b">
            <v>0</v>
          </cell>
          <cell r="P625" t="b">
            <v>0</v>
          </cell>
          <cell r="Q625" t="b">
            <v>0</v>
          </cell>
          <cell r="W625" t="e">
            <v>#REF!</v>
          </cell>
        </row>
        <row r="626">
          <cell r="H626" t="b">
            <v>0</v>
          </cell>
          <cell r="I626" t="b">
            <v>0</v>
          </cell>
          <cell r="J626" t="b">
            <v>0</v>
          </cell>
          <cell r="K626" t="b">
            <v>0</v>
          </cell>
          <cell r="L626" t="b">
            <v>0</v>
          </cell>
          <cell r="M626" t="b">
            <v>0</v>
          </cell>
          <cell r="N626" t="b">
            <v>0</v>
          </cell>
          <cell r="O626" t="b">
            <v>0</v>
          </cell>
          <cell r="P626" t="b">
            <v>0</v>
          </cell>
          <cell r="Q626" t="b">
            <v>0</v>
          </cell>
          <cell r="W626" t="e">
            <v>#REF!</v>
          </cell>
        </row>
        <row r="627">
          <cell r="H627" t="b">
            <v>0</v>
          </cell>
          <cell r="I627" t="b">
            <v>0</v>
          </cell>
          <cell r="J627" t="b">
            <v>0</v>
          </cell>
          <cell r="K627" t="b">
            <v>0</v>
          </cell>
          <cell r="L627" t="b">
            <v>0</v>
          </cell>
          <cell r="M627" t="b">
            <v>0</v>
          </cell>
          <cell r="N627" t="b">
            <v>0</v>
          </cell>
          <cell r="O627" t="b">
            <v>0</v>
          </cell>
          <cell r="P627" t="b">
            <v>0</v>
          </cell>
          <cell r="Q627" t="b">
            <v>0</v>
          </cell>
          <cell r="W627" t="e">
            <v>#REF!</v>
          </cell>
        </row>
        <row r="628">
          <cell r="H628" t="b">
            <v>0</v>
          </cell>
          <cell r="I628" t="b">
            <v>0</v>
          </cell>
          <cell r="J628" t="b">
            <v>0</v>
          </cell>
          <cell r="K628" t="b">
            <v>0</v>
          </cell>
          <cell r="L628" t="b">
            <v>0</v>
          </cell>
          <cell r="M628" t="b">
            <v>0</v>
          </cell>
          <cell r="N628" t="b">
            <v>0</v>
          </cell>
          <cell r="O628" t="b">
            <v>0</v>
          </cell>
          <cell r="P628" t="b">
            <v>0</v>
          </cell>
          <cell r="Q628" t="b">
            <v>0</v>
          </cell>
          <cell r="W628" t="e">
            <v>#REF!</v>
          </cell>
        </row>
        <row r="629">
          <cell r="H629" t="b">
            <v>0</v>
          </cell>
          <cell r="I629" t="b">
            <v>0</v>
          </cell>
          <cell r="J629" t="b">
            <v>0</v>
          </cell>
          <cell r="K629" t="b">
            <v>0</v>
          </cell>
          <cell r="L629" t="b">
            <v>0</v>
          </cell>
          <cell r="M629" t="b">
            <v>0</v>
          </cell>
          <cell r="N629" t="b">
            <v>0</v>
          </cell>
          <cell r="O629" t="b">
            <v>0</v>
          </cell>
          <cell r="P629" t="b">
            <v>0</v>
          </cell>
          <cell r="Q629" t="b">
            <v>0</v>
          </cell>
          <cell r="W629" t="e">
            <v>#REF!</v>
          </cell>
        </row>
        <row r="630">
          <cell r="H630" t="b">
            <v>0</v>
          </cell>
          <cell r="I630" t="b">
            <v>0</v>
          </cell>
          <cell r="J630" t="b">
            <v>0</v>
          </cell>
          <cell r="K630" t="b">
            <v>0</v>
          </cell>
          <cell r="L630" t="b">
            <v>0</v>
          </cell>
          <cell r="M630" t="b">
            <v>0</v>
          </cell>
          <cell r="N630" t="b">
            <v>0</v>
          </cell>
          <cell r="O630" t="b">
            <v>0</v>
          </cell>
          <cell r="P630" t="b">
            <v>0</v>
          </cell>
          <cell r="Q630" t="b">
            <v>0</v>
          </cell>
          <cell r="W630" t="e">
            <v>#REF!</v>
          </cell>
        </row>
        <row r="631">
          <cell r="H631" t="b">
            <v>0</v>
          </cell>
          <cell r="I631" t="b">
            <v>0</v>
          </cell>
          <cell r="J631" t="b">
            <v>0</v>
          </cell>
          <cell r="K631" t="b">
            <v>0</v>
          </cell>
          <cell r="L631" t="b">
            <v>0</v>
          </cell>
          <cell r="M631" t="b">
            <v>0</v>
          </cell>
          <cell r="N631" t="b">
            <v>0</v>
          </cell>
          <cell r="O631" t="b">
            <v>0</v>
          </cell>
          <cell r="P631" t="b">
            <v>0</v>
          </cell>
          <cell r="Q631" t="b">
            <v>0</v>
          </cell>
          <cell r="W631" t="e">
            <v>#REF!</v>
          </cell>
        </row>
        <row r="632">
          <cell r="H632" t="b">
            <v>0</v>
          </cell>
          <cell r="I632" t="b">
            <v>0</v>
          </cell>
          <cell r="J632" t="b">
            <v>0</v>
          </cell>
          <cell r="K632" t="b">
            <v>0</v>
          </cell>
          <cell r="L632" t="b">
            <v>0</v>
          </cell>
          <cell r="M632" t="b">
            <v>0</v>
          </cell>
          <cell r="N632" t="b">
            <v>0</v>
          </cell>
          <cell r="O632" t="b">
            <v>0</v>
          </cell>
          <cell r="P632" t="b">
            <v>0</v>
          </cell>
          <cell r="Q632" t="b">
            <v>0</v>
          </cell>
          <cell r="W632" t="e">
            <v>#REF!</v>
          </cell>
        </row>
        <row r="633">
          <cell r="H633" t="b">
            <v>0</v>
          </cell>
          <cell r="I633" t="b">
            <v>0</v>
          </cell>
          <cell r="J633" t="b">
            <v>0</v>
          </cell>
          <cell r="K633" t="b">
            <v>0</v>
          </cell>
          <cell r="L633" t="b">
            <v>0</v>
          </cell>
          <cell r="M633" t="b">
            <v>0</v>
          </cell>
          <cell r="N633" t="b">
            <v>0</v>
          </cell>
          <cell r="O633" t="b">
            <v>0</v>
          </cell>
          <cell r="P633" t="b">
            <v>0</v>
          </cell>
          <cell r="Q633" t="b">
            <v>0</v>
          </cell>
          <cell r="W633" t="e">
            <v>#REF!</v>
          </cell>
        </row>
        <row r="634">
          <cell r="H634" t="b">
            <v>0</v>
          </cell>
          <cell r="I634" t="b">
            <v>0</v>
          </cell>
          <cell r="J634" t="b">
            <v>0</v>
          </cell>
          <cell r="K634" t="b">
            <v>0</v>
          </cell>
          <cell r="L634" t="b">
            <v>0</v>
          </cell>
          <cell r="M634" t="b">
            <v>0</v>
          </cell>
          <cell r="N634" t="b">
            <v>0</v>
          </cell>
          <cell r="O634" t="b">
            <v>0</v>
          </cell>
          <cell r="P634" t="b">
            <v>0</v>
          </cell>
          <cell r="Q634" t="b">
            <v>0</v>
          </cell>
          <cell r="W634" t="e">
            <v>#REF!</v>
          </cell>
        </row>
        <row r="635">
          <cell r="H635" t="b">
            <v>0</v>
          </cell>
          <cell r="I635" t="b">
            <v>0</v>
          </cell>
          <cell r="J635" t="b">
            <v>0</v>
          </cell>
          <cell r="K635" t="b">
            <v>0</v>
          </cell>
          <cell r="L635" t="b">
            <v>0</v>
          </cell>
          <cell r="M635" t="b">
            <v>0</v>
          </cell>
          <cell r="N635" t="b">
            <v>0</v>
          </cell>
          <cell r="O635" t="b">
            <v>0</v>
          </cell>
          <cell r="P635" t="b">
            <v>0</v>
          </cell>
          <cell r="Q635" t="b">
            <v>0</v>
          </cell>
          <cell r="W635" t="e">
            <v>#REF!</v>
          </cell>
        </row>
        <row r="636">
          <cell r="H636" t="b">
            <v>0</v>
          </cell>
          <cell r="I636" t="b">
            <v>0</v>
          </cell>
          <cell r="J636" t="b">
            <v>0</v>
          </cell>
          <cell r="K636" t="b">
            <v>0</v>
          </cell>
          <cell r="L636" t="b">
            <v>0</v>
          </cell>
          <cell r="M636" t="b">
            <v>0</v>
          </cell>
          <cell r="N636" t="b">
            <v>0</v>
          </cell>
          <cell r="O636" t="b">
            <v>0</v>
          </cell>
          <cell r="P636" t="b">
            <v>0</v>
          </cell>
          <cell r="Q636" t="b">
            <v>0</v>
          </cell>
          <cell r="W636" t="e">
            <v>#REF!</v>
          </cell>
        </row>
        <row r="637">
          <cell r="H637" t="b">
            <v>0</v>
          </cell>
          <cell r="I637" t="b">
            <v>0</v>
          </cell>
          <cell r="J637" t="b">
            <v>0</v>
          </cell>
          <cell r="K637" t="b">
            <v>0</v>
          </cell>
          <cell r="L637" t="b">
            <v>0</v>
          </cell>
          <cell r="M637" t="b">
            <v>0</v>
          </cell>
          <cell r="N637" t="b">
            <v>0</v>
          </cell>
          <cell r="O637" t="b">
            <v>0</v>
          </cell>
          <cell r="P637" t="b">
            <v>0</v>
          </cell>
          <cell r="Q637" t="b">
            <v>0</v>
          </cell>
          <cell r="W637" t="e">
            <v>#REF!</v>
          </cell>
        </row>
        <row r="638">
          <cell r="H638" t="b">
            <v>0</v>
          </cell>
          <cell r="I638" t="b">
            <v>0</v>
          </cell>
          <cell r="J638" t="b">
            <v>0</v>
          </cell>
          <cell r="K638" t="b">
            <v>0</v>
          </cell>
          <cell r="L638" t="b">
            <v>0</v>
          </cell>
          <cell r="M638" t="b">
            <v>0</v>
          </cell>
          <cell r="N638" t="b">
            <v>0</v>
          </cell>
          <cell r="O638" t="b">
            <v>0</v>
          </cell>
          <cell r="P638" t="b">
            <v>0</v>
          </cell>
          <cell r="Q638" t="b">
            <v>0</v>
          </cell>
          <cell r="W638" t="e">
            <v>#REF!</v>
          </cell>
        </row>
        <row r="639">
          <cell r="H639" t="b">
            <v>0</v>
          </cell>
          <cell r="I639" t="b">
            <v>0</v>
          </cell>
          <cell r="J639" t="b">
            <v>0</v>
          </cell>
          <cell r="K639" t="b">
            <v>0</v>
          </cell>
          <cell r="L639" t="b">
            <v>0</v>
          </cell>
          <cell r="M639" t="b">
            <v>0</v>
          </cell>
          <cell r="N639" t="b">
            <v>0</v>
          </cell>
          <cell r="O639" t="b">
            <v>0</v>
          </cell>
          <cell r="P639" t="b">
            <v>0</v>
          </cell>
          <cell r="Q639" t="b">
            <v>0</v>
          </cell>
          <cell r="W639" t="e">
            <v>#REF!</v>
          </cell>
        </row>
        <row r="640">
          <cell r="H640" t="b">
            <v>0</v>
          </cell>
          <cell r="I640" t="b">
            <v>0</v>
          </cell>
          <cell r="J640" t="b">
            <v>0</v>
          </cell>
          <cell r="K640" t="b">
            <v>0</v>
          </cell>
          <cell r="L640" t="b">
            <v>0</v>
          </cell>
          <cell r="M640" t="b">
            <v>0</v>
          </cell>
          <cell r="N640" t="b">
            <v>0</v>
          </cell>
          <cell r="O640" t="b">
            <v>0</v>
          </cell>
          <cell r="P640" t="b">
            <v>0</v>
          </cell>
          <cell r="Q640" t="b">
            <v>0</v>
          </cell>
          <cell r="W640" t="e">
            <v>#REF!</v>
          </cell>
        </row>
        <row r="641">
          <cell r="H641" t="b">
            <v>0</v>
          </cell>
          <cell r="I641" t="b">
            <v>0</v>
          </cell>
          <cell r="J641" t="b">
            <v>0</v>
          </cell>
          <cell r="K641" t="b">
            <v>0</v>
          </cell>
          <cell r="L641" t="b">
            <v>0</v>
          </cell>
          <cell r="M641" t="b">
            <v>0</v>
          </cell>
          <cell r="N641" t="b">
            <v>0</v>
          </cell>
          <cell r="O641" t="b">
            <v>0</v>
          </cell>
          <cell r="P641" t="b">
            <v>0</v>
          </cell>
          <cell r="Q641" t="b">
            <v>0</v>
          </cell>
          <cell r="W641" t="e">
            <v>#REF!</v>
          </cell>
        </row>
        <row r="642">
          <cell r="H642" t="b">
            <v>0</v>
          </cell>
          <cell r="I642" t="b">
            <v>0</v>
          </cell>
          <cell r="J642" t="b">
            <v>0</v>
          </cell>
          <cell r="K642" t="b">
            <v>0</v>
          </cell>
          <cell r="L642" t="b">
            <v>0</v>
          </cell>
          <cell r="M642" t="b">
            <v>0</v>
          </cell>
          <cell r="N642" t="b">
            <v>0</v>
          </cell>
          <cell r="O642" t="b">
            <v>0</v>
          </cell>
          <cell r="P642" t="b">
            <v>0</v>
          </cell>
          <cell r="Q642" t="b">
            <v>0</v>
          </cell>
          <cell r="W642" t="e">
            <v>#REF!</v>
          </cell>
        </row>
        <row r="643">
          <cell r="H643" t="b">
            <v>0</v>
          </cell>
          <cell r="I643" t="b">
            <v>0</v>
          </cell>
          <cell r="J643" t="b">
            <v>0</v>
          </cell>
          <cell r="K643" t="b">
            <v>0</v>
          </cell>
          <cell r="L643" t="b">
            <v>0</v>
          </cell>
          <cell r="M643" t="b">
            <v>0</v>
          </cell>
          <cell r="N643" t="b">
            <v>0</v>
          </cell>
          <cell r="O643" t="b">
            <v>0</v>
          </cell>
          <cell r="P643" t="b">
            <v>0</v>
          </cell>
          <cell r="Q643" t="b">
            <v>0</v>
          </cell>
          <cell r="W643" t="e">
            <v>#REF!</v>
          </cell>
        </row>
        <row r="644">
          <cell r="H644" t="b">
            <v>0</v>
          </cell>
          <cell r="I644" t="b">
            <v>0</v>
          </cell>
          <cell r="J644" t="b">
            <v>0</v>
          </cell>
          <cell r="K644" t="b">
            <v>0</v>
          </cell>
          <cell r="L644" t="b">
            <v>0</v>
          </cell>
          <cell r="M644" t="b">
            <v>0</v>
          </cell>
          <cell r="N644" t="b">
            <v>0</v>
          </cell>
          <cell r="O644" t="b">
            <v>0</v>
          </cell>
          <cell r="P644" t="b">
            <v>0</v>
          </cell>
          <cell r="Q644" t="b">
            <v>0</v>
          </cell>
          <cell r="W644" t="e">
            <v>#REF!</v>
          </cell>
        </row>
        <row r="645">
          <cell r="H645" t="b">
            <v>0</v>
          </cell>
          <cell r="I645" t="b">
            <v>0</v>
          </cell>
          <cell r="J645" t="b">
            <v>0</v>
          </cell>
          <cell r="K645" t="b">
            <v>0</v>
          </cell>
          <cell r="L645" t="b">
            <v>0</v>
          </cell>
          <cell r="M645" t="b">
            <v>0</v>
          </cell>
          <cell r="N645" t="b">
            <v>0</v>
          </cell>
          <cell r="O645" t="b">
            <v>0</v>
          </cell>
          <cell r="P645" t="b">
            <v>0</v>
          </cell>
          <cell r="Q645" t="b">
            <v>0</v>
          </cell>
          <cell r="W645" t="e">
            <v>#REF!</v>
          </cell>
        </row>
        <row r="646">
          <cell r="H646" t="b">
            <v>0</v>
          </cell>
          <cell r="I646" t="b">
            <v>0</v>
          </cell>
          <cell r="J646" t="b">
            <v>0</v>
          </cell>
          <cell r="K646" t="b">
            <v>0</v>
          </cell>
          <cell r="L646" t="b">
            <v>0</v>
          </cell>
          <cell r="M646" t="b">
            <v>0</v>
          </cell>
          <cell r="N646" t="b">
            <v>0</v>
          </cell>
          <cell r="O646" t="b">
            <v>0</v>
          </cell>
          <cell r="P646" t="b">
            <v>0</v>
          </cell>
          <cell r="Q646" t="b">
            <v>0</v>
          </cell>
          <cell r="W646" t="e">
            <v>#REF!</v>
          </cell>
        </row>
        <row r="647">
          <cell r="H647" t="b">
            <v>0</v>
          </cell>
          <cell r="I647" t="b">
            <v>0</v>
          </cell>
          <cell r="J647" t="b">
            <v>0</v>
          </cell>
          <cell r="K647" t="b">
            <v>0</v>
          </cell>
          <cell r="L647" t="b">
            <v>0</v>
          </cell>
          <cell r="M647" t="b">
            <v>0</v>
          </cell>
          <cell r="N647" t="b">
            <v>0</v>
          </cell>
          <cell r="O647" t="b">
            <v>0</v>
          </cell>
          <cell r="P647" t="b">
            <v>0</v>
          </cell>
          <cell r="Q647" t="b">
            <v>0</v>
          </cell>
          <cell r="W647" t="e">
            <v>#REF!</v>
          </cell>
        </row>
        <row r="648">
          <cell r="H648" t="b">
            <v>0</v>
          </cell>
          <cell r="I648" t="b">
            <v>0</v>
          </cell>
          <cell r="J648" t="b">
            <v>0</v>
          </cell>
          <cell r="K648" t="b">
            <v>0</v>
          </cell>
          <cell r="L648" t="b">
            <v>0</v>
          </cell>
          <cell r="M648" t="b">
            <v>0</v>
          </cell>
          <cell r="N648" t="b">
            <v>0</v>
          </cell>
          <cell r="O648" t="b">
            <v>0</v>
          </cell>
          <cell r="P648" t="b">
            <v>0</v>
          </cell>
          <cell r="Q648" t="b">
            <v>0</v>
          </cell>
          <cell r="W648" t="e">
            <v>#REF!</v>
          </cell>
        </row>
        <row r="649">
          <cell r="H649" t="b">
            <v>0</v>
          </cell>
          <cell r="I649" t="b">
            <v>0</v>
          </cell>
          <cell r="J649" t="b">
            <v>0</v>
          </cell>
          <cell r="K649" t="b">
            <v>0</v>
          </cell>
          <cell r="L649" t="b">
            <v>0</v>
          </cell>
          <cell r="M649" t="b">
            <v>0</v>
          </cell>
          <cell r="N649" t="b">
            <v>0</v>
          </cell>
          <cell r="O649" t="b">
            <v>0</v>
          </cell>
          <cell r="P649" t="b">
            <v>0</v>
          </cell>
          <cell r="Q649" t="b">
            <v>0</v>
          </cell>
          <cell r="W649" t="e">
            <v>#REF!</v>
          </cell>
        </row>
        <row r="650">
          <cell r="H650" t="b">
            <v>0</v>
          </cell>
          <cell r="I650" t="b">
            <v>0</v>
          </cell>
          <cell r="J650" t="b">
            <v>0</v>
          </cell>
          <cell r="K650" t="b">
            <v>0</v>
          </cell>
          <cell r="L650" t="b">
            <v>0</v>
          </cell>
          <cell r="M650" t="b">
            <v>0</v>
          </cell>
          <cell r="N650" t="b">
            <v>0</v>
          </cell>
          <cell r="O650" t="b">
            <v>0</v>
          </cell>
          <cell r="P650" t="b">
            <v>0</v>
          </cell>
          <cell r="Q650" t="b">
            <v>0</v>
          </cell>
          <cell r="W650" t="e">
            <v>#REF!</v>
          </cell>
        </row>
        <row r="651">
          <cell r="H651" t="b">
            <v>0</v>
          </cell>
          <cell r="I651" t="b">
            <v>0</v>
          </cell>
          <cell r="J651" t="b">
            <v>0</v>
          </cell>
          <cell r="K651" t="b">
            <v>0</v>
          </cell>
          <cell r="L651" t="b">
            <v>0</v>
          </cell>
          <cell r="M651" t="b">
            <v>0</v>
          </cell>
          <cell r="N651" t="b">
            <v>0</v>
          </cell>
          <cell r="O651" t="b">
            <v>0</v>
          </cell>
          <cell r="P651" t="b">
            <v>0</v>
          </cell>
          <cell r="Q651" t="b">
            <v>0</v>
          </cell>
          <cell r="W651" t="e">
            <v>#REF!</v>
          </cell>
        </row>
        <row r="652">
          <cell r="H652" t="b">
            <v>0</v>
          </cell>
          <cell r="I652" t="b">
            <v>0</v>
          </cell>
          <cell r="J652" t="b">
            <v>0</v>
          </cell>
          <cell r="K652" t="b">
            <v>0</v>
          </cell>
          <cell r="L652" t="b">
            <v>0</v>
          </cell>
          <cell r="M652" t="b">
            <v>0</v>
          </cell>
          <cell r="N652" t="b">
            <v>0</v>
          </cell>
          <cell r="O652" t="b">
            <v>0</v>
          </cell>
          <cell r="P652" t="b">
            <v>0</v>
          </cell>
          <cell r="Q652" t="b">
            <v>0</v>
          </cell>
          <cell r="W652" t="e">
            <v>#REF!</v>
          </cell>
        </row>
        <row r="653">
          <cell r="H653" t="b">
            <v>0</v>
          </cell>
          <cell r="I653" t="b">
            <v>0</v>
          </cell>
          <cell r="J653" t="b">
            <v>0</v>
          </cell>
          <cell r="K653" t="b">
            <v>0</v>
          </cell>
          <cell r="L653" t="b">
            <v>0</v>
          </cell>
          <cell r="M653" t="b">
            <v>0</v>
          </cell>
          <cell r="N653" t="b">
            <v>0</v>
          </cell>
          <cell r="O653" t="b">
            <v>0</v>
          </cell>
          <cell r="P653" t="b">
            <v>0</v>
          </cell>
          <cell r="Q653" t="b">
            <v>0</v>
          </cell>
          <cell r="W653" t="e">
            <v>#REF!</v>
          </cell>
        </row>
        <row r="654">
          <cell r="H654" t="b">
            <v>0</v>
          </cell>
          <cell r="I654" t="b">
            <v>0</v>
          </cell>
          <cell r="J654" t="b">
            <v>0</v>
          </cell>
          <cell r="K654" t="b">
            <v>0</v>
          </cell>
          <cell r="L654" t="b">
            <v>0</v>
          </cell>
          <cell r="M654" t="b">
            <v>0</v>
          </cell>
          <cell r="N654" t="b">
            <v>0</v>
          </cell>
          <cell r="O654" t="b">
            <v>0</v>
          </cell>
          <cell r="P654" t="b">
            <v>0</v>
          </cell>
          <cell r="Q654" t="b">
            <v>0</v>
          </cell>
          <cell r="W654" t="e">
            <v>#REF!</v>
          </cell>
        </row>
        <row r="655">
          <cell r="H655" t="b">
            <v>0</v>
          </cell>
          <cell r="I655" t="b">
            <v>0</v>
          </cell>
          <cell r="J655" t="b">
            <v>0</v>
          </cell>
          <cell r="K655" t="b">
            <v>0</v>
          </cell>
          <cell r="L655" t="b">
            <v>0</v>
          </cell>
          <cell r="M655" t="b">
            <v>0</v>
          </cell>
          <cell r="N655" t="b">
            <v>0</v>
          </cell>
          <cell r="O655" t="b">
            <v>0</v>
          </cell>
          <cell r="P655" t="b">
            <v>0</v>
          </cell>
          <cell r="Q655" t="b">
            <v>0</v>
          </cell>
          <cell r="W655" t="e">
            <v>#REF!</v>
          </cell>
        </row>
        <row r="656">
          <cell r="H656" t="b">
            <v>0</v>
          </cell>
          <cell r="I656" t="b">
            <v>0</v>
          </cell>
          <cell r="J656" t="b">
            <v>0</v>
          </cell>
          <cell r="K656" t="b">
            <v>0</v>
          </cell>
          <cell r="L656" t="b">
            <v>0</v>
          </cell>
          <cell r="M656" t="b">
            <v>0</v>
          </cell>
          <cell r="N656" t="b">
            <v>0</v>
          </cell>
          <cell r="O656" t="b">
            <v>0</v>
          </cell>
          <cell r="P656" t="b">
            <v>0</v>
          </cell>
          <cell r="Q656" t="b">
            <v>0</v>
          </cell>
          <cell r="W656" t="e">
            <v>#REF!</v>
          </cell>
        </row>
        <row r="657">
          <cell r="H657" t="b">
            <v>0</v>
          </cell>
          <cell r="I657" t="b">
            <v>0</v>
          </cell>
          <cell r="J657" t="b">
            <v>0</v>
          </cell>
          <cell r="K657" t="b">
            <v>0</v>
          </cell>
          <cell r="L657" t="b">
            <v>0</v>
          </cell>
          <cell r="M657" t="b">
            <v>0</v>
          </cell>
          <cell r="N657" t="b">
            <v>0</v>
          </cell>
          <cell r="O657" t="b">
            <v>0</v>
          </cell>
          <cell r="P657" t="b">
            <v>0</v>
          </cell>
          <cell r="Q657" t="b">
            <v>0</v>
          </cell>
          <cell r="W657" t="e">
            <v>#REF!</v>
          </cell>
        </row>
        <row r="658">
          <cell r="H658" t="b">
            <v>0</v>
          </cell>
          <cell r="I658" t="b">
            <v>0</v>
          </cell>
          <cell r="J658" t="b">
            <v>0</v>
          </cell>
          <cell r="K658" t="b">
            <v>0</v>
          </cell>
          <cell r="L658" t="b">
            <v>0</v>
          </cell>
          <cell r="M658" t="b">
            <v>0</v>
          </cell>
          <cell r="N658" t="b">
            <v>0</v>
          </cell>
          <cell r="O658" t="b">
            <v>0</v>
          </cell>
          <cell r="P658" t="b">
            <v>0</v>
          </cell>
          <cell r="Q658" t="b">
            <v>0</v>
          </cell>
          <cell r="W658" t="e">
            <v>#REF!</v>
          </cell>
        </row>
        <row r="659">
          <cell r="H659" t="b">
            <v>0</v>
          </cell>
          <cell r="I659" t="b">
            <v>0</v>
          </cell>
          <cell r="J659" t="b">
            <v>0</v>
          </cell>
          <cell r="K659" t="b">
            <v>0</v>
          </cell>
          <cell r="L659" t="b">
            <v>0</v>
          </cell>
          <cell r="M659" t="b">
            <v>0</v>
          </cell>
          <cell r="N659" t="b">
            <v>0</v>
          </cell>
          <cell r="O659" t="b">
            <v>0</v>
          </cell>
          <cell r="P659" t="b">
            <v>0</v>
          </cell>
          <cell r="Q659" t="b">
            <v>0</v>
          </cell>
          <cell r="W659" t="e">
            <v>#REF!</v>
          </cell>
        </row>
        <row r="660">
          <cell r="H660" t="b">
            <v>0</v>
          </cell>
          <cell r="I660" t="b">
            <v>0</v>
          </cell>
          <cell r="J660" t="b">
            <v>0</v>
          </cell>
          <cell r="K660" t="b">
            <v>0</v>
          </cell>
          <cell r="L660" t="b">
            <v>0</v>
          </cell>
          <cell r="M660" t="b">
            <v>0</v>
          </cell>
          <cell r="N660" t="b">
            <v>0</v>
          </cell>
          <cell r="O660" t="b">
            <v>0</v>
          </cell>
          <cell r="P660" t="b">
            <v>0</v>
          </cell>
          <cell r="Q660" t="b">
            <v>0</v>
          </cell>
          <cell r="W660" t="e">
            <v>#REF!</v>
          </cell>
        </row>
        <row r="661">
          <cell r="H661" t="b">
            <v>0</v>
          </cell>
          <cell r="I661" t="b">
            <v>0</v>
          </cell>
          <cell r="J661" t="b">
            <v>0</v>
          </cell>
          <cell r="K661" t="b">
            <v>0</v>
          </cell>
          <cell r="L661" t="b">
            <v>0</v>
          </cell>
          <cell r="M661" t="b">
            <v>0</v>
          </cell>
          <cell r="N661" t="b">
            <v>0</v>
          </cell>
          <cell r="O661" t="b">
            <v>0</v>
          </cell>
          <cell r="P661" t="b">
            <v>0</v>
          </cell>
          <cell r="Q661" t="b">
            <v>0</v>
          </cell>
          <cell r="W661" t="e">
            <v>#REF!</v>
          </cell>
        </row>
        <row r="662">
          <cell r="H662" t="b">
            <v>0</v>
          </cell>
          <cell r="I662" t="b">
            <v>0</v>
          </cell>
          <cell r="J662" t="b">
            <v>0</v>
          </cell>
          <cell r="K662" t="b">
            <v>0</v>
          </cell>
          <cell r="L662" t="b">
            <v>0</v>
          </cell>
          <cell r="M662" t="b">
            <v>0</v>
          </cell>
          <cell r="N662" t="b">
            <v>0</v>
          </cell>
          <cell r="O662" t="b">
            <v>0</v>
          </cell>
          <cell r="P662" t="b">
            <v>0</v>
          </cell>
          <cell r="Q662" t="b">
            <v>0</v>
          </cell>
          <cell r="W662" t="e">
            <v>#REF!</v>
          </cell>
        </row>
        <row r="663">
          <cell r="H663" t="b">
            <v>0</v>
          </cell>
          <cell r="I663" t="b">
            <v>0</v>
          </cell>
          <cell r="J663" t="b">
            <v>0</v>
          </cell>
          <cell r="K663" t="b">
            <v>0</v>
          </cell>
          <cell r="L663" t="b">
            <v>0</v>
          </cell>
          <cell r="M663" t="b">
            <v>0</v>
          </cell>
          <cell r="N663" t="b">
            <v>0</v>
          </cell>
          <cell r="O663" t="b">
            <v>0</v>
          </cell>
          <cell r="P663" t="b">
            <v>0</v>
          </cell>
          <cell r="Q663" t="b">
            <v>0</v>
          </cell>
          <cell r="W663" t="e">
            <v>#REF!</v>
          </cell>
        </row>
        <row r="664">
          <cell r="H664" t="b">
            <v>0</v>
          </cell>
          <cell r="I664" t="b">
            <v>0</v>
          </cell>
          <cell r="J664" t="b">
            <v>0</v>
          </cell>
          <cell r="K664" t="b">
            <v>0</v>
          </cell>
          <cell r="L664" t="b">
            <v>0</v>
          </cell>
          <cell r="M664" t="b">
            <v>0</v>
          </cell>
          <cell r="N664" t="b">
            <v>0</v>
          </cell>
          <cell r="O664" t="b">
            <v>0</v>
          </cell>
          <cell r="P664" t="b">
            <v>0</v>
          </cell>
          <cell r="Q664" t="b">
            <v>0</v>
          </cell>
          <cell r="W664" t="e">
            <v>#REF!</v>
          </cell>
        </row>
        <row r="665">
          <cell r="H665" t="b">
            <v>0</v>
          </cell>
          <cell r="I665" t="b">
            <v>0</v>
          </cell>
          <cell r="J665" t="b">
            <v>0</v>
          </cell>
          <cell r="K665" t="b">
            <v>0</v>
          </cell>
          <cell r="L665" t="b">
            <v>0</v>
          </cell>
          <cell r="M665" t="b">
            <v>0</v>
          </cell>
          <cell r="N665" t="b">
            <v>0</v>
          </cell>
          <cell r="O665" t="b">
            <v>0</v>
          </cell>
          <cell r="P665" t="b">
            <v>0</v>
          </cell>
          <cell r="Q665" t="b">
            <v>0</v>
          </cell>
          <cell r="W665" t="e">
            <v>#REF!</v>
          </cell>
        </row>
        <row r="666">
          <cell r="H666" t="b">
            <v>0</v>
          </cell>
          <cell r="I666" t="b">
            <v>0</v>
          </cell>
          <cell r="J666" t="b">
            <v>0</v>
          </cell>
          <cell r="K666" t="b">
            <v>0</v>
          </cell>
          <cell r="L666" t="b">
            <v>0</v>
          </cell>
          <cell r="M666" t="b">
            <v>0</v>
          </cell>
          <cell r="N666" t="b">
            <v>0</v>
          </cell>
          <cell r="O666" t="b">
            <v>0</v>
          </cell>
          <cell r="P666" t="b">
            <v>0</v>
          </cell>
          <cell r="Q666" t="b">
            <v>0</v>
          </cell>
          <cell r="W666" t="e">
            <v>#REF!</v>
          </cell>
        </row>
        <row r="667">
          <cell r="H667" t="b">
            <v>0</v>
          </cell>
          <cell r="I667" t="b">
            <v>0</v>
          </cell>
          <cell r="J667" t="b">
            <v>0</v>
          </cell>
          <cell r="K667" t="b">
            <v>0</v>
          </cell>
          <cell r="L667" t="b">
            <v>0</v>
          </cell>
          <cell r="M667" t="b">
            <v>0</v>
          </cell>
          <cell r="N667" t="b">
            <v>0</v>
          </cell>
          <cell r="O667" t="b">
            <v>0</v>
          </cell>
          <cell r="P667" t="b">
            <v>0</v>
          </cell>
          <cell r="Q667" t="b">
            <v>0</v>
          </cell>
          <cell r="W667" t="e">
            <v>#REF!</v>
          </cell>
        </row>
        <row r="668">
          <cell r="H668" t="b">
            <v>0</v>
          </cell>
          <cell r="I668" t="b">
            <v>0</v>
          </cell>
          <cell r="J668" t="b">
            <v>0</v>
          </cell>
          <cell r="K668" t="b">
            <v>0</v>
          </cell>
          <cell r="L668" t="b">
            <v>0</v>
          </cell>
          <cell r="M668" t="b">
            <v>0</v>
          </cell>
          <cell r="N668" t="b">
            <v>0</v>
          </cell>
          <cell r="O668" t="b">
            <v>0</v>
          </cell>
          <cell r="P668" t="b">
            <v>0</v>
          </cell>
          <cell r="Q668" t="b">
            <v>0</v>
          </cell>
          <cell r="W668" t="e">
            <v>#REF!</v>
          </cell>
        </row>
        <row r="669">
          <cell r="H669" t="b">
            <v>0</v>
          </cell>
          <cell r="I669" t="b">
            <v>0</v>
          </cell>
          <cell r="J669" t="b">
            <v>0</v>
          </cell>
          <cell r="K669" t="b">
            <v>0</v>
          </cell>
          <cell r="L669" t="b">
            <v>0</v>
          </cell>
          <cell r="M669" t="b">
            <v>0</v>
          </cell>
          <cell r="N669" t="b">
            <v>0</v>
          </cell>
          <cell r="O669" t="b">
            <v>0</v>
          </cell>
          <cell r="P669" t="b">
            <v>0</v>
          </cell>
          <cell r="Q669" t="b">
            <v>0</v>
          </cell>
          <cell r="W669" t="e">
            <v>#REF!</v>
          </cell>
        </row>
        <row r="670">
          <cell r="H670" t="b">
            <v>0</v>
          </cell>
          <cell r="I670" t="b">
            <v>0</v>
          </cell>
          <cell r="J670" t="b">
            <v>0</v>
          </cell>
          <cell r="K670" t="b">
            <v>0</v>
          </cell>
          <cell r="L670" t="b">
            <v>0</v>
          </cell>
          <cell r="M670" t="b">
            <v>0</v>
          </cell>
          <cell r="N670" t="b">
            <v>0</v>
          </cell>
          <cell r="O670" t="b">
            <v>0</v>
          </cell>
          <cell r="P670" t="b">
            <v>0</v>
          </cell>
          <cell r="Q670" t="b">
            <v>0</v>
          </cell>
          <cell r="W670" t="e">
            <v>#REF!</v>
          </cell>
        </row>
        <row r="671">
          <cell r="H671" t="b">
            <v>0</v>
          </cell>
          <cell r="I671" t="b">
            <v>0</v>
          </cell>
          <cell r="J671" t="b">
            <v>0</v>
          </cell>
          <cell r="K671" t="b">
            <v>0</v>
          </cell>
          <cell r="L671" t="b">
            <v>0</v>
          </cell>
          <cell r="M671" t="b">
            <v>0</v>
          </cell>
          <cell r="N671" t="b">
            <v>0</v>
          </cell>
          <cell r="O671" t="b">
            <v>0</v>
          </cell>
          <cell r="P671" t="b">
            <v>0</v>
          </cell>
          <cell r="Q671" t="b">
            <v>0</v>
          </cell>
          <cell r="W671" t="e">
            <v>#REF!</v>
          </cell>
        </row>
        <row r="672">
          <cell r="H672" t="b">
            <v>0</v>
          </cell>
          <cell r="I672" t="b">
            <v>0</v>
          </cell>
          <cell r="J672" t="b">
            <v>0</v>
          </cell>
          <cell r="K672" t="b">
            <v>0</v>
          </cell>
          <cell r="L672" t="b">
            <v>0</v>
          </cell>
          <cell r="M672" t="b">
            <v>0</v>
          </cell>
          <cell r="N672" t="b">
            <v>0</v>
          </cell>
          <cell r="O672" t="b">
            <v>0</v>
          </cell>
          <cell r="P672" t="b">
            <v>0</v>
          </cell>
          <cell r="Q672" t="b">
            <v>0</v>
          </cell>
          <cell r="W672" t="e">
            <v>#REF!</v>
          </cell>
        </row>
        <row r="673">
          <cell r="H673" t="b">
            <v>0</v>
          </cell>
          <cell r="I673" t="b">
            <v>0</v>
          </cell>
          <cell r="J673" t="b">
            <v>0</v>
          </cell>
          <cell r="K673" t="b">
            <v>0</v>
          </cell>
          <cell r="L673" t="b">
            <v>0</v>
          </cell>
          <cell r="M673" t="b">
            <v>0</v>
          </cell>
          <cell r="N673" t="b">
            <v>0</v>
          </cell>
          <cell r="O673" t="b">
            <v>0</v>
          </cell>
          <cell r="P673" t="b">
            <v>0</v>
          </cell>
          <cell r="Q673" t="b">
            <v>0</v>
          </cell>
          <cell r="W673" t="e">
            <v>#REF!</v>
          </cell>
        </row>
        <row r="674">
          <cell r="H674" t="b">
            <v>0</v>
          </cell>
          <cell r="I674" t="b">
            <v>0</v>
          </cell>
          <cell r="J674" t="b">
            <v>0</v>
          </cell>
          <cell r="K674" t="b">
            <v>0</v>
          </cell>
          <cell r="L674" t="b">
            <v>0</v>
          </cell>
          <cell r="M674" t="b">
            <v>0</v>
          </cell>
          <cell r="N674" t="b">
            <v>0</v>
          </cell>
          <cell r="O674" t="b">
            <v>0</v>
          </cell>
          <cell r="P674" t="b">
            <v>0</v>
          </cell>
          <cell r="Q674" t="b">
            <v>0</v>
          </cell>
          <cell r="W674" t="e">
            <v>#REF!</v>
          </cell>
        </row>
        <row r="675">
          <cell r="H675" t="b">
            <v>0</v>
          </cell>
          <cell r="I675" t="b">
            <v>0</v>
          </cell>
          <cell r="J675" t="b">
            <v>0</v>
          </cell>
          <cell r="K675" t="b">
            <v>0</v>
          </cell>
          <cell r="L675" t="b">
            <v>0</v>
          </cell>
          <cell r="M675" t="b">
            <v>0</v>
          </cell>
          <cell r="N675" t="b">
            <v>0</v>
          </cell>
          <cell r="O675" t="b">
            <v>0</v>
          </cell>
          <cell r="P675" t="b">
            <v>0</v>
          </cell>
          <cell r="Q675" t="b">
            <v>0</v>
          </cell>
          <cell r="W675" t="e">
            <v>#REF!</v>
          </cell>
        </row>
        <row r="676">
          <cell r="H676" t="b">
            <v>0</v>
          </cell>
          <cell r="I676" t="b">
            <v>0</v>
          </cell>
          <cell r="J676" t="b">
            <v>0</v>
          </cell>
          <cell r="K676" t="b">
            <v>0</v>
          </cell>
          <cell r="L676" t="b">
            <v>0</v>
          </cell>
          <cell r="M676" t="b">
            <v>0</v>
          </cell>
          <cell r="N676" t="b">
            <v>0</v>
          </cell>
          <cell r="O676" t="b">
            <v>0</v>
          </cell>
          <cell r="P676" t="b">
            <v>0</v>
          </cell>
          <cell r="Q676" t="b">
            <v>0</v>
          </cell>
          <cell r="W676" t="e">
            <v>#REF!</v>
          </cell>
        </row>
        <row r="677">
          <cell r="H677" t="b">
            <v>0</v>
          </cell>
          <cell r="I677" t="b">
            <v>0</v>
          </cell>
          <cell r="J677" t="b">
            <v>0</v>
          </cell>
          <cell r="K677" t="b">
            <v>0</v>
          </cell>
          <cell r="L677" t="b">
            <v>0</v>
          </cell>
          <cell r="M677" t="b">
            <v>0</v>
          </cell>
          <cell r="N677" t="b">
            <v>0</v>
          </cell>
          <cell r="O677" t="b">
            <v>0</v>
          </cell>
          <cell r="P677" t="b">
            <v>0</v>
          </cell>
          <cell r="Q677" t="b">
            <v>0</v>
          </cell>
          <cell r="W677" t="e">
            <v>#REF!</v>
          </cell>
        </row>
        <row r="678">
          <cell r="H678" t="b">
            <v>0</v>
          </cell>
          <cell r="I678" t="b">
            <v>0</v>
          </cell>
          <cell r="J678" t="b">
            <v>0</v>
          </cell>
          <cell r="K678" t="b">
            <v>0</v>
          </cell>
          <cell r="L678" t="b">
            <v>0</v>
          </cell>
          <cell r="M678" t="b">
            <v>0</v>
          </cell>
          <cell r="N678" t="b">
            <v>0</v>
          </cell>
          <cell r="O678" t="b">
            <v>0</v>
          </cell>
          <cell r="P678" t="b">
            <v>0</v>
          </cell>
          <cell r="Q678" t="b">
            <v>0</v>
          </cell>
          <cell r="W678" t="e">
            <v>#REF!</v>
          </cell>
        </row>
        <row r="679">
          <cell r="H679" t="b">
            <v>0</v>
          </cell>
          <cell r="I679" t="b">
            <v>0</v>
          </cell>
          <cell r="J679" t="b">
            <v>0</v>
          </cell>
          <cell r="K679" t="b">
            <v>0</v>
          </cell>
          <cell r="L679" t="b">
            <v>0</v>
          </cell>
          <cell r="M679" t="b">
            <v>0</v>
          </cell>
          <cell r="N679" t="b">
            <v>0</v>
          </cell>
          <cell r="O679" t="b">
            <v>0</v>
          </cell>
          <cell r="P679" t="b">
            <v>0</v>
          </cell>
          <cell r="Q679" t="b">
            <v>0</v>
          </cell>
          <cell r="W679" t="e">
            <v>#REF!</v>
          </cell>
        </row>
        <row r="680">
          <cell r="H680" t="b">
            <v>0</v>
          </cell>
          <cell r="I680" t="b">
            <v>0</v>
          </cell>
          <cell r="J680" t="b">
            <v>0</v>
          </cell>
          <cell r="K680" t="b">
            <v>0</v>
          </cell>
          <cell r="L680" t="b">
            <v>0</v>
          </cell>
          <cell r="M680" t="b">
            <v>0</v>
          </cell>
          <cell r="N680" t="b">
            <v>0</v>
          </cell>
          <cell r="O680" t="b">
            <v>0</v>
          </cell>
          <cell r="P680" t="b">
            <v>0</v>
          </cell>
          <cell r="Q680" t="b">
            <v>0</v>
          </cell>
          <cell r="W680" t="e">
            <v>#REF!</v>
          </cell>
        </row>
        <row r="681">
          <cell r="H681" t="b">
            <v>0</v>
          </cell>
          <cell r="I681" t="b">
            <v>0</v>
          </cell>
          <cell r="J681" t="b">
            <v>0</v>
          </cell>
          <cell r="K681" t="b">
            <v>0</v>
          </cell>
          <cell r="L681" t="b">
            <v>0</v>
          </cell>
          <cell r="M681" t="b">
            <v>0</v>
          </cell>
          <cell r="N681" t="b">
            <v>0</v>
          </cell>
          <cell r="O681" t="b">
            <v>0</v>
          </cell>
          <cell r="P681" t="b">
            <v>0</v>
          </cell>
          <cell r="Q681" t="b">
            <v>0</v>
          </cell>
          <cell r="W681" t="e">
            <v>#REF!</v>
          </cell>
        </row>
        <row r="682">
          <cell r="H682" t="b">
            <v>0</v>
          </cell>
          <cell r="I682" t="b">
            <v>0</v>
          </cell>
          <cell r="J682" t="b">
            <v>0</v>
          </cell>
          <cell r="K682" t="b">
            <v>0</v>
          </cell>
          <cell r="L682" t="b">
            <v>0</v>
          </cell>
          <cell r="M682" t="b">
            <v>0</v>
          </cell>
          <cell r="N682" t="b">
            <v>0</v>
          </cell>
          <cell r="O682" t="b">
            <v>0</v>
          </cell>
          <cell r="P682" t="b">
            <v>0</v>
          </cell>
          <cell r="Q682" t="b">
            <v>0</v>
          </cell>
          <cell r="W682" t="e">
            <v>#REF!</v>
          </cell>
        </row>
        <row r="683">
          <cell r="H683" t="b">
            <v>0</v>
          </cell>
          <cell r="I683" t="b">
            <v>0</v>
          </cell>
          <cell r="J683" t="b">
            <v>0</v>
          </cell>
          <cell r="K683" t="b">
            <v>0</v>
          </cell>
          <cell r="L683" t="b">
            <v>0</v>
          </cell>
          <cell r="M683" t="b">
            <v>0</v>
          </cell>
          <cell r="N683" t="b">
            <v>0</v>
          </cell>
          <cell r="O683" t="b">
            <v>0</v>
          </cell>
          <cell r="P683" t="b">
            <v>0</v>
          </cell>
          <cell r="Q683" t="b">
            <v>0</v>
          </cell>
          <cell r="W683" t="e">
            <v>#REF!</v>
          </cell>
        </row>
        <row r="684">
          <cell r="H684" t="b">
            <v>0</v>
          </cell>
          <cell r="I684" t="b">
            <v>0</v>
          </cell>
          <cell r="J684" t="b">
            <v>0</v>
          </cell>
          <cell r="K684" t="b">
            <v>0</v>
          </cell>
          <cell r="L684" t="b">
            <v>0</v>
          </cell>
          <cell r="M684" t="b">
            <v>0</v>
          </cell>
          <cell r="N684" t="b">
            <v>0</v>
          </cell>
          <cell r="O684" t="b">
            <v>0</v>
          </cell>
          <cell r="P684" t="b">
            <v>0</v>
          </cell>
          <cell r="Q684" t="b">
            <v>0</v>
          </cell>
          <cell r="W684" t="e">
            <v>#REF!</v>
          </cell>
        </row>
        <row r="685">
          <cell r="H685" t="b">
            <v>0</v>
          </cell>
          <cell r="I685" t="b">
            <v>0</v>
          </cell>
          <cell r="J685" t="b">
            <v>0</v>
          </cell>
          <cell r="K685" t="b">
            <v>0</v>
          </cell>
          <cell r="L685" t="b">
            <v>0</v>
          </cell>
          <cell r="M685" t="b">
            <v>0</v>
          </cell>
          <cell r="N685" t="b">
            <v>0</v>
          </cell>
          <cell r="O685" t="b">
            <v>0</v>
          </cell>
          <cell r="P685" t="b">
            <v>0</v>
          </cell>
          <cell r="Q685" t="b">
            <v>0</v>
          </cell>
          <cell r="W685" t="e">
            <v>#REF!</v>
          </cell>
        </row>
        <row r="686">
          <cell r="H686" t="b">
            <v>0</v>
          </cell>
          <cell r="I686" t="b">
            <v>0</v>
          </cell>
          <cell r="J686" t="b">
            <v>0</v>
          </cell>
          <cell r="K686" t="b">
            <v>0</v>
          </cell>
          <cell r="L686" t="b">
            <v>0</v>
          </cell>
          <cell r="M686" t="b">
            <v>0</v>
          </cell>
          <cell r="N686" t="b">
            <v>0</v>
          </cell>
          <cell r="O686" t="b">
            <v>0</v>
          </cell>
          <cell r="P686" t="b">
            <v>0</v>
          </cell>
          <cell r="Q686" t="b">
            <v>0</v>
          </cell>
          <cell r="W686" t="e">
            <v>#REF!</v>
          </cell>
        </row>
        <row r="687">
          <cell r="H687" t="b">
            <v>0</v>
          </cell>
          <cell r="I687" t="b">
            <v>0</v>
          </cell>
          <cell r="J687" t="b">
            <v>0</v>
          </cell>
          <cell r="K687" t="b">
            <v>0</v>
          </cell>
          <cell r="L687" t="b">
            <v>0</v>
          </cell>
          <cell r="M687" t="b">
            <v>0</v>
          </cell>
          <cell r="N687" t="b">
            <v>0</v>
          </cell>
          <cell r="O687" t="b">
            <v>0</v>
          </cell>
          <cell r="P687" t="b">
            <v>0</v>
          </cell>
          <cell r="Q687" t="b">
            <v>0</v>
          </cell>
          <cell r="W687" t="e">
            <v>#REF!</v>
          </cell>
        </row>
        <row r="688">
          <cell r="H688" t="b">
            <v>0</v>
          </cell>
          <cell r="I688" t="b">
            <v>0</v>
          </cell>
          <cell r="J688" t="b">
            <v>0</v>
          </cell>
          <cell r="K688" t="b">
            <v>0</v>
          </cell>
          <cell r="L688" t="b">
            <v>0</v>
          </cell>
          <cell r="M688" t="b">
            <v>0</v>
          </cell>
          <cell r="N688" t="b">
            <v>0</v>
          </cell>
          <cell r="O688" t="b">
            <v>0</v>
          </cell>
          <cell r="P688" t="b">
            <v>0</v>
          </cell>
          <cell r="Q688" t="b">
            <v>0</v>
          </cell>
          <cell r="W688" t="e">
            <v>#REF!</v>
          </cell>
        </row>
        <row r="689">
          <cell r="H689" t="b">
            <v>0</v>
          </cell>
          <cell r="I689" t="b">
            <v>0</v>
          </cell>
          <cell r="J689" t="b">
            <v>0</v>
          </cell>
          <cell r="K689" t="b">
            <v>0</v>
          </cell>
          <cell r="L689" t="b">
            <v>0</v>
          </cell>
          <cell r="M689" t="b">
            <v>0</v>
          </cell>
          <cell r="N689" t="b">
            <v>0</v>
          </cell>
          <cell r="O689" t="b">
            <v>0</v>
          </cell>
          <cell r="P689" t="b">
            <v>0</v>
          </cell>
          <cell r="Q689" t="b">
            <v>0</v>
          </cell>
          <cell r="W689" t="e">
            <v>#REF!</v>
          </cell>
        </row>
        <row r="690">
          <cell r="H690" t="b">
            <v>0</v>
          </cell>
          <cell r="I690" t="b">
            <v>0</v>
          </cell>
          <cell r="J690" t="b">
            <v>0</v>
          </cell>
          <cell r="K690" t="b">
            <v>0</v>
          </cell>
          <cell r="L690" t="b">
            <v>0</v>
          </cell>
          <cell r="M690" t="b">
            <v>0</v>
          </cell>
          <cell r="N690" t="b">
            <v>0</v>
          </cell>
          <cell r="O690" t="b">
            <v>0</v>
          </cell>
          <cell r="P690" t="b">
            <v>0</v>
          </cell>
          <cell r="Q690" t="b">
            <v>0</v>
          </cell>
          <cell r="W690" t="e">
            <v>#REF!</v>
          </cell>
        </row>
        <row r="691">
          <cell r="B691"/>
        </row>
        <row r="692">
          <cell r="B692"/>
        </row>
      </sheetData>
      <sheetData sheetId="5">
        <row r="8">
          <cell r="P8">
            <v>36.200000000000003</v>
          </cell>
        </row>
      </sheetData>
      <sheetData sheetId="6">
        <row r="4">
          <cell r="B4">
            <v>4664.6899999999996</v>
          </cell>
          <cell r="C4">
            <v>0.27500000000000002</v>
          </cell>
          <cell r="D4">
            <v>896</v>
          </cell>
        </row>
        <row r="5">
          <cell r="B5">
            <v>3751.06</v>
          </cell>
          <cell r="C5">
            <v>0.22500000000000001</v>
          </cell>
          <cell r="D5">
            <v>662.77</v>
          </cell>
        </row>
        <row r="6">
          <cell r="B6">
            <v>2826.66</v>
          </cell>
          <cell r="C6">
            <v>0.15</v>
          </cell>
          <cell r="D6">
            <v>381.44</v>
          </cell>
        </row>
        <row r="7">
          <cell r="B7">
            <v>2259.21</v>
          </cell>
          <cell r="C7">
            <v>7.4999999999999997E-2</v>
          </cell>
          <cell r="D7">
            <v>169.44</v>
          </cell>
        </row>
        <row r="8">
          <cell r="C8">
            <v>0</v>
          </cell>
        </row>
        <row r="10">
          <cell r="C10">
            <v>1.4999999999999999E-2</v>
          </cell>
        </row>
      </sheetData>
      <sheetData sheetId="7"/>
      <sheetData sheetId="8"/>
      <sheetData sheetId="9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I167"/>
  <sheetViews>
    <sheetView tabSelected="1" zoomScale="55" zoomScaleNormal="55" zoomScaleSheetLayoutView="25" workbookViewId="0">
      <selection activeCell="D1" sqref="D1"/>
    </sheetView>
  </sheetViews>
  <sheetFormatPr defaultColWidth="12.28515625" defaultRowHeight="15.6" customHeight="1" outlineLevelRow="1"/>
  <cols>
    <col min="1" max="2" width="12.28515625" style="6"/>
    <col min="3" max="3" width="3" style="6" customWidth="1"/>
    <col min="4" max="4" width="33.5703125" style="237" customWidth="1"/>
    <col min="5" max="5" width="37.140625" style="237" customWidth="1"/>
    <col min="6" max="6" width="30.140625" style="237" customWidth="1"/>
    <col min="7" max="7" width="37.42578125" style="237" customWidth="1"/>
    <col min="8" max="8" width="30.85546875" style="237" customWidth="1"/>
    <col min="9" max="9" width="38.5703125" style="237" bestFit="1" customWidth="1"/>
    <col min="10" max="10" width="38.7109375" style="237" bestFit="1" customWidth="1"/>
    <col min="11" max="11" width="33.140625" style="6" bestFit="1" customWidth="1"/>
    <col min="12" max="12" width="38.5703125" style="7" bestFit="1" customWidth="1"/>
    <col min="13" max="13" width="37.5703125" style="236" bestFit="1" customWidth="1"/>
    <col min="14" max="14" width="32.28515625" style="236" bestFit="1" customWidth="1"/>
    <col min="15" max="15" width="11.7109375" style="6" customWidth="1"/>
    <col min="16" max="16" width="12" style="6" bestFit="1" customWidth="1"/>
    <col min="17" max="17" width="57.85546875" style="6" customWidth="1"/>
    <col min="18" max="18" width="71.28515625" style="6" customWidth="1"/>
    <col min="19" max="19" width="59.42578125" style="6" bestFit="1" customWidth="1"/>
    <col min="20" max="20" width="69.5703125" style="6" bestFit="1" customWidth="1"/>
    <col min="21" max="21" width="48.42578125" style="6" customWidth="1"/>
    <col min="22" max="22" width="58.42578125" style="6" customWidth="1"/>
    <col min="23" max="23" width="35.5703125" style="6" bestFit="1" customWidth="1"/>
    <col min="24" max="24" width="24.140625" style="6" bestFit="1" customWidth="1"/>
    <col min="25" max="25" width="11.7109375" style="6" customWidth="1"/>
    <col min="26" max="26" width="0.5703125" style="6" customWidth="1"/>
    <col min="27" max="27" width="24.42578125" style="6" customWidth="1"/>
    <col min="28" max="28" width="7.7109375" style="6" customWidth="1"/>
    <col min="29" max="29" width="3.5703125" style="6" hidden="1" customWidth="1"/>
    <col min="30" max="30" width="23.7109375" style="6" hidden="1" customWidth="1"/>
    <col min="31" max="32" width="9" style="6" hidden="1" customWidth="1"/>
    <col min="33" max="33" width="5.28515625" style="6" hidden="1" customWidth="1"/>
    <col min="34" max="257" width="11.85546875" style="6" customWidth="1"/>
    <col min="258" max="16384" width="12.28515625" style="6"/>
  </cols>
  <sheetData>
    <row r="1" spans="1:35" ht="17.100000000000001" customHeight="1">
      <c r="A1" s="1"/>
      <c r="B1" s="1"/>
      <c r="C1" s="2"/>
      <c r="D1" s="2"/>
      <c r="E1" s="2"/>
      <c r="F1" s="2"/>
      <c r="G1" s="2"/>
      <c r="H1" s="2"/>
      <c r="I1" s="2"/>
      <c r="J1" s="2"/>
      <c r="K1" s="1"/>
      <c r="L1" s="3"/>
      <c r="M1" s="4"/>
      <c r="N1" s="4"/>
      <c r="O1" s="1"/>
      <c r="P1" s="5"/>
      <c r="Q1" s="5"/>
      <c r="R1" s="5"/>
      <c r="S1" s="5"/>
      <c r="T1" s="5"/>
      <c r="U1" s="5"/>
      <c r="V1" s="5"/>
      <c r="W1" s="5"/>
      <c r="X1" s="5"/>
      <c r="Y1" s="5"/>
      <c r="AI1" s="7"/>
    </row>
    <row r="2" spans="1:35" ht="17.100000000000001" customHeight="1">
      <c r="A2" s="1"/>
      <c r="B2" s="1"/>
      <c r="C2" s="2"/>
      <c r="D2" s="2"/>
      <c r="E2" s="2"/>
      <c r="F2" s="2"/>
      <c r="G2" s="2"/>
      <c r="H2" s="2"/>
      <c r="I2" s="2"/>
      <c r="J2" s="2"/>
      <c r="K2" s="1"/>
      <c r="L2" s="3"/>
      <c r="M2" s="4"/>
      <c r="N2" s="4"/>
      <c r="O2" s="1"/>
      <c r="P2" s="5"/>
      <c r="Q2" s="5"/>
      <c r="R2" s="5"/>
      <c r="S2" s="5"/>
      <c r="T2" s="5"/>
      <c r="U2" s="5"/>
      <c r="V2" s="5"/>
      <c r="W2" s="5"/>
      <c r="X2" s="5"/>
      <c r="Y2" s="5"/>
      <c r="AI2" s="7"/>
    </row>
    <row r="3" spans="1:35" ht="16.5" customHeight="1">
      <c r="A3" s="1"/>
      <c r="B3" s="1"/>
      <c r="C3" s="2"/>
      <c r="D3" s="2"/>
      <c r="E3" s="2"/>
      <c r="F3" s="2"/>
      <c r="G3" s="2"/>
      <c r="H3" s="2"/>
      <c r="I3" s="2"/>
      <c r="J3" s="2"/>
      <c r="K3" s="1"/>
      <c r="L3" s="3"/>
      <c r="M3" s="8"/>
      <c r="N3" s="4"/>
      <c r="O3" s="1"/>
      <c r="P3" s="5"/>
      <c r="Q3" s="5"/>
      <c r="R3" s="5"/>
      <c r="S3" s="5"/>
      <c r="T3" s="5"/>
      <c r="U3" s="5"/>
      <c r="V3" s="5"/>
      <c r="W3" s="5"/>
      <c r="X3" s="5"/>
      <c r="Y3" s="5"/>
      <c r="AI3" s="7"/>
    </row>
    <row r="4" spans="1:35" ht="17.100000000000001" customHeight="1">
      <c r="A4" s="1"/>
      <c r="B4" s="1"/>
      <c r="C4" s="239" t="s">
        <v>0</v>
      </c>
      <c r="D4" s="239"/>
      <c r="E4" s="239"/>
      <c r="F4" s="239"/>
      <c r="G4" s="239"/>
      <c r="H4" s="239"/>
      <c r="I4" s="239"/>
      <c r="J4" s="239"/>
      <c r="K4" s="239"/>
      <c r="L4" s="239"/>
      <c r="M4" s="8"/>
      <c r="N4" s="4"/>
      <c r="O4" s="1"/>
      <c r="P4" s="5"/>
      <c r="Q4" s="5"/>
      <c r="R4" s="5"/>
      <c r="S4" s="5"/>
      <c r="T4" s="5"/>
      <c r="U4" s="5"/>
      <c r="V4" s="5"/>
      <c r="W4" s="5"/>
      <c r="X4" s="5"/>
      <c r="Y4" s="5"/>
      <c r="AI4" s="7"/>
    </row>
    <row r="5" spans="1:35" ht="23.25">
      <c r="A5" s="1"/>
      <c r="B5" s="1"/>
      <c r="C5" s="239" t="s">
        <v>1</v>
      </c>
      <c r="D5" s="239"/>
      <c r="E5" s="239"/>
      <c r="F5" s="239"/>
      <c r="G5" s="239"/>
      <c r="H5" s="239"/>
      <c r="I5" s="239"/>
      <c r="J5" s="239"/>
      <c r="K5" s="239"/>
      <c r="L5" s="239"/>
      <c r="M5" s="8"/>
      <c r="N5" s="4"/>
      <c r="O5" s="1"/>
      <c r="P5" s="5"/>
      <c r="Q5" s="5"/>
      <c r="R5" s="9" t="s">
        <v>2</v>
      </c>
      <c r="S5" s="5"/>
      <c r="T5" s="5"/>
      <c r="U5" s="5"/>
      <c r="V5" s="5"/>
      <c r="W5" s="5"/>
      <c r="X5" s="5"/>
      <c r="Y5" s="5"/>
      <c r="AI5" s="7"/>
    </row>
    <row r="6" spans="1:35" ht="24.75" customHeight="1">
      <c r="A6" s="1"/>
      <c r="B6" s="1"/>
      <c r="C6" s="10"/>
      <c r="D6" s="10"/>
      <c r="E6" s="10"/>
      <c r="F6" s="10"/>
      <c r="G6" s="10"/>
      <c r="H6" s="10"/>
      <c r="I6" s="10"/>
      <c r="J6" s="10"/>
      <c r="K6" s="11"/>
      <c r="L6" s="12"/>
      <c r="M6" s="8"/>
      <c r="N6" s="4"/>
      <c r="O6" s="1"/>
      <c r="P6" s="5"/>
      <c r="Q6" s="13" t="s">
        <v>3</v>
      </c>
      <c r="R6" s="240" t="s">
        <v>2</v>
      </c>
      <c r="S6" s="241"/>
      <c r="T6" s="5"/>
      <c r="U6" s="5"/>
      <c r="V6" s="5"/>
      <c r="W6" s="5"/>
      <c r="X6" s="5"/>
      <c r="Y6" s="5"/>
      <c r="AI6" s="7"/>
    </row>
    <row r="7" spans="1:35" ht="23.25">
      <c r="A7" s="1"/>
      <c r="B7" s="1"/>
      <c r="C7" s="14"/>
      <c r="D7" s="15" t="s">
        <v>5</v>
      </c>
      <c r="E7" s="15">
        <f>[1]MENU!C8</f>
        <v>0</v>
      </c>
      <c r="F7" s="16"/>
      <c r="G7" s="16"/>
      <c r="H7" s="16"/>
      <c r="I7" s="17"/>
      <c r="J7" s="16"/>
      <c r="K7" s="14"/>
      <c r="L7" s="3"/>
      <c r="M7" s="4"/>
      <c r="N7" s="4"/>
      <c r="O7" s="1"/>
      <c r="P7" s="5"/>
      <c r="Q7" s="5"/>
      <c r="R7" s="5"/>
      <c r="S7" s="5"/>
      <c r="T7" s="5"/>
      <c r="U7" s="5"/>
      <c r="V7" s="5"/>
      <c r="W7" s="5"/>
      <c r="X7" s="5"/>
      <c r="Y7" s="5"/>
      <c r="AI7" s="7"/>
    </row>
    <row r="8" spans="1:35" ht="23.25">
      <c r="A8" s="1"/>
      <c r="B8" s="1"/>
      <c r="C8" s="14"/>
      <c r="D8" s="15" t="s">
        <v>6</v>
      </c>
      <c r="E8" s="15" t="str">
        <f>[1]MENU!C10</f>
        <v>Digite o orçamento</v>
      </c>
      <c r="F8" s="16"/>
      <c r="G8" s="16"/>
      <c r="H8" s="16"/>
      <c r="I8" s="17"/>
      <c r="J8" s="16"/>
      <c r="K8" s="14"/>
      <c r="L8" s="3"/>
      <c r="M8" s="4"/>
      <c r="N8" s="4"/>
      <c r="O8" s="1"/>
      <c r="P8" s="5"/>
      <c r="Q8" s="13" t="s">
        <v>7</v>
      </c>
      <c r="R8" s="238" t="s">
        <v>4</v>
      </c>
      <c r="S8" s="238"/>
      <c r="T8" s="5"/>
      <c r="U8" s="5"/>
      <c r="V8" s="5"/>
      <c r="W8" s="5"/>
      <c r="X8" s="5"/>
      <c r="Y8" s="5"/>
      <c r="AI8" s="7"/>
    </row>
    <row r="9" spans="1:35" ht="48.75" customHeight="1">
      <c r="A9" s="1"/>
      <c r="B9" s="1"/>
      <c r="C9" s="14"/>
      <c r="D9" s="15" t="s">
        <v>8</v>
      </c>
      <c r="E9" s="18" t="str">
        <f>[1]MENU!C12</f>
        <v>Digite a Data do Protocolo</v>
      </c>
      <c r="F9" s="16"/>
      <c r="G9" s="16"/>
      <c r="H9" s="19"/>
      <c r="I9" s="20" t="s">
        <v>9</v>
      </c>
      <c r="J9" s="21" t="e">
        <f>IF(E8&lt;=2022,TEXT(DATE(E8-1,7,2),"dd/mm/aaaa") &amp; " até " &amp; TEXT(DATE(E8,12,31),"dd/mm/aaaa"),TEXT(DATE(E8-1,4,3),"dd/mm/aaaa") &amp; " até " &amp; TEXT(DATE(E8,12,31),"dd/mm/aaaa"))</f>
        <v>#VALUE!</v>
      </c>
      <c r="K9" s="11"/>
      <c r="L9" s="3"/>
      <c r="M9" s="4"/>
      <c r="N9" s="22"/>
      <c r="O9" s="1"/>
      <c r="P9" s="5"/>
      <c r="Q9" s="23" t="s">
        <v>10</v>
      </c>
      <c r="R9" s="242">
        <v>0.26</v>
      </c>
      <c r="S9" s="242"/>
      <c r="T9" s="5"/>
      <c r="U9" s="5"/>
      <c r="V9" s="5"/>
      <c r="W9" s="5"/>
      <c r="X9" s="5"/>
      <c r="Y9" s="5"/>
      <c r="AI9" s="7"/>
    </row>
    <row r="10" spans="1:35" ht="23.25">
      <c r="A10" s="1"/>
      <c r="B10" s="1"/>
      <c r="C10" s="14"/>
      <c r="D10" s="15" t="s">
        <v>11</v>
      </c>
      <c r="E10" s="15" t="str">
        <f>[1]MENU!C14</f>
        <v>Digite Nome do Exequente</v>
      </c>
      <c r="F10" s="16"/>
      <c r="G10" s="16"/>
      <c r="H10" s="16"/>
      <c r="I10" s="16"/>
      <c r="J10" s="16"/>
      <c r="K10" s="11"/>
      <c r="L10" s="3"/>
      <c r="M10" s="4"/>
      <c r="N10" s="4"/>
      <c r="O10" s="1"/>
      <c r="P10" s="5"/>
      <c r="Q10" s="13" t="s">
        <v>12</v>
      </c>
      <c r="R10" s="238" t="s">
        <v>4</v>
      </c>
      <c r="S10" s="238"/>
      <c r="T10" s="5"/>
      <c r="U10" s="5"/>
      <c r="V10" s="5"/>
      <c r="W10" s="5"/>
      <c r="X10" s="5"/>
      <c r="Y10" s="5"/>
      <c r="AC10" s="24"/>
      <c r="AD10" s="24"/>
      <c r="AE10" s="24"/>
      <c r="AF10" s="24"/>
      <c r="AG10" s="24"/>
      <c r="AI10" s="7"/>
    </row>
    <row r="11" spans="1:35" ht="27" customHeight="1">
      <c r="A11" s="1"/>
      <c r="B11" s="1"/>
      <c r="C11" s="14"/>
      <c r="D11" s="15" t="s">
        <v>13</v>
      </c>
      <c r="E11" s="15" t="str">
        <f>[1]MENU!C16</f>
        <v>Digite Nome do Executado</v>
      </c>
      <c r="F11" s="16"/>
      <c r="G11" s="16"/>
      <c r="H11" s="16"/>
      <c r="I11" s="16"/>
      <c r="J11" s="16"/>
      <c r="K11" s="11"/>
      <c r="L11" s="3"/>
      <c r="M11" s="4"/>
      <c r="N11" s="4"/>
      <c r="O11" s="1"/>
      <c r="P11" s="5"/>
      <c r="Q11" s="23" t="s">
        <v>14</v>
      </c>
      <c r="R11" s="242">
        <v>0.01</v>
      </c>
      <c r="S11" s="242"/>
      <c r="T11" s="5"/>
      <c r="U11" s="5"/>
      <c r="V11" s="5"/>
      <c r="W11" s="5"/>
      <c r="X11" s="5"/>
      <c r="Y11" s="5"/>
      <c r="AC11" s="24"/>
      <c r="AD11" s="24"/>
      <c r="AE11" s="24"/>
      <c r="AF11" s="24"/>
      <c r="AG11" s="24"/>
      <c r="AI11" s="7"/>
    </row>
    <row r="12" spans="1:35" ht="27" customHeight="1">
      <c r="A12" s="1"/>
      <c r="B12" s="1"/>
      <c r="C12" s="14"/>
      <c r="D12" s="16"/>
      <c r="E12" s="16"/>
      <c r="F12" s="16"/>
      <c r="G12" s="16"/>
      <c r="H12" s="16"/>
      <c r="I12" s="16"/>
      <c r="J12" s="16"/>
      <c r="K12" s="11"/>
      <c r="L12" s="3"/>
      <c r="M12" s="4"/>
      <c r="N12" s="4"/>
      <c r="O12" s="1"/>
      <c r="P12" s="5"/>
      <c r="Q12" s="5"/>
      <c r="R12" s="5"/>
      <c r="S12" s="5"/>
      <c r="T12" s="5"/>
      <c r="U12" s="5"/>
      <c r="V12" s="5"/>
      <c r="W12" s="25"/>
      <c r="X12" s="5"/>
      <c r="Y12" s="5"/>
      <c r="AC12" s="24"/>
      <c r="AD12" s="24"/>
      <c r="AE12" s="24"/>
      <c r="AF12" s="24"/>
      <c r="AG12" s="24"/>
      <c r="AI12" s="7"/>
    </row>
    <row r="13" spans="1:35" ht="27.75" customHeight="1">
      <c r="A13" s="1"/>
      <c r="B13" s="1"/>
      <c r="C13" s="239" t="s">
        <v>15</v>
      </c>
      <c r="D13" s="239"/>
      <c r="E13" s="239"/>
      <c r="F13" s="239"/>
      <c r="G13" s="239"/>
      <c r="H13" s="239"/>
      <c r="I13" s="239"/>
      <c r="J13" s="239"/>
      <c r="K13" s="239"/>
      <c r="L13" s="239"/>
      <c r="M13" s="4"/>
      <c r="N13" s="4"/>
      <c r="O13" s="1"/>
      <c r="P13" s="5"/>
      <c r="Q13" s="26" t="s">
        <v>16</v>
      </c>
      <c r="R13" s="244" t="s">
        <v>17</v>
      </c>
      <c r="S13" s="244"/>
      <c r="T13" s="5"/>
      <c r="U13" s="5"/>
      <c r="V13" s="5"/>
      <c r="W13" s="5"/>
      <c r="X13" s="5"/>
      <c r="Y13" s="5"/>
      <c r="AD13" s="27"/>
      <c r="AI13" s="7"/>
    </row>
    <row r="14" spans="1:35" ht="80.25" customHeight="1">
      <c r="A14" s="1"/>
      <c r="B14" s="1"/>
      <c r="C14" s="10"/>
      <c r="D14" s="28" t="s">
        <v>18</v>
      </c>
      <c r="E14" s="28" t="str">
        <f>"Valor Devido Atualizado com juros até " &amp; PROPER(TEXT([1]MENU!AD18, "mmmm")) &amp; "/" &amp; [1]MENU!AE18</f>
        <v>Valor Devido Atualizado com juros até Digite A Data Do Cálculo Homologado/Digite a Data do Cálculo Homologado</v>
      </c>
      <c r="F14" s="28" t="s">
        <v>19</v>
      </c>
      <c r="G14" s="28" t="s">
        <v>20</v>
      </c>
      <c r="H14" s="28" t="s">
        <v>21</v>
      </c>
      <c r="I14" s="28" t="s">
        <v>22</v>
      </c>
      <c r="J14" s="28" t="s">
        <v>23</v>
      </c>
      <c r="K14" s="28" t="s">
        <v>24</v>
      </c>
      <c r="L14" s="28" t="str">
        <f ca="1">"Valor Atualizado com Juros "&amp;UPPER(TEXT(TODAY(),"mmmm"))&amp;"/"&amp;YEAR(TODAY())</f>
        <v>Valor Atualizado com Juros FEVEREIRO/2025</v>
      </c>
      <c r="M14" s="4"/>
      <c r="N14" s="4"/>
      <c r="O14" s="1"/>
      <c r="P14" s="5"/>
      <c r="Q14" s="29" t="s">
        <v>4</v>
      </c>
      <c r="R14" s="245" t="s">
        <v>25</v>
      </c>
      <c r="S14" s="246"/>
      <c r="T14" s="5"/>
      <c r="U14" s="5"/>
      <c r="V14" s="5"/>
      <c r="W14" s="5"/>
      <c r="X14" s="5"/>
      <c r="Y14" s="5"/>
      <c r="AI14" s="7"/>
    </row>
    <row r="15" spans="1:35" ht="47.25" customHeight="1">
      <c r="A15" s="1"/>
      <c r="B15" s="1"/>
      <c r="C15" s="10"/>
      <c r="D15" s="30" t="s">
        <v>26</v>
      </c>
      <c r="E15" s="31">
        <f>[1]MENU!C20</f>
        <v>0</v>
      </c>
      <c r="F15" s="32">
        <f>IFERROR(VLOOKUP([1]MENU!$AC$19,[1]GILBERTO!$A:$BK,[1]MENU!$AF$18), 1)</f>
        <v>1</v>
      </c>
      <c r="G15" s="31">
        <f>ROUND(E15*F15,2)</f>
        <v>0</v>
      </c>
      <c r="H15" s="33" t="s">
        <v>27</v>
      </c>
      <c r="I15" s="31">
        <v>0</v>
      </c>
      <c r="J15" s="31">
        <f>ROUND(G15+I15,2)</f>
        <v>0</v>
      </c>
      <c r="K15" s="34">
        <v>1</v>
      </c>
      <c r="L15" s="31">
        <f>ROUND(J15*K15,2)</f>
        <v>0</v>
      </c>
      <c r="M15" s="4"/>
      <c r="N15" s="4"/>
      <c r="O15" s="1"/>
      <c r="P15" s="5"/>
      <c r="Q15" s="29" t="s">
        <v>4</v>
      </c>
      <c r="R15" s="247" t="s">
        <v>28</v>
      </c>
      <c r="S15" s="248"/>
      <c r="T15" s="5"/>
      <c r="U15" s="5"/>
      <c r="V15" s="5"/>
      <c r="W15" s="5"/>
      <c r="X15" s="5"/>
      <c r="Y15" s="5"/>
    </row>
    <row r="16" spans="1:35" ht="32.65" customHeight="1">
      <c r="A16" s="1"/>
      <c r="B16" s="1"/>
      <c r="C16" s="10"/>
      <c r="D16" s="30" t="s">
        <v>29</v>
      </c>
      <c r="E16" s="31">
        <f>[1]MENU!C22</f>
        <v>0</v>
      </c>
      <c r="F16" s="32">
        <f>IFERROR(VLOOKUP([1]MENU!$AC$19,[1]GILBERTO!$A:$BK,[1]MENU!$AF$18), 1)</f>
        <v>1</v>
      </c>
      <c r="G16" s="31">
        <f>ROUND(E16*F16,2)</f>
        <v>0</v>
      </c>
      <c r="H16" s="35" cm="1">
        <f t="array" ref="H16">IFERROR(SUM(IF(E8=2027,'[1]Juros '!$H$5:$H$690,IF(E8=2026,'[1]Juros '!I5:I690,IF(E8=2025,'[1]Juros '!J5:J690,IF(E8=2024,'[1]Juros '!K5:K690,IF(E8=2023,'[1]Juros '!L5:L690,IF(E8=2022,'[1]Juros '!M5:M690,IF(E8=2021,'[1]Juros '!N5:N690,IF(E8=2020,'[1]Juros '!O5:O690,IF(E8=2019,'[1]Juros '!P5:P690,IF(E8=2018,'[1]Juros '!Q5:Q690,0))))))))))),'[1]Juros '!B691:B692)</f>
        <v>0</v>
      </c>
      <c r="I16" s="31">
        <f>ROUND(G15*H16,2)</f>
        <v>0</v>
      </c>
      <c r="J16" s="31">
        <f>ROUND(G16+I16,2)</f>
        <v>0</v>
      </c>
      <c r="K16" s="34">
        <v>1</v>
      </c>
      <c r="L16" s="31">
        <f>ROUND(J16*K16,2)</f>
        <v>0</v>
      </c>
      <c r="M16" s="4"/>
      <c r="N16" s="4"/>
      <c r="O16" s="1"/>
      <c r="P16" s="5"/>
      <c r="Q16" s="5"/>
      <c r="R16" s="5"/>
      <c r="S16" s="5"/>
      <c r="T16" s="5"/>
      <c r="U16" s="5"/>
      <c r="V16" s="5"/>
      <c r="W16" s="5"/>
      <c r="X16" s="5"/>
      <c r="Y16" s="5"/>
    </row>
    <row r="17" spans="1:25" ht="45.75" customHeight="1">
      <c r="A17" s="1"/>
      <c r="B17" s="1"/>
      <c r="C17" s="10"/>
      <c r="D17" s="36" t="s">
        <v>30</v>
      </c>
      <c r="E17" s="37">
        <f>SUM(E15:E16)</f>
        <v>0</v>
      </c>
      <c r="F17" s="38" t="s">
        <v>27</v>
      </c>
      <c r="G17" s="37">
        <f>SUM(G15:G16)</f>
        <v>0</v>
      </c>
      <c r="H17" s="39" t="s">
        <v>27</v>
      </c>
      <c r="I17" s="37">
        <f>SUM(I15:I16)</f>
        <v>0</v>
      </c>
      <c r="J17" s="37">
        <f>SUM(J15:J16)</f>
        <v>0</v>
      </c>
      <c r="K17" s="38" t="s">
        <v>27</v>
      </c>
      <c r="L17" s="37">
        <f>SUM(L15:L16)</f>
        <v>0</v>
      </c>
      <c r="M17" s="4"/>
      <c r="N17" s="4"/>
      <c r="O17" s="1"/>
      <c r="P17" s="5"/>
      <c r="Q17" s="40"/>
      <c r="R17" s="249" t="str">
        <f ca="1">"DIVISÃO "&amp;UPPER(TEXT(TODAY(),"mmmm"))&amp;"/"&amp;YEAR(TODAY())&amp;""</f>
        <v>DIVISÃO FEVEREIRO/2025</v>
      </c>
      <c r="S17" s="249"/>
      <c r="T17" s="249"/>
      <c r="U17" s="249"/>
      <c r="V17" s="249"/>
      <c r="W17" s="249"/>
      <c r="X17" s="5"/>
      <c r="Y17" s="5"/>
    </row>
    <row r="18" spans="1:25" ht="23.25">
      <c r="A18" s="1"/>
      <c r="B18" s="1"/>
      <c r="C18" s="10"/>
      <c r="D18" s="4"/>
      <c r="E18" s="4"/>
      <c r="F18" s="4"/>
      <c r="G18" s="4"/>
      <c r="H18" s="4"/>
      <c r="I18" s="4"/>
      <c r="J18" s="41" t="s">
        <v>31</v>
      </c>
      <c r="K18" s="250">
        <f>IFERROR('[1]Selic e IPCA'!P8%,0)</f>
        <v>0.36200000000000004</v>
      </c>
      <c r="L18" s="253">
        <f>ROUND(L17*K18,2)</f>
        <v>0</v>
      </c>
      <c r="M18" s="4"/>
      <c r="N18" s="4"/>
      <c r="O18" s="1"/>
      <c r="P18" s="5"/>
      <c r="Q18" s="40"/>
      <c r="R18" s="256" t="s">
        <v>32</v>
      </c>
      <c r="S18" s="257"/>
      <c r="T18" s="257" t="s">
        <v>33</v>
      </c>
      <c r="U18" s="257"/>
      <c r="V18" s="257" t="s">
        <v>34</v>
      </c>
      <c r="W18" s="258"/>
      <c r="X18" s="5"/>
      <c r="Y18" s="5"/>
    </row>
    <row r="19" spans="1:25" ht="23.25">
      <c r="A19" s="1"/>
      <c r="B19" s="1"/>
      <c r="C19" s="10"/>
      <c r="D19" s="4"/>
      <c r="E19" s="4"/>
      <c r="F19" s="4"/>
      <c r="G19" s="4"/>
      <c r="H19" s="4"/>
      <c r="I19" s="4"/>
      <c r="J19" s="42">
        <v>44531</v>
      </c>
      <c r="K19" s="251"/>
      <c r="L19" s="254"/>
      <c r="M19" s="4"/>
      <c r="N19" s="4"/>
      <c r="O19" s="1"/>
      <c r="P19" s="5"/>
      <c r="Q19" s="40"/>
      <c r="R19" s="43">
        <f>$L$21</f>
        <v>0</v>
      </c>
      <c r="S19" s="44">
        <v>1</v>
      </c>
      <c r="T19" s="45">
        <f>R19</f>
        <v>0</v>
      </c>
      <c r="U19" s="46">
        <f>S19</f>
        <v>1</v>
      </c>
      <c r="V19" s="45">
        <f>T19</f>
        <v>0</v>
      </c>
      <c r="W19" s="47">
        <f>U19</f>
        <v>1</v>
      </c>
      <c r="X19" s="5"/>
      <c r="Y19" s="5"/>
    </row>
    <row r="20" spans="1:25" ht="23.25">
      <c r="A20" s="1"/>
      <c r="B20" s="1"/>
      <c r="C20" s="10"/>
      <c r="D20" s="16"/>
      <c r="E20" s="16"/>
      <c r="F20" s="16"/>
      <c r="G20" s="16"/>
      <c r="H20" s="16"/>
      <c r="I20" s="48"/>
      <c r="J20" s="49">
        <f ca="1">DATE(YEAR(TODAY()), MONTH(1 &amp; TEXT(TODAY(), "mmmm")), 1)</f>
        <v>45689</v>
      </c>
      <c r="K20" s="252"/>
      <c r="L20" s="255"/>
      <c r="M20" s="4"/>
      <c r="N20" s="4"/>
      <c r="O20" s="1"/>
      <c r="P20" s="5"/>
      <c r="Q20" s="40"/>
      <c r="R20" s="50">
        <f>G15+G24</f>
        <v>0</v>
      </c>
      <c r="S20" s="51" t="e">
        <f>R20*S19/R19</f>
        <v>#DIV/0!</v>
      </c>
      <c r="T20" s="52">
        <f>G16+I16</f>
        <v>0</v>
      </c>
      <c r="U20" s="51" t="e">
        <f>T20*U19/T19</f>
        <v>#DIV/0!</v>
      </c>
      <c r="V20" s="52">
        <f>L21-L17 + I25-G25</f>
        <v>0</v>
      </c>
      <c r="W20" s="53" t="e">
        <f>V20*W19/V19</f>
        <v>#DIV/0!</v>
      </c>
      <c r="X20" s="5"/>
      <c r="Y20" s="5"/>
    </row>
    <row r="21" spans="1:25" ht="48" customHeight="1">
      <c r="A21" s="1"/>
      <c r="B21" s="1"/>
      <c r="C21" s="10"/>
      <c r="D21" s="16"/>
      <c r="E21" s="16"/>
      <c r="F21" s="16"/>
      <c r="G21" s="16"/>
      <c r="H21" s="16"/>
      <c r="I21" s="48"/>
      <c r="J21" s="243" t="str">
        <f ca="1">"Valor Total Devido em "&amp;UPPER(TEXT(TODAY(),"mmmm"))&amp;"/"&amp;YEAR(TODAY())</f>
        <v>Valor Total Devido em FEVEREIRO/2025</v>
      </c>
      <c r="K21" s="243"/>
      <c r="L21" s="54">
        <f>L17+L18</f>
        <v>0</v>
      </c>
      <c r="M21" s="4"/>
      <c r="N21" s="4"/>
      <c r="O21" s="1"/>
      <c r="P21" s="5"/>
      <c r="Q21" s="40"/>
      <c r="R21" s="5"/>
      <c r="S21" s="5"/>
      <c r="T21" s="5"/>
      <c r="U21" s="5"/>
      <c r="V21" s="5"/>
      <c r="W21" s="5"/>
      <c r="X21" s="5"/>
      <c r="Y21" s="5"/>
    </row>
    <row r="22" spans="1:25" ht="55.5" customHeight="1">
      <c r="A22" s="1"/>
      <c r="B22" s="1"/>
      <c r="C22" s="10"/>
      <c r="D22" s="55"/>
      <c r="E22" s="16"/>
      <c r="F22" s="16"/>
      <c r="G22" s="16"/>
      <c r="H22" s="16"/>
      <c r="I22" s="48"/>
      <c r="J22" s="4"/>
      <c r="K22" s="4"/>
      <c r="L22" s="4"/>
      <c r="M22" s="4"/>
      <c r="N22" s="4"/>
      <c r="O22" s="1"/>
      <c r="P22" s="5"/>
      <c r="Q22" s="40"/>
      <c r="R22" s="56"/>
      <c r="S22" s="269" t="s">
        <v>35</v>
      </c>
      <c r="T22" s="57">
        <f>R20+T20+V20</f>
        <v>0</v>
      </c>
      <c r="U22" s="56"/>
      <c r="V22" s="56"/>
      <c r="W22" s="56"/>
      <c r="X22" s="5"/>
      <c r="Y22" s="5"/>
    </row>
    <row r="23" spans="1:25" ht="38.25" customHeight="1">
      <c r="A23" s="1"/>
      <c r="B23" s="1"/>
      <c r="C23" s="10"/>
      <c r="D23" s="12"/>
      <c r="E23" s="12"/>
      <c r="F23" s="12"/>
      <c r="G23" s="12"/>
      <c r="H23" s="12"/>
      <c r="I23" s="12"/>
      <c r="J23" s="270" t="s">
        <v>36</v>
      </c>
      <c r="K23" s="271"/>
      <c r="L23" s="271"/>
      <c r="M23" s="58">
        <f>L21</f>
        <v>0</v>
      </c>
      <c r="N23" s="59">
        <f>ROUND(L21*$R$11,2)</f>
        <v>0</v>
      </c>
      <c r="O23" s="1"/>
      <c r="P23" s="5"/>
      <c r="Q23" s="40"/>
      <c r="R23" s="56"/>
      <c r="S23" s="269"/>
      <c r="T23" s="60" t="e">
        <f>S20+U20+W20</f>
        <v>#DIV/0!</v>
      </c>
      <c r="U23" s="5"/>
      <c r="V23" s="5"/>
      <c r="W23" s="5"/>
      <c r="X23" s="5"/>
      <c r="Y23" s="5"/>
    </row>
    <row r="24" spans="1:25" ht="33.75" customHeight="1">
      <c r="A24" s="1"/>
      <c r="B24" s="1"/>
      <c r="C24" s="10"/>
      <c r="D24" s="12"/>
      <c r="E24" s="12"/>
      <c r="F24" s="12"/>
      <c r="G24" s="12"/>
      <c r="H24" s="12"/>
      <c r="I24" s="12"/>
      <c r="J24" s="12"/>
      <c r="K24" s="12"/>
      <c r="L24" s="12"/>
      <c r="M24" s="4"/>
      <c r="N24" s="4"/>
      <c r="O24" s="1"/>
      <c r="P24" s="5"/>
      <c r="Q24" s="40"/>
      <c r="R24" s="56"/>
      <c r="S24" s="56"/>
      <c r="T24" s="56"/>
      <c r="U24" s="5"/>
      <c r="V24" s="5"/>
      <c r="W24" s="5"/>
      <c r="X24" s="5"/>
      <c r="Y24" s="5"/>
    </row>
    <row r="25" spans="1:25" ht="38.25" customHeight="1">
      <c r="A25" s="1"/>
      <c r="B25" s="1"/>
      <c r="C25" s="10"/>
      <c r="D25" s="12"/>
      <c r="E25" s="12"/>
      <c r="F25" s="12"/>
      <c r="G25" s="12"/>
      <c r="H25" s="12"/>
      <c r="I25" s="12"/>
      <c r="J25" s="272" t="str">
        <f>"(-)Honorários Contratuais- (" &amp; IF(AND(R5="Sim", V8="Não"), "C", IF(AND(R5="Não", V8="Sim"), "C", IF(AND(R5="Não", V8="Não"), "B", "D"))) &amp; ")– " &amp; TEXT(R9, "0%") &amp; " sobre"</f>
        <v>(-)Honorários Contratuais- (D)– 26% sobre</v>
      </c>
      <c r="K25" s="273"/>
      <c r="L25" s="273"/>
      <c r="M25" s="61">
        <f>L21</f>
        <v>0</v>
      </c>
      <c r="N25" s="62">
        <f>ROUND(L21*$R$9,2)</f>
        <v>0</v>
      </c>
      <c r="O25" s="1"/>
      <c r="P25" s="5"/>
      <c r="Q25" s="40"/>
      <c r="R25" s="63"/>
      <c r="S25" s="64"/>
      <c r="T25" s="259" t="s">
        <v>37</v>
      </c>
      <c r="U25" s="259"/>
      <c r="V25" s="259"/>
      <c r="W25" s="5"/>
      <c r="X25" s="5"/>
      <c r="Y25" s="5"/>
    </row>
    <row r="26" spans="1:25" ht="23.25">
      <c r="A26" s="1"/>
      <c r="B26" s="1"/>
      <c r="C26" s="10"/>
      <c r="D26" s="16"/>
      <c r="E26" s="16"/>
      <c r="F26" s="16"/>
      <c r="G26" s="16"/>
      <c r="H26" s="16"/>
      <c r="I26" s="48"/>
      <c r="J26" s="65"/>
      <c r="K26" s="65"/>
      <c r="L26" s="65"/>
      <c r="M26" s="65"/>
      <c r="N26" s="66"/>
      <c r="O26" s="1"/>
      <c r="P26" s="5"/>
      <c r="Q26" s="40"/>
      <c r="R26" s="67" t="s">
        <v>38</v>
      </c>
      <c r="S26" s="68">
        <f>R19</f>
        <v>0</v>
      </c>
      <c r="T26" s="63"/>
      <c r="U26" s="69"/>
      <c r="V26" s="69"/>
      <c r="W26" s="5"/>
      <c r="X26" s="5"/>
      <c r="Y26" s="5"/>
    </row>
    <row r="27" spans="1:25" ht="25.5" customHeight="1">
      <c r="A27" s="1"/>
      <c r="B27" s="1"/>
      <c r="C27" s="10"/>
      <c r="D27" s="16"/>
      <c r="E27" s="16"/>
      <c r="F27" s="16"/>
      <c r="G27" s="16"/>
      <c r="H27" s="16"/>
      <c r="I27" s="48"/>
      <c r="J27" s="65"/>
      <c r="K27" s="260" t="str">
        <f>IF(AND(R5="Sim",R8="Sim",V8="Sim"),"TOTAL DEVIDO AO EXEQUENTE – (E) = (A + B – C - D)",
IF(AND(R5="Sim",R8="Sim"),"TOTAL DEVIDO AO EXEQUENTE – (D) = (A + "&amp;IF(R5="Sim","B","-B")&amp;" – C)",
IF(AND(R5="Sim",V8="Sim"),"TOTAL DEVIDO AO EXEQUENTE – (D) = (A + "&amp;IF(R5="Sim","B","-B")&amp;" – C)",
IF(AND(R8="Sim",V8="Sim"),"TOTAL DEVIDO AO EXEQUENTE – (D) = (A - "&amp;IF(R5="Sim","B","-B")&amp;" – C)",
IF(AND(R5="Sim",NOT(AND(R8="Sim",V8="Sim"))),"TOTAL DEVIDO AO EXEQUENTE – (C) = (A + "&amp;IF(R5="Sim","B","-B")&amp;")",
IF(AND(R8="Sim",NOT(AND(R5="Sim",V8="Sim"))),"TOTAL DEVIDO AO EXEQUENTE – (C) = (A - "&amp;IF(R5="Sim","B","-B")&amp;")",
IF(AND(V8="Sim",NOT(AND(R5="Sim",R8="Sim"))),"TOTAL DEVIDO AO EXEQUENTE – (C) = (A - "&amp;IF(R5="Sim","B","-B")&amp;")",
"TOTAL DEVIDO AO EXEQUENTE – (A) = (A)")))))))</f>
        <v>TOTAL DEVIDO AO EXEQUENTE – (C) = (A - -B)</v>
      </c>
      <c r="L27" s="261"/>
      <c r="M27" s="262"/>
      <c r="N27" s="70">
        <f>L21+I25 - N23 - N25</f>
        <v>0</v>
      </c>
      <c r="O27" s="1"/>
      <c r="P27" s="5"/>
      <c r="Q27" s="40"/>
      <c r="R27" s="71" t="s">
        <v>39</v>
      </c>
      <c r="S27" s="72" t="e">
        <f>ROUND(S26*S20,2)</f>
        <v>#DIV/0!</v>
      </c>
      <c r="T27" s="63" t="e">
        <f>ROUND($F$59*S27,2)</f>
        <v>#DIV/0!</v>
      </c>
      <c r="U27" s="73" t="e">
        <f>SUM(S27:T27)</f>
        <v>#DIV/0!</v>
      </c>
      <c r="V27" s="74" t="s">
        <v>40</v>
      </c>
      <c r="W27" s="56"/>
      <c r="X27" s="5"/>
      <c r="Y27" s="5"/>
    </row>
    <row r="28" spans="1:25" ht="26.25" customHeight="1">
      <c r="A28" s="1"/>
      <c r="B28" s="1"/>
      <c r="C28" s="10"/>
      <c r="D28" s="16"/>
      <c r="E28" s="16"/>
      <c r="F28" s="16"/>
      <c r="G28" s="16"/>
      <c r="H28" s="16"/>
      <c r="I28" s="48"/>
      <c r="J28" s="12"/>
      <c r="K28" s="12"/>
      <c r="L28" s="12"/>
      <c r="M28" s="12"/>
      <c r="N28" s="12"/>
      <c r="O28" s="1"/>
      <c r="P28" s="5"/>
      <c r="Q28" s="40"/>
      <c r="R28" s="71" t="s">
        <v>41</v>
      </c>
      <c r="S28" s="72" t="e">
        <f>ROUND(U20*S26,2)</f>
        <v>#DIV/0!</v>
      </c>
      <c r="T28" s="63" t="e">
        <f>ROUND($F$59*S28,2)</f>
        <v>#DIV/0!</v>
      </c>
      <c r="U28" s="75" t="e">
        <f>SUM(S28:T28)</f>
        <v>#DIV/0!</v>
      </c>
      <c r="V28" s="76" t="s">
        <v>42</v>
      </c>
      <c r="W28" s="56"/>
      <c r="X28" s="5"/>
      <c r="Y28" s="5"/>
    </row>
    <row r="29" spans="1:25" ht="26.25" customHeight="1">
      <c r="A29" s="1"/>
      <c r="B29" s="1"/>
      <c r="C29" s="10"/>
      <c r="D29" s="16"/>
      <c r="E29" s="16"/>
      <c r="F29" s="16"/>
      <c r="G29" s="16"/>
      <c r="H29" s="2"/>
      <c r="I29" s="48"/>
      <c r="J29" s="12"/>
      <c r="K29" s="12"/>
      <c r="L29" s="12"/>
      <c r="M29" s="12"/>
      <c r="N29" s="12"/>
      <c r="O29" s="77"/>
      <c r="P29" s="56"/>
      <c r="Q29" s="40"/>
      <c r="R29" s="71" t="s">
        <v>43</v>
      </c>
      <c r="S29" s="72" t="e">
        <f>ROUND(S26*W20,2)</f>
        <v>#DIV/0!</v>
      </c>
      <c r="T29" s="78" t="e">
        <f>SUM(T27:T28)</f>
        <v>#DIV/0!</v>
      </c>
      <c r="U29" s="79" t="e">
        <f>SUM(U27:U28)</f>
        <v>#DIV/0!</v>
      </c>
      <c r="V29" s="80" t="s">
        <v>44</v>
      </c>
      <c r="W29" s="5"/>
      <c r="X29" s="5"/>
      <c r="Y29" s="5"/>
    </row>
    <row r="30" spans="1:25" ht="18.600000000000001" customHeight="1">
      <c r="A30" s="1"/>
      <c r="B30" s="1"/>
      <c r="C30" s="10"/>
      <c r="D30" s="2"/>
      <c r="E30" s="2"/>
      <c r="F30" s="2"/>
      <c r="G30" s="2"/>
      <c r="H30" s="16"/>
      <c r="I30" s="48"/>
      <c r="J30" s="12"/>
      <c r="K30" s="12"/>
      <c r="L30" s="12"/>
      <c r="M30" s="12"/>
      <c r="N30" s="12"/>
      <c r="O30" s="1"/>
      <c r="P30" s="5"/>
      <c r="Q30" s="5"/>
      <c r="R30" s="56"/>
      <c r="S30" s="56"/>
      <c r="T30" s="56"/>
      <c r="U30" s="56"/>
      <c r="V30" s="5"/>
      <c r="W30" s="81"/>
      <c r="X30" s="5"/>
      <c r="Y30" s="5"/>
    </row>
    <row r="31" spans="1:25" ht="26.25" customHeight="1">
      <c r="A31" s="1"/>
      <c r="B31" s="1"/>
      <c r="C31" s="10"/>
      <c r="D31" s="2"/>
      <c r="E31" s="2"/>
      <c r="F31" s="2"/>
      <c r="G31" s="2"/>
      <c r="H31" s="2"/>
      <c r="I31" s="48"/>
      <c r="J31" s="12"/>
      <c r="K31" s="12"/>
      <c r="L31" s="12"/>
      <c r="M31" s="12"/>
      <c r="N31" s="12"/>
      <c r="O31" s="1"/>
      <c r="P31" s="56"/>
      <c r="Q31" s="82" t="s">
        <v>45</v>
      </c>
      <c r="R31" s="5"/>
      <c r="S31" s="5"/>
      <c r="T31" s="5"/>
      <c r="U31" s="5"/>
      <c r="V31" s="5"/>
      <c r="W31" s="81"/>
      <c r="X31" s="81"/>
      <c r="Y31" s="5"/>
    </row>
    <row r="32" spans="1:25" ht="18.600000000000001" customHeight="1">
      <c r="A32" s="1"/>
      <c r="B32" s="1"/>
      <c r="C32" s="10"/>
      <c r="D32" s="16"/>
      <c r="E32" s="16"/>
      <c r="F32" s="48"/>
      <c r="G32" s="2"/>
      <c r="H32" s="48"/>
      <c r="I32" s="16"/>
      <c r="J32" s="12"/>
      <c r="K32" s="12"/>
      <c r="L32" s="12"/>
      <c r="M32" s="12"/>
      <c r="N32" s="12"/>
      <c r="O32" s="1"/>
      <c r="P32" s="5"/>
      <c r="Q32" s="5"/>
      <c r="R32" s="5"/>
      <c r="S32" s="5"/>
      <c r="T32" s="5"/>
      <c r="U32" s="5"/>
      <c r="V32" s="5"/>
      <c r="W32" s="81"/>
      <c r="X32" s="81"/>
      <c r="Y32" s="5"/>
    </row>
    <row r="33" spans="1:33" ht="36.75" hidden="1" customHeight="1" outlineLevel="1">
      <c r="A33" s="1"/>
      <c r="B33" s="1"/>
      <c r="C33" s="10"/>
      <c r="D33" s="263" t="s">
        <v>46</v>
      </c>
      <c r="E33" s="263"/>
      <c r="F33" s="263"/>
      <c r="G33" s="263"/>
      <c r="H33" s="263"/>
      <c r="I33" s="263"/>
      <c r="J33" s="263"/>
      <c r="K33" s="263"/>
      <c r="L33" s="263"/>
      <c r="M33" s="263"/>
      <c r="N33" s="263"/>
      <c r="O33" s="1"/>
      <c r="P33" s="5"/>
      <c r="Q33" s="5"/>
      <c r="R33" s="5"/>
      <c r="S33" s="5"/>
      <c r="T33" s="5"/>
      <c r="U33" s="5"/>
      <c r="V33" s="5"/>
      <c r="W33" s="81"/>
      <c r="X33" s="81"/>
      <c r="Y33" s="84"/>
      <c r="AD33" s="6" t="s">
        <v>47</v>
      </c>
    </row>
    <row r="34" spans="1:33" ht="64.5" hidden="1" customHeight="1" outlineLevel="1">
      <c r="A34" s="1"/>
      <c r="B34" s="1"/>
      <c r="C34" s="10"/>
      <c r="D34" s="264" t="s">
        <v>48</v>
      </c>
      <c r="E34" s="264"/>
      <c r="F34" s="264"/>
      <c r="G34" s="1"/>
      <c r="H34" s="1"/>
      <c r="I34" s="1"/>
      <c r="J34" s="1"/>
      <c r="K34" s="4"/>
      <c r="L34" s="4"/>
      <c r="M34" s="4"/>
      <c r="N34" s="4"/>
      <c r="O34" s="1"/>
      <c r="P34" s="5"/>
      <c r="Q34" s="5"/>
      <c r="R34" s="5"/>
      <c r="S34" s="5"/>
      <c r="T34" s="5"/>
      <c r="U34" s="5"/>
      <c r="V34" s="5"/>
      <c r="W34" s="81"/>
      <c r="X34" s="81"/>
      <c r="Y34" s="5"/>
      <c r="AC34" s="6" t="str">
        <f>INDEX([1]GILBERTO!A3:A14,MATCH(AD35,[1]GILBERTO!$B$3:$B$14,0))</f>
        <v>f</v>
      </c>
      <c r="AD34" s="6" t="str">
        <f>LEFT(MID(D43,FIND("Data: ",D43)+6,50),FIND("/",MID(D43,FIND("Data: ",D43)+6,50))-1)</f>
        <v>Junho</v>
      </c>
      <c r="AE34" s="6" t="str">
        <f>RIGHT(D43,LEN(D43)-FIND("/",D43))</f>
        <v>2020</v>
      </c>
      <c r="AG34" s="6">
        <f>HLOOKUP(AF35,[1]GILBERTO!$D$1:$BK$2,2,0)</f>
        <v>60</v>
      </c>
    </row>
    <row r="35" spans="1:33" ht="48.75" hidden="1" customHeight="1" outlineLevel="1">
      <c r="A35" s="1"/>
      <c r="B35" s="1"/>
      <c r="C35" s="10"/>
      <c r="D35" s="265" t="s">
        <v>49</v>
      </c>
      <c r="E35" s="265"/>
      <c r="F35" s="86" t="s">
        <v>50</v>
      </c>
      <c r="G35" s="86" t="s">
        <v>51</v>
      </c>
      <c r="H35" s="86" t="s">
        <v>52</v>
      </c>
      <c r="I35" s="86" t="s">
        <v>53</v>
      </c>
      <c r="J35" s="86" t="s">
        <v>54</v>
      </c>
      <c r="K35" s="4"/>
      <c r="L35" s="4"/>
      <c r="M35" s="4"/>
      <c r="N35" s="4"/>
      <c r="O35" s="1"/>
      <c r="P35" s="5"/>
      <c r="Q35" s="5"/>
      <c r="R35" s="5"/>
      <c r="S35" s="5"/>
      <c r="T35" s="5"/>
      <c r="U35" s="5"/>
      <c r="V35" s="5"/>
      <c r="W35" s="81"/>
      <c r="X35" s="81"/>
      <c r="Y35" s="5"/>
      <c r="AC35" s="6" t="str">
        <f>TEXT(AC34,"")</f>
        <v>f</v>
      </c>
      <c r="AD35" s="6" t="str">
        <f>MID(D43, FIND("Data: ", D43) + 6, FIND("/", D43) - (FIND("Data: ", D43) + 6))</f>
        <v>Junho</v>
      </c>
      <c r="AF35" s="6">
        <f>VALUE(AE34)</f>
        <v>2020</v>
      </c>
    </row>
    <row r="36" spans="1:33" ht="23.25" hidden="1" outlineLevel="1">
      <c r="A36" s="1"/>
      <c r="B36" s="1"/>
      <c r="C36" s="10"/>
      <c r="D36" s="266" t="s">
        <v>55</v>
      </c>
      <c r="E36" s="266"/>
      <c r="F36" s="87">
        <v>159295.76999999999</v>
      </c>
      <c r="G36" s="88">
        <v>1.0851789000000001</v>
      </c>
      <c r="H36" s="89">
        <f>F36*G36-0.12</f>
        <v>172864.288463253</v>
      </c>
      <c r="I36" s="89">
        <v>216241.28</v>
      </c>
      <c r="J36" s="90">
        <v>0</v>
      </c>
      <c r="K36" s="1"/>
      <c r="L36" s="12"/>
      <c r="M36" s="4"/>
      <c r="N36" s="4"/>
      <c r="O36" s="1"/>
      <c r="P36" s="5"/>
      <c r="Q36" s="5"/>
      <c r="R36" s="5"/>
      <c r="S36" s="5"/>
      <c r="T36" s="5"/>
      <c r="U36" s="5"/>
      <c r="V36" s="5"/>
      <c r="W36" s="81"/>
      <c r="X36" s="81"/>
      <c r="Y36" s="5"/>
    </row>
    <row r="37" spans="1:33" ht="23.25" hidden="1" outlineLevel="1">
      <c r="A37" s="1"/>
      <c r="B37" s="1"/>
      <c r="C37" s="10"/>
      <c r="D37" s="268" t="s">
        <v>56</v>
      </c>
      <c r="E37" s="268"/>
      <c r="F37" s="91">
        <f>H36</f>
        <v>172864.288463253</v>
      </c>
      <c r="G37" s="1"/>
      <c r="H37" s="1"/>
      <c r="I37" s="1"/>
      <c r="J37" s="1"/>
      <c r="K37" s="1"/>
      <c r="L37" s="12"/>
      <c r="M37" s="4"/>
      <c r="N37" s="4"/>
      <c r="O37" s="1"/>
      <c r="P37" s="5"/>
      <c r="Q37" s="5"/>
      <c r="R37" s="5"/>
      <c r="S37" s="5"/>
      <c r="T37" s="5"/>
      <c r="U37" s="5"/>
      <c r="V37" s="5"/>
      <c r="W37" s="81"/>
      <c r="X37" s="81"/>
      <c r="Y37" s="5"/>
    </row>
    <row r="38" spans="1:33" ht="23.25" hidden="1" outlineLevel="1">
      <c r="A38" s="1"/>
      <c r="B38" s="1"/>
      <c r="C38" s="10"/>
      <c r="D38" s="268" t="s">
        <v>57</v>
      </c>
      <c r="E38" s="268"/>
      <c r="F38" s="91">
        <f>I36</f>
        <v>216241.28</v>
      </c>
      <c r="G38" s="92"/>
      <c r="H38" s="1"/>
      <c r="I38" s="1"/>
      <c r="J38" s="1"/>
      <c r="K38" s="1"/>
      <c r="L38" s="12"/>
      <c r="M38" s="4"/>
      <c r="N38" s="4"/>
      <c r="O38" s="1"/>
      <c r="P38" s="5"/>
      <c r="Q38" s="5"/>
      <c r="R38" s="5"/>
      <c r="S38" s="5"/>
      <c r="T38" s="5"/>
      <c r="U38" s="5"/>
      <c r="V38" s="5"/>
      <c r="W38" s="81"/>
      <c r="X38" s="81"/>
      <c r="Y38" s="5"/>
    </row>
    <row r="39" spans="1:33" ht="23.25" hidden="1" outlineLevel="1">
      <c r="A39" s="1"/>
      <c r="B39" s="1"/>
      <c r="C39" s="10"/>
      <c r="D39" s="268" t="s">
        <v>58</v>
      </c>
      <c r="E39" s="268"/>
      <c r="F39" s="91">
        <f>H36*J36+I36*J36</f>
        <v>0</v>
      </c>
      <c r="G39" s="92"/>
      <c r="H39" s="1"/>
      <c r="I39" s="1"/>
      <c r="J39" s="1"/>
      <c r="K39" s="1"/>
      <c r="L39" s="12"/>
      <c r="M39" s="4"/>
      <c r="N39" s="4"/>
      <c r="O39" s="1"/>
      <c r="P39" s="5"/>
      <c r="Q39" s="5"/>
      <c r="R39" s="93"/>
      <c r="S39" s="94"/>
      <c r="T39" s="93"/>
      <c r="U39" s="94"/>
      <c r="V39" s="81"/>
      <c r="W39" s="81"/>
      <c r="X39" s="81"/>
      <c r="Y39" s="5"/>
    </row>
    <row r="40" spans="1:33" ht="23.25" hidden="1" outlineLevel="1">
      <c r="A40" s="1"/>
      <c r="B40" s="1"/>
      <c r="C40" s="10"/>
      <c r="D40" s="268" t="s">
        <v>59</v>
      </c>
      <c r="E40" s="268"/>
      <c r="F40" s="91">
        <f>SUM(F37:F39)</f>
        <v>389105.56846325297</v>
      </c>
      <c r="G40" s="1"/>
      <c r="H40" s="1"/>
      <c r="I40" s="1"/>
      <c r="J40" s="1"/>
      <c r="K40" s="1"/>
      <c r="L40" s="12"/>
      <c r="M40" s="4"/>
      <c r="N40" s="4"/>
      <c r="O40" s="1"/>
      <c r="P40" s="5"/>
      <c r="Q40" s="5"/>
      <c r="R40" s="81"/>
      <c r="S40" s="81"/>
      <c r="T40" s="81"/>
      <c r="U40" s="81"/>
      <c r="V40" s="81"/>
      <c r="W40" s="81"/>
      <c r="X40" s="81"/>
      <c r="Y40" s="5"/>
    </row>
    <row r="41" spans="1:33" ht="30.75" hidden="1" customHeight="1" outlineLevel="1">
      <c r="A41" s="1"/>
      <c r="B41" s="1"/>
      <c r="C41" s="10"/>
      <c r="D41" s="83"/>
      <c r="E41" s="83"/>
      <c r="F41" s="83"/>
      <c r="G41" s="83"/>
      <c r="H41" s="83"/>
      <c r="I41" s="83"/>
      <c r="J41" s="83"/>
      <c r="K41" s="1"/>
      <c r="L41" s="12"/>
      <c r="M41" s="4"/>
      <c r="N41" s="4"/>
      <c r="O41" s="1"/>
      <c r="P41" s="5"/>
      <c r="Q41" s="5"/>
      <c r="R41" s="81"/>
      <c r="S41" s="81"/>
      <c r="T41" s="81"/>
      <c r="U41" s="81"/>
      <c r="V41" s="81"/>
      <c r="W41" s="81"/>
      <c r="X41" s="81"/>
      <c r="Y41" s="5"/>
    </row>
    <row r="42" spans="1:33" ht="30.75" hidden="1" customHeight="1" outlineLevel="1">
      <c r="A42" s="1"/>
      <c r="B42" s="1"/>
      <c r="C42" s="10"/>
      <c r="D42" s="264" t="s">
        <v>60</v>
      </c>
      <c r="E42" s="264"/>
      <c r="F42" s="264"/>
      <c r="G42" s="1"/>
      <c r="H42" s="1"/>
      <c r="I42" s="1"/>
      <c r="J42" s="1"/>
      <c r="K42" s="1"/>
      <c r="L42" s="12"/>
      <c r="M42" s="4"/>
      <c r="N42" s="4"/>
      <c r="O42" s="1"/>
      <c r="P42" s="5"/>
      <c r="Q42" s="5"/>
      <c r="R42" s="81"/>
      <c r="S42" s="81"/>
      <c r="T42" s="81"/>
      <c r="U42" s="81"/>
      <c r="V42" s="81"/>
      <c r="W42" s="81"/>
      <c r="X42" s="81"/>
      <c r="Y42" s="5"/>
    </row>
    <row r="43" spans="1:33" ht="68.25" hidden="1" customHeight="1" outlineLevel="1">
      <c r="A43" s="1"/>
      <c r="B43" s="1"/>
      <c r="C43" s="10"/>
      <c r="D43" s="274" t="s">
        <v>61</v>
      </c>
      <c r="E43" s="274"/>
      <c r="F43" s="85" t="s">
        <v>62</v>
      </c>
      <c r="G43" s="1"/>
      <c r="H43" s="1"/>
      <c r="I43" s="1"/>
      <c r="J43" s="1"/>
      <c r="K43" s="1"/>
      <c r="L43" s="12"/>
      <c r="M43" s="4"/>
      <c r="N43" s="4"/>
      <c r="O43" s="1"/>
      <c r="P43" s="5"/>
      <c r="Q43" s="5"/>
      <c r="R43" s="81"/>
      <c r="S43" s="81"/>
      <c r="T43" s="81"/>
      <c r="U43" s="81"/>
      <c r="V43" s="81"/>
      <c r="W43" s="81"/>
      <c r="X43" s="81"/>
      <c r="Y43" s="5"/>
    </row>
    <row r="44" spans="1:33" ht="23.25" hidden="1" outlineLevel="1">
      <c r="A44" s="1"/>
      <c r="B44" s="1"/>
      <c r="C44" s="10"/>
      <c r="D44" s="266" t="s">
        <v>26</v>
      </c>
      <c r="E44" s="266"/>
      <c r="F44" s="95">
        <f>IF($R$6="Não",0,F37*G47)</f>
        <v>0</v>
      </c>
      <c r="G44" s="92"/>
      <c r="H44" s="1"/>
      <c r="I44" s="1"/>
      <c r="J44" s="1"/>
      <c r="K44" s="1"/>
      <c r="L44" s="12"/>
      <c r="M44" s="4"/>
      <c r="N44" s="4"/>
      <c r="O44" s="1"/>
      <c r="P44" s="5"/>
      <c r="Q44" s="5"/>
      <c r="R44" s="81"/>
      <c r="S44" s="81"/>
      <c r="T44" s="81"/>
      <c r="U44" s="81"/>
      <c r="V44" s="81"/>
      <c r="W44" s="81"/>
      <c r="X44" s="81"/>
      <c r="Y44" s="5"/>
    </row>
    <row r="45" spans="1:33" ht="23.25" hidden="1" outlineLevel="1">
      <c r="A45" s="1"/>
      <c r="B45" s="1"/>
      <c r="C45" s="10"/>
      <c r="D45" s="266" t="s">
        <v>29</v>
      </c>
      <c r="E45" s="266"/>
      <c r="F45" s="95">
        <f>IF($R$6="Não",0,F38*G47)</f>
        <v>0</v>
      </c>
      <c r="G45" s="1"/>
      <c r="H45" s="1"/>
      <c r="I45" s="1"/>
      <c r="J45" s="1"/>
      <c r="K45" s="1"/>
      <c r="L45" s="12"/>
      <c r="M45" s="4"/>
      <c r="N45" s="4"/>
      <c r="O45" s="1"/>
      <c r="P45" s="5"/>
      <c r="Q45" s="5"/>
      <c r="R45" s="81"/>
      <c r="S45" s="81"/>
      <c r="T45" s="81"/>
      <c r="U45" s="81"/>
      <c r="V45" s="81"/>
      <c r="W45" s="81"/>
      <c r="X45" s="81"/>
      <c r="Y45" s="5"/>
    </row>
    <row r="46" spans="1:33" ht="23.25" hidden="1" outlineLevel="1">
      <c r="A46" s="1"/>
      <c r="B46" s="1"/>
      <c r="C46" s="10"/>
      <c r="D46" s="266" t="s">
        <v>34</v>
      </c>
      <c r="E46" s="266"/>
      <c r="F46" s="95">
        <f>IF($R$6="Não",0,F39*G47)</f>
        <v>0</v>
      </c>
      <c r="G46" s="1"/>
      <c r="H46" s="1"/>
      <c r="I46" s="1"/>
      <c r="J46" s="1"/>
      <c r="K46" s="1"/>
      <c r="L46" s="12"/>
      <c r="M46" s="4"/>
      <c r="N46" s="4"/>
      <c r="O46" s="1"/>
      <c r="P46" s="5"/>
      <c r="Q46" s="5"/>
      <c r="R46" s="81"/>
      <c r="S46" s="81"/>
      <c r="T46" s="81"/>
      <c r="U46" s="81"/>
      <c r="V46" s="81"/>
      <c r="W46" s="81"/>
      <c r="X46" s="81"/>
      <c r="Y46" s="5"/>
    </row>
    <row r="47" spans="1:33" ht="23.25" hidden="1" outlineLevel="1">
      <c r="A47" s="1"/>
      <c r="B47" s="1"/>
      <c r="C47" s="10"/>
      <c r="D47" s="268" t="s">
        <v>59</v>
      </c>
      <c r="E47" s="268"/>
      <c r="F47" s="96">
        <v>0</v>
      </c>
      <c r="G47" s="97">
        <f>F47/F40</f>
        <v>0</v>
      </c>
      <c r="H47" s="1"/>
      <c r="I47" s="1"/>
      <c r="J47" s="1"/>
      <c r="K47" s="1"/>
      <c r="L47" s="12"/>
      <c r="M47" s="4"/>
      <c r="N47" s="4"/>
      <c r="O47" s="1"/>
      <c r="P47" s="5"/>
      <c r="Q47" s="5"/>
      <c r="R47" s="81"/>
      <c r="S47" s="81"/>
      <c r="T47" s="81"/>
      <c r="U47" s="81"/>
      <c r="V47" s="81"/>
      <c r="W47" s="81"/>
      <c r="X47" s="81"/>
      <c r="Y47" s="5"/>
    </row>
    <row r="48" spans="1:33" ht="40.5" hidden="1" customHeight="1" outlineLevel="1">
      <c r="A48" s="1"/>
      <c r="B48" s="1"/>
      <c r="C48" s="10"/>
      <c r="D48" s="1"/>
      <c r="E48" s="1"/>
      <c r="F48" s="1"/>
      <c r="G48" s="1"/>
      <c r="H48" s="1"/>
      <c r="I48" s="1"/>
      <c r="J48" s="1"/>
      <c r="K48" s="1"/>
      <c r="L48" s="12"/>
      <c r="M48" s="4"/>
      <c r="N48" s="4"/>
      <c r="O48" s="1"/>
      <c r="P48" s="5"/>
      <c r="Q48" s="5"/>
      <c r="R48" s="81"/>
      <c r="S48" s="81"/>
      <c r="T48" s="81"/>
      <c r="U48" s="81"/>
      <c r="V48" s="81"/>
      <c r="W48" s="81"/>
      <c r="X48" s="81"/>
      <c r="Y48" s="5"/>
    </row>
    <row r="49" spans="1:25" ht="23.25" hidden="1" outlineLevel="1">
      <c r="A49" s="1"/>
      <c r="B49" s="1"/>
      <c r="C49" s="10"/>
      <c r="D49" s="264" t="s">
        <v>63</v>
      </c>
      <c r="E49" s="264"/>
      <c r="F49" s="264"/>
      <c r="G49" s="1"/>
      <c r="H49" s="1"/>
      <c r="I49" s="1"/>
      <c r="J49" s="1"/>
      <c r="K49" s="1"/>
      <c r="L49" s="12"/>
      <c r="M49" s="4"/>
      <c r="N49" s="4"/>
      <c r="O49" s="1"/>
      <c r="P49" s="5"/>
      <c r="Q49" s="5"/>
      <c r="R49" s="81"/>
      <c r="S49" s="81"/>
      <c r="T49" s="81"/>
      <c r="U49" s="81"/>
      <c r="V49" s="81"/>
      <c r="W49" s="81"/>
      <c r="X49" s="81"/>
      <c r="Y49" s="5"/>
    </row>
    <row r="50" spans="1:25" ht="46.5" hidden="1" outlineLevel="1">
      <c r="A50" s="1"/>
      <c r="B50" s="1"/>
      <c r="C50" s="10"/>
      <c r="D50" s="275"/>
      <c r="E50" s="276"/>
      <c r="F50" s="98" t="s">
        <v>64</v>
      </c>
      <c r="G50" s="99" t="s">
        <v>65</v>
      </c>
      <c r="H50" s="86" t="s">
        <v>52</v>
      </c>
      <c r="I50" s="1"/>
      <c r="J50" s="1"/>
      <c r="K50" s="1"/>
      <c r="L50" s="12"/>
      <c r="M50" s="4"/>
      <c r="N50" s="4"/>
      <c r="O50" s="1"/>
      <c r="P50" s="5"/>
      <c r="Q50" s="5"/>
      <c r="R50" s="81"/>
      <c r="S50" s="81"/>
      <c r="T50" s="81"/>
      <c r="U50" s="81"/>
      <c r="V50" s="81"/>
      <c r="W50" s="81"/>
      <c r="X50" s="81"/>
      <c r="Y50" s="5"/>
    </row>
    <row r="51" spans="1:25" ht="23.25" hidden="1" outlineLevel="1">
      <c r="A51" s="1"/>
      <c r="B51" s="1"/>
      <c r="C51" s="10"/>
      <c r="D51" s="266" t="s">
        <v>26</v>
      </c>
      <c r="E51" s="266"/>
      <c r="F51" s="95">
        <f>F44</f>
        <v>0</v>
      </c>
      <c r="G51" s="100">
        <f>IFERROR(VLOOKUP($AC$35,[1]GILBERTO!$A:$BK,$AG$34), 1)</f>
        <v>1.1380711999999999</v>
      </c>
      <c r="H51" s="101">
        <f>F51*G51</f>
        <v>0</v>
      </c>
      <c r="I51" s="1"/>
      <c r="J51" s="1"/>
      <c r="K51" s="1"/>
      <c r="L51" s="12"/>
      <c r="M51" s="4"/>
      <c r="N51" s="4"/>
      <c r="O51" s="1"/>
      <c r="P51" s="5"/>
      <c r="Q51" s="5"/>
      <c r="R51" s="81"/>
      <c r="S51" s="81"/>
      <c r="T51" s="81"/>
      <c r="U51" s="81"/>
      <c r="V51" s="81"/>
      <c r="W51" s="81"/>
      <c r="X51" s="81"/>
      <c r="Y51" s="5"/>
    </row>
    <row r="52" spans="1:25" ht="23.25" hidden="1" outlineLevel="1">
      <c r="A52" s="1"/>
      <c r="B52" s="1"/>
      <c r="C52" s="10"/>
      <c r="D52" s="266" t="s">
        <v>29</v>
      </c>
      <c r="E52" s="266"/>
      <c r="F52" s="95">
        <f>F45</f>
        <v>0</v>
      </c>
      <c r="G52" s="100">
        <f>IFERROR(VLOOKUP($AC$35,[1]GILBERTO!$A:$BK,$AG$34), 1)</f>
        <v>1.1380711999999999</v>
      </c>
      <c r="H52" s="101">
        <f>F52*G52</f>
        <v>0</v>
      </c>
      <c r="I52" s="1"/>
      <c r="J52" s="1"/>
      <c r="K52" s="1"/>
      <c r="L52" s="12"/>
      <c r="M52" s="4"/>
      <c r="N52" s="4"/>
      <c r="O52" s="1"/>
      <c r="P52" s="5"/>
      <c r="Q52" s="5"/>
      <c r="R52" s="81"/>
      <c r="S52" s="81"/>
      <c r="T52" s="81"/>
      <c r="U52" s="81"/>
      <c r="V52" s="81"/>
      <c r="W52" s="81"/>
      <c r="X52" s="81"/>
      <c r="Y52" s="5"/>
    </row>
    <row r="53" spans="1:25" ht="23.25" hidden="1" outlineLevel="1">
      <c r="A53" s="1"/>
      <c r="B53" s="1"/>
      <c r="C53" s="10"/>
      <c r="D53" s="267" t="s">
        <v>66</v>
      </c>
      <c r="E53" s="267"/>
      <c r="F53" s="91">
        <f>SUM(F51:F52)</f>
        <v>0</v>
      </c>
      <c r="G53" s="91" t="s">
        <v>27</v>
      </c>
      <c r="H53" s="91">
        <f>SUM(H51:H52)</f>
        <v>0</v>
      </c>
      <c r="I53" s="1"/>
      <c r="J53" s="1"/>
      <c r="K53" s="1"/>
      <c r="L53" s="12"/>
      <c r="M53" s="4"/>
      <c r="N53" s="4"/>
      <c r="O53" s="1"/>
      <c r="P53" s="5"/>
      <c r="Q53" s="5"/>
      <c r="R53" s="81"/>
      <c r="S53" s="81"/>
      <c r="T53" s="81"/>
      <c r="U53" s="81"/>
      <c r="V53" s="81"/>
      <c r="W53" s="81"/>
      <c r="X53" s="81"/>
      <c r="Y53" s="5"/>
    </row>
    <row r="54" spans="1:25" ht="23.25" hidden="1" outlineLevel="1">
      <c r="A54" s="1"/>
      <c r="B54" s="1"/>
      <c r="C54" s="10"/>
      <c r="D54" s="266" t="s">
        <v>67</v>
      </c>
      <c r="E54" s="266"/>
      <c r="F54" s="102" t="e">
        <f>SUM('[1]Juros '!W5:W690)</f>
        <v>#REF!</v>
      </c>
      <c r="G54" s="1"/>
      <c r="H54" s="1"/>
      <c r="I54" s="1"/>
      <c r="J54" s="1"/>
      <c r="K54" s="1"/>
      <c r="L54" s="12"/>
      <c r="M54" s="4"/>
      <c r="N54" s="4"/>
      <c r="O54" s="1"/>
      <c r="P54" s="5"/>
      <c r="Q54" s="5"/>
      <c r="R54" s="81"/>
      <c r="S54" s="81"/>
      <c r="T54" s="81"/>
      <c r="U54" s="81"/>
      <c r="V54" s="81"/>
      <c r="W54" s="81"/>
      <c r="X54" s="81"/>
      <c r="Y54" s="5"/>
    </row>
    <row r="55" spans="1:25" ht="30.75" hidden="1" customHeight="1" outlineLevel="1">
      <c r="A55" s="1"/>
      <c r="B55" s="1"/>
      <c r="C55" s="10"/>
      <c r="D55" s="267" t="s">
        <v>68</v>
      </c>
      <c r="E55" s="267"/>
      <c r="F55" s="91">
        <f>H51</f>
        <v>0</v>
      </c>
      <c r="G55" s="1"/>
      <c r="H55" s="1"/>
      <c r="I55" s="1"/>
      <c r="J55" s="1"/>
      <c r="K55" s="1"/>
      <c r="L55" s="12"/>
      <c r="M55" s="4"/>
      <c r="N55" s="4"/>
      <c r="O55" s="1"/>
      <c r="P55" s="5"/>
      <c r="Q55" s="5"/>
      <c r="R55" s="93"/>
      <c r="S55" s="81"/>
      <c r="T55" s="81"/>
      <c r="U55" s="81"/>
      <c r="V55" s="81"/>
      <c r="W55" s="81"/>
      <c r="X55" s="81"/>
      <c r="Y55" s="5"/>
    </row>
    <row r="56" spans="1:25" ht="33" hidden="1" customHeight="1" outlineLevel="1">
      <c r="A56" s="1"/>
      <c r="B56" s="1"/>
      <c r="C56" s="10"/>
      <c r="D56" s="267" t="s">
        <v>69</v>
      </c>
      <c r="E56" s="267"/>
      <c r="F56" s="91" t="e">
        <f>H52+H51*F54</f>
        <v>#REF!</v>
      </c>
      <c r="G56" s="1"/>
      <c r="H56" s="1"/>
      <c r="I56" s="1"/>
      <c r="J56" s="1"/>
      <c r="K56" s="1"/>
      <c r="L56" s="12"/>
      <c r="M56" s="4"/>
      <c r="N56" s="4"/>
      <c r="O56" s="1"/>
      <c r="P56" s="5"/>
      <c r="Q56" s="5"/>
      <c r="R56" s="93"/>
      <c r="S56" s="81"/>
      <c r="T56" s="81"/>
      <c r="U56" s="81"/>
      <c r="V56" s="81"/>
      <c r="W56" s="81"/>
      <c r="X56" s="81"/>
      <c r="Y56" s="5"/>
    </row>
    <row r="57" spans="1:25" ht="33.75" hidden="1" customHeight="1" outlineLevel="1">
      <c r="A57" s="1"/>
      <c r="B57" s="1"/>
      <c r="C57" s="10"/>
      <c r="D57" s="266" t="s">
        <v>70</v>
      </c>
      <c r="E57" s="266"/>
      <c r="F57" s="103">
        <f>J36</f>
        <v>0</v>
      </c>
      <c r="G57" s="104"/>
      <c r="H57" s="92"/>
      <c r="I57" s="1"/>
      <c r="J57" s="1"/>
      <c r="K57" s="1"/>
      <c r="L57" s="12"/>
      <c r="M57" s="4"/>
      <c r="N57" s="4"/>
      <c r="O57" s="1"/>
      <c r="P57" s="5"/>
      <c r="Q57" s="5"/>
      <c r="R57" s="93"/>
      <c r="S57" s="81"/>
      <c r="T57" s="81"/>
      <c r="U57" s="81"/>
      <c r="V57" s="81"/>
      <c r="W57" s="81"/>
      <c r="X57" s="81"/>
      <c r="Y57" s="5"/>
    </row>
    <row r="58" spans="1:25" ht="23.25" hidden="1" outlineLevel="1">
      <c r="A58" s="1"/>
      <c r="B58" s="1"/>
      <c r="C58" s="10"/>
      <c r="D58" s="266" t="s">
        <v>71</v>
      </c>
      <c r="E58" s="266"/>
      <c r="F58" s="90">
        <f>K18</f>
        <v>0.36200000000000004</v>
      </c>
      <c r="G58" s="104"/>
      <c r="H58" s="1"/>
      <c r="I58" s="1"/>
      <c r="J58" s="1"/>
      <c r="K58" s="1"/>
      <c r="L58" s="12"/>
      <c r="M58" s="4"/>
      <c r="N58" s="4"/>
      <c r="O58" s="1"/>
      <c r="P58" s="5"/>
      <c r="Q58" s="5"/>
      <c r="R58" s="93"/>
      <c r="S58" s="81"/>
      <c r="T58" s="81"/>
      <c r="U58" s="81"/>
      <c r="V58" s="81"/>
      <c r="W58" s="81"/>
      <c r="X58" s="81"/>
      <c r="Y58" s="5"/>
    </row>
    <row r="59" spans="1:25" ht="26.25" hidden="1" customHeight="1" outlineLevel="1">
      <c r="A59" s="1"/>
      <c r="B59" s="1"/>
      <c r="C59" s="10"/>
      <c r="D59" s="279" t="s">
        <v>72</v>
      </c>
      <c r="E59" s="280"/>
      <c r="F59" s="105">
        <f>SUM(F57:F58)</f>
        <v>0.36200000000000004</v>
      </c>
      <c r="G59" s="106" t="e">
        <f>F55*F59+(F56*F59)</f>
        <v>#REF!</v>
      </c>
      <c r="H59" s="1"/>
      <c r="I59" s="1"/>
      <c r="J59" s="1"/>
      <c r="K59" s="1"/>
      <c r="L59" s="12"/>
      <c r="M59" s="4"/>
      <c r="N59" s="4"/>
      <c r="O59" s="1"/>
      <c r="P59" s="5"/>
      <c r="Q59" s="5"/>
      <c r="R59" s="93"/>
      <c r="S59" s="81"/>
      <c r="T59" s="81"/>
      <c r="U59" s="81"/>
      <c r="V59" s="81"/>
      <c r="W59" s="81"/>
      <c r="X59" s="81"/>
      <c r="Y59" s="5"/>
    </row>
    <row r="60" spans="1:25" ht="33" hidden="1" customHeight="1" outlineLevel="1">
      <c r="A60" s="1"/>
      <c r="B60" s="1"/>
      <c r="C60" s="10"/>
      <c r="D60" s="281" t="str">
        <f ca="1">"TOTAL ATUALIZADO EM "&amp;UPPER(TEXT(TODAY(),"mmmm"))&amp;"/"&amp;YEAR(TODAY())&amp;""</f>
        <v>TOTAL ATUALIZADO EM FEVEREIRO/2025</v>
      </c>
      <c r="E60" s="282"/>
      <c r="F60" s="283"/>
      <c r="G60" s="107">
        <f>IF(R6="Não",0,G59+F56+F55)</f>
        <v>0</v>
      </c>
      <c r="H60" s="1"/>
      <c r="I60" s="1"/>
      <c r="J60" s="1"/>
      <c r="K60" s="1"/>
      <c r="L60" s="12"/>
      <c r="M60" s="4"/>
      <c r="N60" s="4"/>
      <c r="O60" s="1"/>
      <c r="P60" s="5"/>
      <c r="Q60" s="5"/>
      <c r="R60" s="93"/>
      <c r="S60" s="81"/>
      <c r="T60" s="81"/>
      <c r="U60" s="81"/>
      <c r="V60" s="81"/>
      <c r="W60" s="81"/>
      <c r="X60" s="81"/>
      <c r="Y60" s="5"/>
    </row>
    <row r="61" spans="1:25" ht="24.75" hidden="1" customHeight="1" outlineLevel="1">
      <c r="A61" s="1"/>
      <c r="B61" s="1"/>
      <c r="C61" s="10"/>
      <c r="D61" s="1"/>
      <c r="E61" s="1"/>
      <c r="F61" s="1"/>
      <c r="G61" s="1"/>
      <c r="H61" s="1"/>
      <c r="I61" s="1"/>
      <c r="J61" s="1"/>
      <c r="K61" s="1"/>
      <c r="L61" s="12"/>
      <c r="M61" s="4"/>
      <c r="N61" s="4"/>
      <c r="O61" s="1"/>
      <c r="P61" s="5"/>
      <c r="Q61" s="5"/>
      <c r="R61" s="93"/>
      <c r="S61" s="81"/>
      <c r="T61" s="81"/>
      <c r="U61" s="81"/>
      <c r="V61" s="81"/>
      <c r="W61" s="81"/>
      <c r="X61" s="81"/>
      <c r="Y61" s="5"/>
    </row>
    <row r="62" spans="1:25" ht="18.600000000000001" hidden="1" customHeight="1" outlineLevel="1">
      <c r="A62" s="1"/>
      <c r="B62" s="1"/>
      <c r="C62" s="10"/>
      <c r="D62" s="1"/>
      <c r="E62" s="1"/>
      <c r="F62" s="1"/>
      <c r="G62" s="1"/>
      <c r="H62" s="1"/>
      <c r="I62" s="1"/>
      <c r="J62" s="1"/>
      <c r="K62" s="1"/>
      <c r="L62" s="12"/>
      <c r="M62" s="4"/>
      <c r="N62" s="4"/>
      <c r="O62" s="1"/>
      <c r="P62" s="5"/>
      <c r="Q62" s="5"/>
      <c r="R62" s="81"/>
      <c r="S62" s="81"/>
      <c r="T62" s="81"/>
      <c r="U62" s="81"/>
      <c r="V62" s="81"/>
      <c r="W62" s="81"/>
      <c r="X62" s="81"/>
      <c r="Y62" s="5"/>
    </row>
    <row r="63" spans="1:25" ht="28.5" hidden="1" customHeight="1" outlineLevel="1">
      <c r="A63" s="1"/>
      <c r="B63" s="1"/>
      <c r="C63" s="10"/>
      <c r="D63" s="108"/>
      <c r="E63" s="109"/>
      <c r="F63" s="110"/>
      <c r="G63" s="110"/>
      <c r="H63" s="110"/>
      <c r="I63" s="110"/>
      <c r="J63" s="277" t="s">
        <v>73</v>
      </c>
      <c r="K63" s="278"/>
      <c r="L63" s="278"/>
      <c r="M63" s="111" t="str">
        <f ca="1">UPPER(CONCATENATE(TEXT(TODAY(),"mmmm"),"/",TEXT(TODAY(),"aaaa")))</f>
        <v>FEVEREIRO/2025</v>
      </c>
      <c r="N63" s="112">
        <f>N27-G60</f>
        <v>0</v>
      </c>
      <c r="O63" s="1"/>
      <c r="P63" s="5"/>
      <c r="Q63" s="5"/>
      <c r="R63" s="81"/>
      <c r="S63" s="81"/>
      <c r="T63" s="81"/>
      <c r="U63" s="81"/>
      <c r="V63" s="81"/>
      <c r="W63" s="81"/>
      <c r="X63" s="81"/>
      <c r="Y63" s="5"/>
    </row>
    <row r="64" spans="1:25" ht="18.600000000000001" customHeight="1" collapsed="1">
      <c r="A64" s="1"/>
      <c r="B64" s="1"/>
      <c r="C64" s="10"/>
      <c r="D64" s="16"/>
      <c r="E64" s="16"/>
      <c r="F64" s="48"/>
      <c r="G64" s="2"/>
      <c r="H64" s="48"/>
      <c r="I64" s="16"/>
      <c r="J64" s="16"/>
      <c r="K64" s="1"/>
      <c r="L64" s="12"/>
      <c r="M64" s="4"/>
      <c r="N64" s="4"/>
      <c r="O64" s="1"/>
      <c r="P64" s="5"/>
      <c r="Q64" s="5"/>
      <c r="R64" s="5"/>
      <c r="S64" s="81"/>
      <c r="T64" s="81"/>
      <c r="U64" s="81"/>
      <c r="V64" s="81"/>
      <c r="W64" s="81"/>
      <c r="X64" s="81"/>
      <c r="Y64" s="5"/>
    </row>
    <row r="65" spans="1:25" ht="18.600000000000001" customHeight="1">
      <c r="A65" s="1"/>
      <c r="B65" s="1"/>
      <c r="C65" s="10"/>
      <c r="D65" s="16"/>
      <c r="E65" s="16"/>
      <c r="F65" s="48"/>
      <c r="G65" s="2"/>
      <c r="H65" s="48"/>
      <c r="I65" s="16"/>
      <c r="J65" s="16"/>
      <c r="K65" s="1"/>
      <c r="L65" s="12"/>
      <c r="M65" s="4"/>
      <c r="N65" s="4"/>
      <c r="O65" s="1"/>
      <c r="P65" s="5"/>
      <c r="Q65" s="5"/>
      <c r="R65" s="5"/>
      <c r="S65" s="81"/>
      <c r="T65" s="81"/>
      <c r="U65" s="81"/>
      <c r="V65" s="81"/>
      <c r="W65" s="81"/>
      <c r="X65" s="81"/>
      <c r="Y65" s="5"/>
    </row>
    <row r="66" spans="1:25" ht="23.25" hidden="1" outlineLevel="1">
      <c r="A66" s="1"/>
      <c r="B66" s="1"/>
      <c r="C66" s="239" t="s">
        <v>74</v>
      </c>
      <c r="D66" s="239"/>
      <c r="E66" s="239"/>
      <c r="F66" s="239"/>
      <c r="G66" s="239"/>
      <c r="H66" s="239"/>
      <c r="I66" s="239"/>
      <c r="J66" s="239"/>
      <c r="K66" s="239"/>
      <c r="L66" s="239"/>
      <c r="M66" s="239"/>
      <c r="N66" s="239"/>
      <c r="O66" s="1"/>
      <c r="P66" s="5"/>
      <c r="Q66" s="5"/>
      <c r="R66" s="5"/>
      <c r="S66" s="81"/>
      <c r="T66" s="81"/>
      <c r="U66" s="81"/>
      <c r="V66" s="81"/>
      <c r="W66" s="81"/>
      <c r="X66" s="81"/>
      <c r="Y66" s="5"/>
    </row>
    <row r="67" spans="1:25" ht="67.5" hidden="1" outlineLevel="1">
      <c r="A67" s="1"/>
      <c r="B67" s="1"/>
      <c r="C67" s="10"/>
      <c r="D67" s="284" t="s">
        <v>75</v>
      </c>
      <c r="E67" s="285"/>
      <c r="F67" s="113" t="s">
        <v>76</v>
      </c>
      <c r="G67" s="114" t="s">
        <v>77</v>
      </c>
      <c r="H67" s="114" t="s">
        <v>78</v>
      </c>
      <c r="I67" s="114" t="s">
        <v>79</v>
      </c>
      <c r="J67" s="114" t="s">
        <v>80</v>
      </c>
      <c r="K67" s="114" t="s">
        <v>81</v>
      </c>
      <c r="L67" s="114" t="s">
        <v>82</v>
      </c>
      <c r="M67" s="114" t="s">
        <v>83</v>
      </c>
      <c r="N67" s="114" t="s">
        <v>84</v>
      </c>
      <c r="O67" s="1"/>
      <c r="P67" s="5"/>
      <c r="Q67" s="5"/>
      <c r="R67" s="5"/>
      <c r="S67" s="81"/>
      <c r="T67" s="81"/>
      <c r="U67" s="81"/>
      <c r="V67" s="81"/>
      <c r="W67" s="81"/>
      <c r="X67" s="81"/>
      <c r="Y67" s="5"/>
    </row>
    <row r="68" spans="1:25" ht="23.25" hidden="1" outlineLevel="1">
      <c r="A68" s="1"/>
      <c r="B68" s="1"/>
      <c r="C68" s="10"/>
      <c r="D68" s="286"/>
      <c r="E68" s="287"/>
      <c r="F68" s="115"/>
      <c r="G68" s="116">
        <f t="shared" ref="G68:G70" si="0">$L$21*F68</f>
        <v>0</v>
      </c>
      <c r="H68" s="116">
        <f t="shared" ref="H68:H70" si="1">G68*0.26</f>
        <v>0</v>
      </c>
      <c r="I68" s="116">
        <f t="shared" ref="I68:I70" si="2">G68*0.01</f>
        <v>0</v>
      </c>
      <c r="J68" s="116">
        <f t="shared" ref="J68:J70" si="3">$G$60</f>
        <v>0</v>
      </c>
      <c r="K68" s="116">
        <f t="shared" ref="K68:K70" si="4">G68-H68-I68-J68</f>
        <v>0</v>
      </c>
      <c r="L68" s="116">
        <f>F68*$U$95</f>
        <v>0</v>
      </c>
      <c r="M68" s="116" t="e">
        <f>F68*$V$111</f>
        <v>#DIV/0!</v>
      </c>
      <c r="N68" s="117" t="e">
        <f>$V$107*F68</f>
        <v>#DIV/0!</v>
      </c>
      <c r="O68" s="1"/>
      <c r="P68" s="5"/>
      <c r="Q68" s="5"/>
      <c r="R68" s="5"/>
      <c r="S68" s="81"/>
      <c r="T68" s="81"/>
      <c r="U68" s="81"/>
      <c r="V68" s="81"/>
      <c r="W68" s="81"/>
      <c r="X68" s="81"/>
      <c r="Y68" s="5"/>
    </row>
    <row r="69" spans="1:25" ht="23.25" hidden="1" outlineLevel="1">
      <c r="A69" s="1"/>
      <c r="B69" s="1"/>
      <c r="C69" s="10"/>
      <c r="D69" s="286"/>
      <c r="E69" s="287"/>
      <c r="F69" s="115"/>
      <c r="G69" s="116">
        <f t="shared" si="0"/>
        <v>0</v>
      </c>
      <c r="H69" s="116">
        <f t="shared" si="1"/>
        <v>0</v>
      </c>
      <c r="I69" s="116">
        <f t="shared" si="2"/>
        <v>0</v>
      </c>
      <c r="J69" s="116">
        <f t="shared" si="3"/>
        <v>0</v>
      </c>
      <c r="K69" s="116">
        <f t="shared" si="4"/>
        <v>0</v>
      </c>
      <c r="L69" s="116">
        <f>F69*$U$95</f>
        <v>0</v>
      </c>
      <c r="M69" s="116" t="e">
        <f>F69*$V$111</f>
        <v>#DIV/0!</v>
      </c>
      <c r="N69" s="117" t="e">
        <f>$V$107*F69</f>
        <v>#DIV/0!</v>
      </c>
      <c r="O69" s="1"/>
      <c r="P69" s="5"/>
      <c r="Q69" s="5"/>
      <c r="R69" s="5"/>
      <c r="S69" s="81"/>
      <c r="T69" s="81"/>
      <c r="U69" s="81"/>
      <c r="V69" s="81"/>
      <c r="W69" s="81"/>
      <c r="X69" s="81"/>
      <c r="Y69" s="5"/>
    </row>
    <row r="70" spans="1:25" ht="23.25" hidden="1" outlineLevel="1">
      <c r="A70" s="1"/>
      <c r="B70" s="1"/>
      <c r="C70" s="10"/>
      <c r="D70" s="286"/>
      <c r="E70" s="287"/>
      <c r="F70" s="115"/>
      <c r="G70" s="116">
        <f t="shared" si="0"/>
        <v>0</v>
      </c>
      <c r="H70" s="116">
        <f t="shared" si="1"/>
        <v>0</v>
      </c>
      <c r="I70" s="116">
        <f t="shared" si="2"/>
        <v>0</v>
      </c>
      <c r="J70" s="116">
        <f t="shared" si="3"/>
        <v>0</v>
      </c>
      <c r="K70" s="116">
        <f t="shared" si="4"/>
        <v>0</v>
      </c>
      <c r="L70" s="116">
        <f>F70*$U$95</f>
        <v>0</v>
      </c>
      <c r="M70" s="116" t="e">
        <f>F70*$V$111</f>
        <v>#DIV/0!</v>
      </c>
      <c r="N70" s="117" t="e">
        <f>$V$107*F70</f>
        <v>#DIV/0!</v>
      </c>
      <c r="O70" s="1"/>
      <c r="P70" s="5"/>
      <c r="Q70" s="5"/>
      <c r="R70" s="5"/>
      <c r="S70" s="81"/>
      <c r="T70" s="81"/>
      <c r="U70" s="81"/>
      <c r="V70" s="81"/>
      <c r="W70" s="81"/>
      <c r="X70" s="81"/>
      <c r="Y70" s="5"/>
    </row>
    <row r="71" spans="1:25" ht="23.25" hidden="1" outlineLevel="1">
      <c r="A71" s="1"/>
      <c r="B71" s="1"/>
      <c r="C71" s="10"/>
      <c r="D71" s="289" t="s">
        <v>59</v>
      </c>
      <c r="E71" s="290"/>
      <c r="F71" s="118">
        <f t="shared" ref="F71:N71" si="5">SUM(F68:F70)</f>
        <v>0</v>
      </c>
      <c r="G71" s="119">
        <f t="shared" si="5"/>
        <v>0</v>
      </c>
      <c r="H71" s="119">
        <f t="shared" si="5"/>
        <v>0</v>
      </c>
      <c r="I71" s="119">
        <f t="shared" si="5"/>
        <v>0</v>
      </c>
      <c r="J71" s="119">
        <f t="shared" si="5"/>
        <v>0</v>
      </c>
      <c r="K71" s="119">
        <f t="shared" si="5"/>
        <v>0</v>
      </c>
      <c r="L71" s="119">
        <f t="shared" si="5"/>
        <v>0</v>
      </c>
      <c r="M71" s="119" t="e">
        <f t="shared" si="5"/>
        <v>#DIV/0!</v>
      </c>
      <c r="N71" s="120" t="e">
        <f t="shared" si="5"/>
        <v>#DIV/0!</v>
      </c>
      <c r="O71" s="1"/>
      <c r="P71" s="5"/>
      <c r="Q71" s="5"/>
      <c r="R71" s="5"/>
      <c r="S71" s="81"/>
      <c r="T71" s="81"/>
      <c r="U71" s="81"/>
      <c r="V71" s="81"/>
      <c r="W71" s="81"/>
      <c r="X71" s="81"/>
      <c r="Y71" s="5"/>
    </row>
    <row r="72" spans="1:25" ht="18.600000000000001" hidden="1" customHeight="1" outlineLevel="1">
      <c r="A72" s="1"/>
      <c r="B72" s="1"/>
      <c r="C72" s="10"/>
      <c r="D72" s="16"/>
      <c r="E72" s="16"/>
      <c r="F72" s="48"/>
      <c r="G72" s="2"/>
      <c r="H72" s="48"/>
      <c r="I72" s="16"/>
      <c r="J72" s="16"/>
      <c r="K72" s="1"/>
      <c r="L72" s="12"/>
      <c r="M72" s="4"/>
      <c r="N72" s="4"/>
      <c r="O72" s="1"/>
      <c r="P72" s="5"/>
      <c r="Q72" s="5"/>
      <c r="R72" s="5"/>
      <c r="S72" s="81"/>
      <c r="T72" s="81"/>
      <c r="U72" s="81"/>
      <c r="V72" s="81"/>
      <c r="W72" s="81"/>
      <c r="X72" s="81"/>
      <c r="Y72" s="5"/>
    </row>
    <row r="73" spans="1:25" ht="23.25" collapsed="1">
      <c r="A73" s="1"/>
      <c r="B73" s="1"/>
      <c r="C73" s="10"/>
      <c r="D73" s="16"/>
      <c r="E73" s="16"/>
      <c r="F73" s="48"/>
      <c r="G73" s="2"/>
      <c r="H73" s="48"/>
      <c r="I73" s="16"/>
      <c r="J73" s="16"/>
      <c r="K73" s="1"/>
      <c r="L73" s="12"/>
      <c r="M73" s="4"/>
      <c r="N73" s="4"/>
      <c r="O73" s="1"/>
      <c r="P73" s="5"/>
      <c r="Q73" s="5"/>
      <c r="R73" s="5"/>
      <c r="S73" s="81"/>
      <c r="T73" s="81"/>
      <c r="U73" s="81"/>
      <c r="V73" s="81"/>
      <c r="W73" s="81"/>
      <c r="X73" s="81"/>
      <c r="Y73" s="5"/>
    </row>
    <row r="74" spans="1:25" ht="23.25">
      <c r="A74" s="1"/>
      <c r="B74" s="1"/>
      <c r="C74" s="10"/>
      <c r="D74" s="16"/>
      <c r="E74" s="16"/>
      <c r="F74" s="48"/>
      <c r="G74" s="2"/>
      <c r="H74" s="48"/>
      <c r="I74" s="16"/>
      <c r="J74" s="16"/>
      <c r="K74" s="1"/>
      <c r="L74" s="12"/>
      <c r="M74" s="4"/>
      <c r="N74" s="4"/>
      <c r="O74" s="1"/>
      <c r="P74" s="5"/>
      <c r="Q74" s="5"/>
      <c r="R74" s="291" t="s">
        <v>85</v>
      </c>
      <c r="S74" s="292"/>
      <c r="T74" s="81"/>
      <c r="U74" s="296" t="s">
        <v>86</v>
      </c>
      <c r="V74" s="296"/>
      <c r="W74" s="81"/>
      <c r="X74" s="81"/>
      <c r="Y74" s="5"/>
    </row>
    <row r="75" spans="1:25" ht="23.25">
      <c r="A75" s="1"/>
      <c r="B75" s="1"/>
      <c r="C75" s="10"/>
      <c r="D75" s="16"/>
      <c r="E75" s="16"/>
      <c r="F75" s="48"/>
      <c r="G75" s="2"/>
      <c r="H75" s="48"/>
      <c r="I75" s="16"/>
      <c r="J75" s="16"/>
      <c r="K75" s="1"/>
      <c r="L75" s="12"/>
      <c r="M75" s="4"/>
      <c r="N75" s="4"/>
      <c r="O75" s="1"/>
      <c r="P75" s="5"/>
      <c r="Q75" s="5"/>
      <c r="R75" s="121" t="s">
        <v>87</v>
      </c>
      <c r="S75" s="122">
        <f>S26</f>
        <v>0</v>
      </c>
      <c r="T75" s="81"/>
      <c r="U75" s="123" t="s">
        <v>25</v>
      </c>
      <c r="V75" s="124">
        <v>0.73</v>
      </c>
      <c r="W75" s="81"/>
      <c r="X75" s="81"/>
      <c r="Y75" s="5"/>
    </row>
    <row r="76" spans="1:25" ht="46.5">
      <c r="A76" s="1"/>
      <c r="B76" s="1"/>
      <c r="C76" s="10"/>
      <c r="D76" s="16"/>
      <c r="E76" s="16"/>
      <c r="F76" s="48"/>
      <c r="G76" s="2"/>
      <c r="H76" s="48"/>
      <c r="I76" s="16"/>
      <c r="J76" s="16"/>
      <c r="K76" s="1"/>
      <c r="L76" s="12"/>
      <c r="M76" s="4"/>
      <c r="N76" s="4"/>
      <c r="O76" s="1"/>
      <c r="P76" s="5"/>
      <c r="Q76" s="5"/>
      <c r="R76" s="125" t="s">
        <v>88</v>
      </c>
      <c r="S76" s="126">
        <f>ROUND($S$75*V76,2)</f>
        <v>0</v>
      </c>
      <c r="T76" s="81"/>
      <c r="U76" s="125" t="s">
        <v>89</v>
      </c>
      <c r="V76" s="127">
        <v>0.14000000000000001</v>
      </c>
      <c r="W76" s="81"/>
      <c r="X76" s="81"/>
      <c r="Y76" s="5"/>
    </row>
    <row r="77" spans="1:25" ht="39.75" customHeight="1">
      <c r="A77" s="1"/>
      <c r="B77" s="1"/>
      <c r="C77" s="10"/>
      <c r="D77" s="16"/>
      <c r="E77" s="16"/>
      <c r="F77" s="48"/>
      <c r="G77" s="2"/>
      <c r="H77" s="48"/>
      <c r="I77" s="16"/>
      <c r="J77" s="16"/>
      <c r="K77" s="1"/>
      <c r="L77" s="12"/>
      <c r="M77" s="4"/>
      <c r="N77" s="4"/>
      <c r="O77" s="1"/>
      <c r="P77" s="5"/>
      <c r="Q77" s="5"/>
      <c r="R77" s="128" t="s">
        <v>90</v>
      </c>
      <c r="S77" s="129">
        <f>ROUND(S75*V77,2)</f>
        <v>0</v>
      </c>
      <c r="T77" s="81"/>
      <c r="U77" s="128" t="s">
        <v>91</v>
      </c>
      <c r="V77" s="130">
        <v>0.02</v>
      </c>
      <c r="W77" s="81"/>
      <c r="X77" s="81"/>
      <c r="Y77" s="5"/>
    </row>
    <row r="78" spans="1:25" ht="46.5">
      <c r="A78" s="1"/>
      <c r="B78" s="1"/>
      <c r="C78" s="10"/>
      <c r="D78" s="16"/>
      <c r="E78" s="16"/>
      <c r="F78" s="48"/>
      <c r="G78" s="2"/>
      <c r="H78" s="48"/>
      <c r="I78" s="16"/>
      <c r="J78" s="16"/>
      <c r="K78" s="1"/>
      <c r="L78" s="12"/>
      <c r="M78" s="4"/>
      <c r="N78" s="4"/>
      <c r="O78" s="1"/>
      <c r="P78" s="5"/>
      <c r="Q78" s="5"/>
      <c r="R78" s="131" t="s">
        <v>92</v>
      </c>
      <c r="S78" s="132">
        <f>ROUND($S$75*V78,2)</f>
        <v>0</v>
      </c>
      <c r="T78" s="81"/>
      <c r="U78" s="131" t="s">
        <v>93</v>
      </c>
      <c r="V78" s="133">
        <f>1/3*4%</f>
        <v>1.3333333333333332E-2</v>
      </c>
      <c r="W78" s="81"/>
      <c r="X78" s="81"/>
      <c r="Y78" s="5"/>
    </row>
    <row r="79" spans="1:25" ht="46.5">
      <c r="A79" s="1"/>
      <c r="B79" s="1"/>
      <c r="C79" s="10"/>
      <c r="D79" s="16"/>
      <c r="E79" s="16"/>
      <c r="F79" s="48"/>
      <c r="G79" s="2"/>
      <c r="H79" s="48"/>
      <c r="I79" s="16"/>
      <c r="J79" s="16"/>
      <c r="K79" s="1"/>
      <c r="L79" s="12"/>
      <c r="M79" s="4"/>
      <c r="N79" s="4"/>
      <c r="O79" s="1"/>
      <c r="P79" s="5"/>
      <c r="Q79" s="5"/>
      <c r="R79" s="134" t="s">
        <v>94</v>
      </c>
      <c r="S79" s="135">
        <f>ROUND($S$75*V79,2)</f>
        <v>0</v>
      </c>
      <c r="T79" s="81"/>
      <c r="U79" s="136" t="s">
        <v>94</v>
      </c>
      <c r="V79" s="137">
        <f>2/3*4%-0.63%</f>
        <v>2.0366666666666665E-2</v>
      </c>
      <c r="W79" s="81"/>
      <c r="X79" s="81"/>
      <c r="Y79" s="5"/>
    </row>
    <row r="80" spans="1:25" ht="23.25">
      <c r="A80" s="1"/>
      <c r="B80" s="1"/>
      <c r="C80" s="10"/>
      <c r="D80" s="16"/>
      <c r="E80" s="16"/>
      <c r="F80" s="48"/>
      <c r="G80" s="2"/>
      <c r="H80" s="48"/>
      <c r="I80" s="16"/>
      <c r="J80" s="16"/>
      <c r="K80" s="1"/>
      <c r="L80" s="12"/>
      <c r="M80" s="4"/>
      <c r="N80" s="4"/>
      <c r="O80" s="1"/>
      <c r="P80" s="5"/>
      <c r="Q80" s="5"/>
      <c r="R80" s="138" t="s">
        <v>91</v>
      </c>
      <c r="S80" s="139">
        <f>ROUND(S75*V80,2)</f>
        <v>0</v>
      </c>
      <c r="T80" s="81"/>
      <c r="U80" s="136" t="s">
        <v>91</v>
      </c>
      <c r="V80" s="137">
        <v>6.3E-3</v>
      </c>
      <c r="W80" s="81"/>
      <c r="X80" s="81"/>
      <c r="Y80" s="5"/>
    </row>
    <row r="81" spans="1:25" ht="43.5" customHeight="1">
      <c r="A81" s="1"/>
      <c r="B81" s="1"/>
      <c r="C81" s="10"/>
      <c r="D81" s="16"/>
      <c r="E81" s="16"/>
      <c r="F81" s="48"/>
      <c r="G81" s="2"/>
      <c r="H81" s="48"/>
      <c r="I81" s="16"/>
      <c r="J81" s="16"/>
      <c r="K81" s="1"/>
      <c r="L81" s="12"/>
      <c r="M81" s="4"/>
      <c r="N81" s="4"/>
      <c r="O81" s="1"/>
      <c r="P81" s="5"/>
      <c r="Q81" s="5"/>
      <c r="R81" s="140" t="s">
        <v>95</v>
      </c>
      <c r="S81" s="141">
        <f>ROUND(S75*V81,2)</f>
        <v>0</v>
      </c>
      <c r="T81" s="81"/>
      <c r="U81" s="140" t="s">
        <v>95</v>
      </c>
      <c r="V81" s="142">
        <v>0.04</v>
      </c>
      <c r="W81" s="81"/>
      <c r="X81" s="81"/>
      <c r="Y81" s="5"/>
    </row>
    <row r="82" spans="1:25" ht="26.25" customHeight="1">
      <c r="A82" s="1"/>
      <c r="B82" s="1"/>
      <c r="C82" s="14"/>
      <c r="D82" s="108"/>
      <c r="E82" s="109"/>
      <c r="F82" s="110"/>
      <c r="G82" s="110"/>
      <c r="H82" s="110"/>
      <c r="I82" s="110"/>
      <c r="J82" s="110"/>
      <c r="K82" s="109"/>
      <c r="L82" s="3"/>
      <c r="M82" s="4"/>
      <c r="N82" s="4"/>
      <c r="O82" s="1"/>
      <c r="P82" s="5"/>
      <c r="Q82" s="5"/>
      <c r="R82" s="143" t="s">
        <v>96</v>
      </c>
      <c r="S82" s="144">
        <f>ROUND(S75*V82,2)</f>
        <v>0</v>
      </c>
      <c r="T82" s="81"/>
      <c r="U82" s="143" t="s">
        <v>91</v>
      </c>
      <c r="V82" s="145">
        <v>0.01</v>
      </c>
      <c r="W82" s="81"/>
      <c r="X82" s="81"/>
      <c r="Y82" s="5"/>
    </row>
    <row r="83" spans="1:25" ht="26.25" customHeight="1">
      <c r="A83" s="1"/>
      <c r="B83" s="1"/>
      <c r="C83" s="14"/>
      <c r="D83" s="297" t="s">
        <v>97</v>
      </c>
      <c r="E83" s="297"/>
      <c r="F83" s="297"/>
      <c r="G83" s="297"/>
      <c r="H83" s="297"/>
      <c r="I83" s="297"/>
      <c r="J83" s="297"/>
      <c r="K83" s="297"/>
      <c r="L83" s="297"/>
      <c r="M83" s="4"/>
      <c r="N83" s="4"/>
      <c r="O83" s="1"/>
      <c r="P83" s="5"/>
      <c r="Q83" s="40"/>
      <c r="R83" s="146" t="s">
        <v>98</v>
      </c>
      <c r="S83" s="147">
        <f>ROUND(S75*V83,2)</f>
        <v>0</v>
      </c>
      <c r="T83" s="81"/>
      <c r="U83" s="146" t="s">
        <v>99</v>
      </c>
      <c r="V83" s="148">
        <v>0.01</v>
      </c>
      <c r="W83" s="81"/>
      <c r="X83" s="81"/>
      <c r="Y83" s="5"/>
    </row>
    <row r="84" spans="1:25" ht="70.5" customHeight="1">
      <c r="A84" s="1"/>
      <c r="B84" s="1"/>
      <c r="C84" s="10"/>
      <c r="D84" s="298" t="s">
        <v>100</v>
      </c>
      <c r="E84" s="298"/>
      <c r="F84" s="149" t="s">
        <v>101</v>
      </c>
      <c r="G84" s="149" t="s">
        <v>102</v>
      </c>
      <c r="H84" s="149" t="s">
        <v>103</v>
      </c>
      <c r="I84" s="150" t="s">
        <v>104</v>
      </c>
      <c r="J84" s="151" t="s">
        <v>105</v>
      </c>
      <c r="K84" s="150" t="s">
        <v>106</v>
      </c>
      <c r="L84" s="150" t="s">
        <v>107</v>
      </c>
      <c r="M84" s="4"/>
      <c r="N84" s="4"/>
      <c r="O84" s="1"/>
      <c r="P84" s="5"/>
      <c r="Q84" s="152"/>
      <c r="R84" s="153" t="s">
        <v>108</v>
      </c>
      <c r="S84" s="154">
        <f>ROUND(S75*V84,2)</f>
        <v>0</v>
      </c>
      <c r="T84" s="5"/>
      <c r="U84" s="153" t="s">
        <v>108</v>
      </c>
      <c r="V84" s="155">
        <v>0.01</v>
      </c>
      <c r="W84" s="81"/>
      <c r="X84" s="81"/>
      <c r="Y84" s="81"/>
    </row>
    <row r="85" spans="1:25" ht="79.5" customHeight="1">
      <c r="A85" s="1"/>
      <c r="B85" s="1"/>
      <c r="C85" s="156"/>
      <c r="D85" s="293" t="str">
        <f>E10</f>
        <v>Digite Nome do Exequente</v>
      </c>
      <c r="E85" s="293"/>
      <c r="F85" s="157">
        <f>IF($Q$14="Sim",S86,0)</f>
        <v>0</v>
      </c>
      <c r="G85" s="157">
        <f>ROUND(F85*0.4,2)</f>
        <v>0</v>
      </c>
      <c r="H85" s="157">
        <f>ROUND(F85-G85,2)</f>
        <v>0</v>
      </c>
      <c r="I85" s="158">
        <f>IF(Q14="Sim",U95,0)</f>
        <v>0</v>
      </c>
      <c r="J85" s="158" t="e">
        <f>IF(Q14="Sim",V111,0)</f>
        <v>#DIV/0!</v>
      </c>
      <c r="K85" s="158" t="e">
        <f>H85-I85-J85</f>
        <v>#DIV/0!</v>
      </c>
      <c r="L85" s="159" t="e">
        <f>IF(Q14="Sim",IF(W98="sim", V107, "-"),"-")</f>
        <v>#DIV/0!</v>
      </c>
      <c r="M85" s="4"/>
      <c r="N85" s="4"/>
      <c r="O85" s="1"/>
      <c r="P85" s="5"/>
      <c r="Q85" s="5"/>
      <c r="R85" s="160" t="s">
        <v>47</v>
      </c>
      <c r="S85" s="161">
        <f>G60</f>
        <v>0</v>
      </c>
      <c r="T85" s="5"/>
      <c r="U85" s="162" t="s">
        <v>59</v>
      </c>
      <c r="V85" s="163">
        <f>SUM(V75:V84)</f>
        <v>1</v>
      </c>
      <c r="W85" s="81"/>
      <c r="X85" s="81"/>
      <c r="Y85" s="81"/>
    </row>
    <row r="86" spans="1:25" ht="51.2" customHeight="1">
      <c r="A86" s="1"/>
      <c r="B86" s="1"/>
      <c r="C86" s="156"/>
      <c r="D86" s="293" t="s">
        <v>109</v>
      </c>
      <c r="E86" s="293"/>
      <c r="F86" s="157">
        <f>IF($Q$15="Sim",S77,0)</f>
        <v>0</v>
      </c>
      <c r="G86" s="157">
        <f>ROUND(F86*0.4,2)</f>
        <v>0</v>
      </c>
      <c r="H86" s="157">
        <f>F86-G86</f>
        <v>0</v>
      </c>
      <c r="I86" s="158">
        <v>0</v>
      </c>
      <c r="J86" s="158">
        <f>ROUND(H86*[1]IR!$C$10,2)</f>
        <v>0</v>
      </c>
      <c r="K86" s="158">
        <f>H86-I86-J86</f>
        <v>0</v>
      </c>
      <c r="L86" s="159" t="s">
        <v>27</v>
      </c>
      <c r="M86" s="4"/>
      <c r="N86" s="4"/>
      <c r="O86" s="1"/>
      <c r="P86" s="5"/>
      <c r="Q86" s="5"/>
      <c r="R86" s="164" t="s">
        <v>110</v>
      </c>
      <c r="S86" s="165">
        <f>S75-SUM(S76:S85)</f>
        <v>0</v>
      </c>
      <c r="T86" s="5"/>
      <c r="U86" s="5"/>
      <c r="V86" s="5"/>
      <c r="W86" s="81"/>
      <c r="X86" s="81"/>
      <c r="Y86" s="81"/>
    </row>
    <row r="87" spans="1:25" ht="51.2" customHeight="1">
      <c r="A87" s="1"/>
      <c r="B87" s="1"/>
      <c r="C87" s="156"/>
      <c r="D87" s="293" t="s">
        <v>111</v>
      </c>
      <c r="E87" s="293"/>
      <c r="F87" s="157">
        <f>IF($Q$15="Sim",S82,0)</f>
        <v>0</v>
      </c>
      <c r="G87" s="157">
        <f>ROUND(F87*0.4,2)</f>
        <v>0</v>
      </c>
      <c r="H87" s="157">
        <f>F87-G87</f>
        <v>0</v>
      </c>
      <c r="I87" s="158">
        <v>0</v>
      </c>
      <c r="J87" s="158">
        <f>ROUND(IF(H87&gt;=[1]IR!$B$4, H87*[1]IR!$C$4-[1]IR!$D$4, IF(H87&gt;=[1]IR!$B$5, H87*[1]IR!$C$5-[1]IR!$D$5, IF(H87&gt;=[1]IR!$B$6, H87*[1]IR!$C$6-[1]IR!$D$6, IF(H87&gt;=[1]IR!$B$7, H87*[1]IR!$C$7-[1]IR!$D$7, 0)))),2)</f>
        <v>0</v>
      </c>
      <c r="K87" s="158">
        <f>H87-I87-J87</f>
        <v>0</v>
      </c>
      <c r="L87" s="159" t="s">
        <v>27</v>
      </c>
      <c r="M87" s="4"/>
      <c r="N87" s="4"/>
      <c r="O87" s="1"/>
      <c r="P87" s="5"/>
      <c r="Q87" s="5"/>
      <c r="R87" s="166" t="s">
        <v>112</v>
      </c>
      <c r="S87" s="167">
        <f>ROUND(S86*0.6,2)</f>
        <v>0</v>
      </c>
      <c r="T87" s="5"/>
      <c r="U87" s="5"/>
      <c r="V87" s="5"/>
      <c r="W87" s="81"/>
      <c r="X87" s="81"/>
      <c r="Y87" s="81"/>
    </row>
    <row r="88" spans="1:25" ht="81" customHeight="1">
      <c r="A88" s="1"/>
      <c r="B88" s="1"/>
      <c r="C88" s="156"/>
      <c r="D88" s="294" t="s">
        <v>113</v>
      </c>
      <c r="E88" s="294"/>
      <c r="F88" s="119">
        <f t="shared" ref="F88:K88" si="6">SUM(F85:F87)</f>
        <v>0</v>
      </c>
      <c r="G88" s="119">
        <f t="shared" si="6"/>
        <v>0</v>
      </c>
      <c r="H88" s="119">
        <f t="shared" si="6"/>
        <v>0</v>
      </c>
      <c r="I88" s="119">
        <f t="shared" si="6"/>
        <v>0</v>
      </c>
      <c r="J88" s="119" t="e">
        <f>SUM(J85:J87)</f>
        <v>#DIV/0!</v>
      </c>
      <c r="K88" s="119" t="e">
        <f t="shared" si="6"/>
        <v>#DIV/0!</v>
      </c>
      <c r="L88" s="119" t="s">
        <v>27</v>
      </c>
      <c r="M88" s="4"/>
      <c r="N88" s="4"/>
      <c r="O88" s="1"/>
      <c r="P88" s="5"/>
      <c r="Q88" s="5"/>
      <c r="R88" s="5"/>
      <c r="S88" s="5"/>
      <c r="T88" s="5"/>
      <c r="U88" s="5"/>
      <c r="V88" s="5"/>
      <c r="W88" s="81"/>
      <c r="X88" s="81"/>
      <c r="Y88" s="81"/>
    </row>
    <row r="89" spans="1:25" ht="23.25">
      <c r="A89" s="1"/>
      <c r="B89" s="1"/>
      <c r="C89" s="156"/>
      <c r="D89" s="110"/>
      <c r="E89" s="110"/>
      <c r="F89" s="168"/>
      <c r="G89" s="110"/>
      <c r="H89" s="110"/>
      <c r="I89" s="110"/>
      <c r="J89" s="110"/>
      <c r="K89" s="11"/>
      <c r="L89" s="3"/>
      <c r="M89" s="4"/>
      <c r="N89" s="4"/>
      <c r="O89" s="1"/>
      <c r="P89" s="5"/>
      <c r="Q89" s="5"/>
      <c r="R89" s="5"/>
      <c r="S89" s="5"/>
      <c r="T89" s="169" t="s">
        <v>114</v>
      </c>
      <c r="U89" s="170" t="s">
        <v>2</v>
      </c>
      <c r="V89" s="171">
        <v>0.08</v>
      </c>
      <c r="W89" s="172" t="s">
        <v>115</v>
      </c>
      <c r="X89" s="81"/>
      <c r="Y89" s="81"/>
    </row>
    <row r="90" spans="1:25" ht="26.25" customHeight="1">
      <c r="A90" s="1"/>
      <c r="B90" s="1"/>
      <c r="C90" s="14"/>
      <c r="D90" s="14" t="str" cm="1">
        <f t="array" ref="D90">"Importa a presente conta o valor bruto de R$ " &amp; TEXT(ROUND($H$88,2), "#.##0,00") &amp; " (" &amp; PROPER(Converter_numero(ROUND($H$88,2))) &amp; ")"</f>
        <v>Importa a presente conta o valor bruto de R$ 0,00 ()</v>
      </c>
      <c r="E90" s="14"/>
      <c r="F90" s="173"/>
      <c r="G90" s="14"/>
      <c r="H90" s="14"/>
      <c r="I90" s="14"/>
      <c r="J90" s="16"/>
      <c r="K90" s="16"/>
      <c r="L90" s="3"/>
      <c r="M90" s="174"/>
      <c r="N90" s="4"/>
      <c r="O90" s="1"/>
      <c r="P90" s="5"/>
      <c r="Q90" s="5"/>
      <c r="R90" s="5"/>
      <c r="S90" s="5"/>
      <c r="T90" s="175" t="s">
        <v>116</v>
      </c>
      <c r="U90" s="176" t="e">
        <f>U27</f>
        <v>#DIV/0!</v>
      </c>
      <c r="V90" s="5"/>
      <c r="W90" s="5"/>
      <c r="X90" s="81"/>
      <c r="Y90" s="81"/>
    </row>
    <row r="91" spans="1:25" ht="26.25" customHeight="1">
      <c r="A91" s="1"/>
      <c r="B91" s="1"/>
      <c r="C91" s="14"/>
      <c r="D91" s="14"/>
      <c r="E91" s="14"/>
      <c r="F91" s="173"/>
      <c r="G91" s="14"/>
      <c r="H91" s="14"/>
      <c r="I91" s="14"/>
      <c r="J91" s="16"/>
      <c r="K91" s="16"/>
      <c r="L91" s="3"/>
      <c r="M91" s="174"/>
      <c r="N91" s="4"/>
      <c r="O91" s="1"/>
      <c r="P91" s="5"/>
      <c r="Q91" s="5"/>
      <c r="R91" s="5"/>
      <c r="S91" s="5"/>
      <c r="T91" s="175" t="str">
        <f>CONCATENATE("Aliquota ", TEXT(V89, "0%"))</f>
        <v>Aliquota 8%</v>
      </c>
      <c r="U91" s="176" t="e">
        <f>ROUND(Nome_U*Nome_V,2)</f>
        <v>#DIV/0!</v>
      </c>
      <c r="V91" s="5"/>
      <c r="W91" s="5"/>
      <c r="X91" s="81"/>
      <c r="Y91" s="81"/>
    </row>
    <row r="92" spans="1:25" ht="27" customHeight="1">
      <c r="A92" s="1"/>
      <c r="B92" s="1"/>
      <c r="C92" s="14"/>
      <c r="D92" s="14"/>
      <c r="E92" s="14"/>
      <c r="F92" s="14"/>
      <c r="G92" s="14"/>
      <c r="H92" s="14"/>
      <c r="I92" s="14"/>
      <c r="J92" s="14"/>
      <c r="K92" s="11"/>
      <c r="L92" s="3"/>
      <c r="M92" s="3"/>
      <c r="N92" s="4"/>
      <c r="O92" s="1"/>
      <c r="P92" s="5"/>
      <c r="Q92" s="5"/>
      <c r="R92" s="5"/>
      <c r="S92" s="5"/>
      <c r="T92" s="177" t="s">
        <v>117</v>
      </c>
      <c r="U92" s="178">
        <f>IF(R6="Sim",V92*G51*(1+F59),0)</f>
        <v>0</v>
      </c>
      <c r="V92" s="179">
        <v>0</v>
      </c>
      <c r="W92" s="172" t="s">
        <v>118</v>
      </c>
      <c r="X92" s="81"/>
      <c r="Y92" s="81"/>
    </row>
    <row r="93" spans="1:25" ht="30.75" customHeight="1">
      <c r="A93" s="1"/>
      <c r="B93" s="1"/>
      <c r="C93" s="180" t="s">
        <v>119</v>
      </c>
      <c r="D93" s="14"/>
      <c r="E93" s="14"/>
      <c r="F93" s="14"/>
      <c r="G93" s="14"/>
      <c r="H93" s="14"/>
      <c r="I93" s="16"/>
      <c r="J93" s="16"/>
      <c r="K93" s="11"/>
      <c r="L93" s="3"/>
      <c r="M93" s="3"/>
      <c r="N93" s="4"/>
      <c r="O93" s="1"/>
      <c r="P93" s="5"/>
      <c r="Q93" s="5"/>
      <c r="R93" s="5"/>
      <c r="S93" s="5"/>
      <c r="T93" s="181" t="s">
        <v>120</v>
      </c>
      <c r="U93" s="176" t="str">
        <f>IF(U89="Sim",U91-U92,"R$ 0,00")</f>
        <v>R$ 0,00</v>
      </c>
      <c r="V93" s="182"/>
      <c r="W93" s="183"/>
      <c r="X93" s="81"/>
      <c r="Y93" s="81"/>
    </row>
    <row r="94" spans="1:25" ht="27" customHeight="1">
      <c r="A94" s="1"/>
      <c r="B94" s="1"/>
      <c r="C94" s="184"/>
      <c r="D94" s="295" t="s">
        <v>121</v>
      </c>
      <c r="E94" s="295"/>
      <c r="F94" s="185" t="s">
        <v>122</v>
      </c>
      <c r="G94" s="66"/>
      <c r="H94" s="66"/>
      <c r="I94" s="14"/>
      <c r="J94" s="186"/>
      <c r="K94" s="11"/>
      <c r="L94" s="3"/>
      <c r="M94" s="4"/>
      <c r="N94" s="4"/>
      <c r="O94" s="1"/>
      <c r="P94" s="5"/>
      <c r="Q94" s="187"/>
      <c r="R94" s="5"/>
      <c r="S94" s="5"/>
      <c r="T94" s="177" t="s">
        <v>123</v>
      </c>
      <c r="U94" s="176">
        <f>ROUND(U93*0.4,2)</f>
        <v>0</v>
      </c>
      <c r="V94" s="5"/>
      <c r="W94" s="5"/>
      <c r="X94" s="81"/>
      <c r="Y94" s="81"/>
    </row>
    <row r="95" spans="1:25" ht="94.5" customHeight="1">
      <c r="A95" s="1"/>
      <c r="B95" s="1"/>
      <c r="C95" s="184"/>
      <c r="D95" s="188" t="s">
        <v>124</v>
      </c>
      <c r="E95" s="185" t="e">
        <f>V104</f>
        <v>#DIV/0!</v>
      </c>
      <c r="F95" s="189" t="e">
        <f>L85</f>
        <v>#DIV/0!</v>
      </c>
      <c r="G95" s="66"/>
      <c r="H95" s="184"/>
      <c r="I95" s="190"/>
      <c r="J95" s="186"/>
      <c r="K95" s="11"/>
      <c r="L95" s="3"/>
      <c r="M95" s="4"/>
      <c r="N95" s="4"/>
      <c r="O95" s="1"/>
      <c r="P95" s="5"/>
      <c r="Q95" s="187"/>
      <c r="R95" s="5"/>
      <c r="S95" s="5"/>
      <c r="T95" s="191" t="s">
        <v>101</v>
      </c>
      <c r="U95" s="192">
        <f>U93-U94</f>
        <v>0</v>
      </c>
      <c r="V95" s="81"/>
      <c r="W95" s="81"/>
      <c r="X95" s="81"/>
      <c r="Y95" s="81"/>
    </row>
    <row r="96" spans="1:25" ht="59.25" customHeight="1">
      <c r="A96" s="1"/>
      <c r="B96" s="1"/>
      <c r="C96" s="184"/>
      <c r="D96" s="188" t="s">
        <v>125</v>
      </c>
      <c r="E96" s="185" t="e">
        <f>S87-V104</f>
        <v>#DIV/0!</v>
      </c>
      <c r="F96" s="66"/>
      <c r="G96" s="66"/>
      <c r="H96" s="66"/>
      <c r="I96" s="14"/>
      <c r="J96" s="14"/>
      <c r="K96" s="11"/>
      <c r="L96" s="3"/>
      <c r="M96" s="4"/>
      <c r="N96" s="4"/>
      <c r="O96" s="1"/>
      <c r="P96" s="5"/>
      <c r="Q96" s="288" t="s">
        <v>107</v>
      </c>
      <c r="R96" s="288"/>
      <c r="S96" s="5"/>
      <c r="T96" s="5"/>
      <c r="U96" s="5"/>
      <c r="V96" s="5"/>
      <c r="W96" s="81"/>
      <c r="X96" s="81"/>
      <c r="Y96" s="81"/>
    </row>
    <row r="97" spans="1:26" ht="64.5" customHeight="1">
      <c r="A97" s="1"/>
      <c r="B97" s="1"/>
      <c r="C97" s="184"/>
      <c r="D97" s="188" t="s">
        <v>126</v>
      </c>
      <c r="E97" s="185">
        <v>0</v>
      </c>
      <c r="F97" s="66"/>
      <c r="G97" s="66"/>
      <c r="H97" s="66"/>
      <c r="I97" s="14"/>
      <c r="J97" s="14"/>
      <c r="K97" s="11"/>
      <c r="L97" s="3"/>
      <c r="M97" s="4"/>
      <c r="N97" s="4"/>
      <c r="O97" s="1"/>
      <c r="P97" s="5"/>
      <c r="Q97" s="288"/>
      <c r="R97" s="288"/>
      <c r="S97" s="5"/>
      <c r="T97" s="5"/>
      <c r="U97" s="5"/>
      <c r="V97" s="5"/>
      <c r="W97" s="81"/>
      <c r="X97" s="81"/>
      <c r="Y97" s="81"/>
    </row>
    <row r="98" spans="1:26" ht="28.5" customHeight="1">
      <c r="A98" s="1"/>
      <c r="B98" s="1"/>
      <c r="C98" s="66"/>
      <c r="D98" s="6"/>
      <c r="E98" s="66"/>
      <c r="F98" s="66"/>
      <c r="G98" s="66"/>
      <c r="H98" s="66"/>
      <c r="I98" s="14"/>
      <c r="J98" s="14"/>
      <c r="K98" s="11"/>
      <c r="L98" s="3"/>
      <c r="M98" s="4"/>
      <c r="N98" s="4"/>
      <c r="O98" s="1"/>
      <c r="P98" s="5"/>
      <c r="Q98" s="193">
        <f>(IF(W98="Sim",R19,0))</f>
        <v>0</v>
      </c>
      <c r="R98" s="194">
        <v>94</v>
      </c>
      <c r="S98" s="195"/>
      <c r="T98" s="300" t="s">
        <v>127</v>
      </c>
      <c r="U98" s="196" t="s">
        <v>128</v>
      </c>
      <c r="V98" s="197" t="e">
        <f>U27</f>
        <v>#DIV/0!</v>
      </c>
      <c r="W98" s="302" t="s">
        <v>4</v>
      </c>
      <c r="X98" s="81"/>
      <c r="Y98" s="81"/>
    </row>
    <row r="99" spans="1:26" ht="46.5">
      <c r="A99" s="1"/>
      <c r="B99" s="1"/>
      <c r="C99" s="66"/>
      <c r="D99" s="66" t="s">
        <v>129</v>
      </c>
      <c r="E99" s="66"/>
      <c r="F99" s="198"/>
      <c r="G99" s="66"/>
      <c r="H99" s="66"/>
      <c r="I99" s="14"/>
      <c r="J99" s="14"/>
      <c r="K99" s="11"/>
      <c r="L99" s="3"/>
      <c r="M99" s="4"/>
      <c r="N99" s="4"/>
      <c r="O99" s="1"/>
      <c r="P99" s="5"/>
      <c r="Q99" s="193">
        <f>S87</f>
        <v>0</v>
      </c>
      <c r="R99" s="199" t="s">
        <v>130</v>
      </c>
      <c r="S99" s="5"/>
      <c r="T99" s="301"/>
      <c r="U99" s="200" t="s">
        <v>117</v>
      </c>
      <c r="V99" s="201">
        <f>F55*(1+F59)</f>
        <v>0</v>
      </c>
      <c r="W99" s="303"/>
      <c r="X99" s="202"/>
      <c r="Y99" s="81"/>
    </row>
    <row r="100" spans="1:26" ht="27" customHeight="1">
      <c r="A100" s="1"/>
      <c r="B100" s="1"/>
      <c r="C100" s="66"/>
      <c r="D100" s="203" t="s">
        <v>131</v>
      </c>
      <c r="E100" s="66"/>
      <c r="F100" s="198"/>
      <c r="G100" s="66"/>
      <c r="H100" s="66"/>
      <c r="I100" s="14"/>
      <c r="J100" s="14"/>
      <c r="K100" s="11"/>
      <c r="L100" s="3"/>
      <c r="M100" s="4"/>
      <c r="N100" s="4"/>
      <c r="O100" s="1"/>
      <c r="P100" s="5"/>
      <c r="Q100" s="199"/>
      <c r="R100" s="199" t="e">
        <f>ROUND((Q99*R98)/Q98,0)</f>
        <v>#DIV/0!</v>
      </c>
      <c r="S100" s="5"/>
      <c r="T100" s="204" t="s">
        <v>132</v>
      </c>
      <c r="U100" s="205"/>
      <c r="V100" s="206" t="e">
        <f>R9*(V98+V99)</f>
        <v>#DIV/0!</v>
      </c>
      <c r="W100" s="202"/>
      <c r="X100" s="202"/>
      <c r="Y100" s="81"/>
    </row>
    <row r="101" spans="1:26" ht="21" customHeight="1">
      <c r="A101" s="1"/>
      <c r="B101" s="1"/>
      <c r="C101" s="66"/>
      <c r="D101" s="203" t="s">
        <v>133</v>
      </c>
      <c r="E101" s="66"/>
      <c r="F101" s="198"/>
      <c r="G101" s="66"/>
      <c r="H101" s="66"/>
      <c r="I101" s="110"/>
      <c r="J101" s="110"/>
      <c r="K101" s="110"/>
      <c r="L101" s="110"/>
      <c r="M101" s="4"/>
      <c r="N101" s="4"/>
      <c r="O101" s="1"/>
      <c r="P101" s="5"/>
      <c r="Q101" s="5"/>
      <c r="R101" s="202"/>
      <c r="S101" s="5"/>
      <c r="T101" s="207" t="s">
        <v>134</v>
      </c>
      <c r="U101" s="183"/>
      <c r="V101" s="208" t="e">
        <f>R11*(V98+V99)</f>
        <v>#DIV/0!</v>
      </c>
      <c r="W101" s="202"/>
      <c r="X101" s="202"/>
      <c r="Y101" s="81"/>
    </row>
    <row r="102" spans="1:26" ht="26.25">
      <c r="A102" s="1"/>
      <c r="B102" s="1"/>
      <c r="C102" s="66"/>
      <c r="D102" s="66" t="s">
        <v>135</v>
      </c>
      <c r="E102" s="66"/>
      <c r="F102" s="198"/>
      <c r="G102" s="66"/>
      <c r="H102" s="66"/>
      <c r="I102" s="110"/>
      <c r="J102" s="110"/>
      <c r="K102" s="110"/>
      <c r="L102" s="110"/>
      <c r="M102" s="4"/>
      <c r="N102" s="4"/>
      <c r="O102" s="1"/>
      <c r="P102" s="5"/>
      <c r="Q102" s="5"/>
      <c r="R102" s="5"/>
      <c r="S102" s="5"/>
      <c r="T102" s="209" t="s">
        <v>116</v>
      </c>
      <c r="U102" s="81"/>
      <c r="V102" s="210" t="e">
        <f>V98-V99-V100-V101</f>
        <v>#DIV/0!</v>
      </c>
      <c r="W102" s="202"/>
      <c r="X102" s="202"/>
      <c r="Y102" s="81"/>
    </row>
    <row r="103" spans="1:26" ht="23.25">
      <c r="A103" s="1"/>
      <c r="B103" s="1"/>
      <c r="C103" s="66"/>
      <c r="D103" s="66" t="s">
        <v>136</v>
      </c>
      <c r="E103" s="66"/>
      <c r="F103" s="198"/>
      <c r="G103" s="66"/>
      <c r="H103" s="66"/>
      <c r="I103" s="110"/>
      <c r="J103" s="110"/>
      <c r="K103" s="110"/>
      <c r="L103" s="110"/>
      <c r="M103" s="4"/>
      <c r="N103" s="4"/>
      <c r="O103" s="1"/>
      <c r="P103" s="5"/>
      <c r="Q103" s="5"/>
      <c r="R103" s="5"/>
      <c r="S103" s="5"/>
      <c r="T103" s="207" t="s">
        <v>137</v>
      </c>
      <c r="U103" s="81"/>
      <c r="V103" s="210" t="e">
        <f>V102*0.4</f>
        <v>#DIV/0!</v>
      </c>
      <c r="W103" s="211"/>
      <c r="X103" s="202"/>
      <c r="Y103" s="81"/>
    </row>
    <row r="104" spans="1:26" ht="23.25">
      <c r="A104" s="1"/>
      <c r="B104" s="1"/>
      <c r="C104" s="66"/>
      <c r="D104" s="66" t="s">
        <v>138</v>
      </c>
      <c r="E104" s="66"/>
      <c r="F104" s="198"/>
      <c r="G104" s="66"/>
      <c r="H104" s="66"/>
      <c r="I104" s="110"/>
      <c r="J104" s="110"/>
      <c r="K104" s="110"/>
      <c r="L104" s="110"/>
      <c r="M104" s="4"/>
      <c r="N104" s="4"/>
      <c r="O104" s="1"/>
      <c r="P104" s="5"/>
      <c r="Q104" s="5"/>
      <c r="R104" s="5"/>
      <c r="S104" s="5"/>
      <c r="T104" s="209" t="s">
        <v>116</v>
      </c>
      <c r="U104" s="81"/>
      <c r="V104" s="210" t="e">
        <f>V102-V103</f>
        <v>#DIV/0!</v>
      </c>
      <c r="W104" s="182"/>
      <c r="X104" s="202"/>
      <c r="Y104" s="5"/>
    </row>
    <row r="105" spans="1:26" ht="23.25">
      <c r="A105" s="1"/>
      <c r="B105" s="1"/>
      <c r="C105" s="212"/>
      <c r="D105" s="66" t="s">
        <v>139</v>
      </c>
      <c r="E105" s="66"/>
      <c r="F105" s="66"/>
      <c r="G105" s="66"/>
      <c r="H105" s="14"/>
      <c r="I105" s="14"/>
      <c r="J105" s="14"/>
      <c r="K105" s="11"/>
      <c r="L105" s="3"/>
      <c r="M105" s="4"/>
      <c r="N105" s="4"/>
      <c r="O105" s="1"/>
      <c r="P105" s="5"/>
      <c r="Q105" s="5"/>
      <c r="R105" s="5"/>
      <c r="S105" s="5"/>
      <c r="T105" s="213" t="s">
        <v>140</v>
      </c>
      <c r="U105" s="81"/>
      <c r="V105" s="210">
        <f>U95</f>
        <v>0</v>
      </c>
      <c r="W105" s="202"/>
      <c r="X105" s="202"/>
      <c r="Y105" s="5"/>
    </row>
    <row r="106" spans="1:26" ht="23.25">
      <c r="A106" s="1"/>
      <c r="B106" s="1"/>
      <c r="C106" s="212"/>
      <c r="D106" s="66" t="s">
        <v>141</v>
      </c>
      <c r="E106" s="66"/>
      <c r="F106" s="66"/>
      <c r="G106" s="66"/>
      <c r="H106" s="14"/>
      <c r="I106" s="14"/>
      <c r="J106" s="14"/>
      <c r="K106" s="11"/>
      <c r="L106" s="3"/>
      <c r="M106" s="4"/>
      <c r="N106" s="4"/>
      <c r="O106" s="1"/>
      <c r="P106" s="5"/>
      <c r="Q106" s="5"/>
      <c r="R106" s="5"/>
      <c r="S106" s="5"/>
      <c r="T106" s="214" t="s">
        <v>116</v>
      </c>
      <c r="U106" s="215"/>
      <c r="V106" s="216" t="e">
        <f>V104-V105</f>
        <v>#DIV/0!</v>
      </c>
      <c r="W106" s="217"/>
      <c r="X106" s="202"/>
      <c r="Y106" s="5"/>
    </row>
    <row r="107" spans="1:26" ht="23.25">
      <c r="A107" s="1"/>
      <c r="B107" s="1"/>
      <c r="C107" s="212"/>
      <c r="D107" s="66" t="s">
        <v>142</v>
      </c>
      <c r="E107" s="66"/>
      <c r="F107" s="66"/>
      <c r="G107" s="66"/>
      <c r="H107" s="14"/>
      <c r="I107" s="14"/>
      <c r="J107" s="14"/>
      <c r="K107" s="14"/>
      <c r="L107" s="3"/>
      <c r="M107" s="4"/>
      <c r="N107" s="4"/>
      <c r="O107" s="1"/>
      <c r="P107" s="5"/>
      <c r="Q107" s="5"/>
      <c r="R107" s="202"/>
      <c r="S107" s="5"/>
      <c r="T107" s="207" t="s">
        <v>107</v>
      </c>
      <c r="U107" s="183"/>
      <c r="V107" s="218" t="e">
        <f>Z111</f>
        <v>#DIV/0!</v>
      </c>
      <c r="W107" s="202"/>
      <c r="X107" s="202"/>
      <c r="Y107" s="5"/>
    </row>
    <row r="108" spans="1:26" ht="23.25">
      <c r="A108" s="1"/>
      <c r="B108" s="1"/>
      <c r="C108" s="212"/>
      <c r="D108" s="219" t="s">
        <v>143</v>
      </c>
      <c r="E108" s="66"/>
      <c r="F108" s="66"/>
      <c r="G108" s="66"/>
      <c r="H108" s="14"/>
      <c r="I108" s="14"/>
      <c r="J108" s="14"/>
      <c r="K108" s="14"/>
      <c r="L108" s="3"/>
      <c r="M108" s="4"/>
      <c r="N108" s="4"/>
      <c r="O108" s="1"/>
      <c r="P108" s="5"/>
      <c r="Q108" s="5"/>
      <c r="R108" s="202"/>
      <c r="S108" s="5"/>
      <c r="T108" s="207" t="s">
        <v>144</v>
      </c>
      <c r="U108" s="183"/>
      <c r="V108" s="220" t="e">
        <f>V106/V107</f>
        <v>#DIV/0!</v>
      </c>
      <c r="W108" s="202"/>
      <c r="X108" s="202"/>
      <c r="Y108" s="5"/>
    </row>
    <row r="109" spans="1:26" ht="23.25">
      <c r="A109" s="1"/>
      <c r="B109" s="1"/>
      <c r="C109" s="212"/>
      <c r="D109" s="219" t="s">
        <v>145</v>
      </c>
      <c r="E109" s="66"/>
      <c r="F109" s="66"/>
      <c r="G109" s="66"/>
      <c r="H109" s="14"/>
      <c r="I109" s="14"/>
      <c r="J109" s="14"/>
      <c r="K109" s="14"/>
      <c r="L109" s="3"/>
      <c r="M109" s="4"/>
      <c r="N109" s="4"/>
      <c r="O109" s="1"/>
      <c r="P109" s="5"/>
      <c r="Q109" s="5"/>
      <c r="R109" s="202"/>
      <c r="S109" s="5"/>
      <c r="T109" s="207" t="s">
        <v>146</v>
      </c>
      <c r="U109" s="183"/>
      <c r="V109" s="221" t="e">
        <f>IF(V108&gt;=[1]IR!$B$4, [1]IR!$C$4, IF(V108&gt;=[1]IR!$B$5, [1]IR!$C$5, IF(V108&gt;=[1]IR!$B$6, [1]IR!$C$6, IF(V108&gt;=[1]IR!$B$7, [1]IR!$C$7, [1]IR!$C$8))))</f>
        <v>#DIV/0!</v>
      </c>
      <c r="W109" s="202"/>
      <c r="X109" s="202"/>
      <c r="Y109" s="5"/>
    </row>
    <row r="110" spans="1:26" ht="23.25">
      <c r="A110" s="1"/>
      <c r="B110" s="1"/>
      <c r="C110" s="212"/>
      <c r="D110" s="219" t="s">
        <v>147</v>
      </c>
      <c r="E110" s="66"/>
      <c r="F110" s="66"/>
      <c r="G110" s="66"/>
      <c r="H110" s="14"/>
      <c r="I110" s="14"/>
      <c r="J110" s="14"/>
      <c r="K110" s="14"/>
      <c r="L110" s="3"/>
      <c r="M110" s="4"/>
      <c r="N110" s="4"/>
      <c r="O110" s="1"/>
      <c r="P110" s="5"/>
      <c r="Q110" s="5"/>
      <c r="R110" s="202"/>
      <c r="S110" s="202"/>
      <c r="T110" s="207" t="s">
        <v>148</v>
      </c>
      <c r="U110" s="183"/>
      <c r="V110" s="220" t="e">
        <f>IF(V109=[1]IR!$C$7, V108*V109-[1]IR!$D$7, IF(V109=[1]IR!$C$6, V108*V109-[1]IR!$D$6, IF(V109=[1]IR!$C$5, V108*V109-[1]IR!$D$5, IF(V109=[1]IR!$C$4, V108*V109-[1]IR!$D$4, 0))))</f>
        <v>#DIV/0!</v>
      </c>
      <c r="W110" s="202"/>
      <c r="X110" s="202"/>
      <c r="Y110" s="5"/>
    </row>
    <row r="111" spans="1:26" ht="23.25">
      <c r="A111" s="1"/>
      <c r="B111" s="1"/>
      <c r="C111" s="219"/>
      <c r="D111" s="219" t="s">
        <v>149</v>
      </c>
      <c r="E111" s="66"/>
      <c r="F111" s="66"/>
      <c r="G111" s="198"/>
      <c r="H111" s="14"/>
      <c r="I111" s="14"/>
      <c r="J111" s="14"/>
      <c r="K111" s="14"/>
      <c r="L111" s="212"/>
      <c r="M111" s="4"/>
      <c r="N111" s="4"/>
      <c r="O111" s="1"/>
      <c r="P111" s="5"/>
      <c r="Q111" s="5"/>
      <c r="R111" s="202"/>
      <c r="S111" s="202"/>
      <c r="T111" s="222" t="s">
        <v>150</v>
      </c>
      <c r="U111" s="223" t="e">
        <f>"(" &amp; V107 &amp; " meses)"</f>
        <v>#DIV/0!</v>
      </c>
      <c r="V111" s="224" t="e">
        <f>IF(W98="sim", ROUND(V110*V107,2), 0)</f>
        <v>#DIV/0!</v>
      </c>
      <c r="W111" s="202"/>
      <c r="X111" s="202"/>
      <c r="Y111" s="5"/>
      <c r="Z111" s="6" t="e">
        <f>ROUND(R100,0)</f>
        <v>#DIV/0!</v>
      </c>
    </row>
    <row r="112" spans="1:26" ht="23.25">
      <c r="A112" s="1"/>
      <c r="B112" s="1"/>
      <c r="C112" s="14"/>
      <c r="D112" s="219" t="s">
        <v>151</v>
      </c>
      <c r="E112" s="66"/>
      <c r="F112" s="66"/>
      <c r="G112" s="198"/>
      <c r="H112" s="14"/>
      <c r="I112" s="14"/>
      <c r="J112" s="14"/>
      <c r="K112" s="14"/>
      <c r="L112" s="212"/>
      <c r="M112" s="4"/>
      <c r="N112" s="4"/>
      <c r="O112" s="1"/>
      <c r="P112" s="5"/>
      <c r="Q112" s="5"/>
      <c r="R112" s="202"/>
      <c r="S112" s="202"/>
      <c r="T112" s="202"/>
      <c r="U112" s="202"/>
      <c r="V112" s="202"/>
      <c r="W112" s="202"/>
      <c r="X112" s="202"/>
      <c r="Y112" s="5"/>
    </row>
    <row r="113" spans="1:25" ht="23.25">
      <c r="A113" s="1"/>
      <c r="B113" s="1"/>
      <c r="C113" s="14"/>
      <c r="D113" s="219" t="s">
        <v>152</v>
      </c>
      <c r="E113" s="66"/>
      <c r="F113" s="66"/>
      <c r="G113" s="198"/>
      <c r="H113" s="14"/>
      <c r="I113" s="14"/>
      <c r="J113" s="14"/>
      <c r="K113" s="14"/>
      <c r="L113" s="212"/>
      <c r="M113" s="4"/>
      <c r="N113" s="4"/>
      <c r="O113" s="1"/>
      <c r="P113" s="5"/>
      <c r="Q113" s="5"/>
      <c r="R113" s="202"/>
      <c r="S113" s="202"/>
      <c r="T113" s="202"/>
      <c r="U113" s="202"/>
      <c r="V113" s="202"/>
      <c r="W113" s="202"/>
      <c r="X113" s="202"/>
      <c r="Y113" s="5"/>
    </row>
    <row r="114" spans="1:25" ht="18.95" customHeight="1">
      <c r="A114" s="1"/>
      <c r="B114" s="1"/>
      <c r="C114" s="1"/>
      <c r="D114" s="219" t="e">
        <f>CONCATENATE("Faixa ", IF(V111=0, "Isenta", V109*100), ". RRA Total: ", R98,". RRA do pagamento: ", Z111)</f>
        <v>#DIV/0!</v>
      </c>
      <c r="E114" s="2"/>
      <c r="F114" s="2"/>
      <c r="G114" s="2"/>
      <c r="H114" s="2"/>
      <c r="I114" s="2"/>
      <c r="J114" s="2"/>
      <c r="K114" s="1"/>
      <c r="L114" s="3"/>
      <c r="M114" s="4"/>
      <c r="N114" s="4"/>
      <c r="O114" s="1"/>
      <c r="P114" s="5"/>
      <c r="Q114" s="5"/>
      <c r="R114" s="304" t="s">
        <v>153</v>
      </c>
      <c r="S114" s="305"/>
      <c r="T114" s="305"/>
      <c r="U114" s="305"/>
      <c r="V114" s="305"/>
      <c r="W114" s="305"/>
      <c r="X114" s="306"/>
      <c r="Y114" s="5"/>
    </row>
    <row r="115" spans="1:25" ht="23.25">
      <c r="A115" s="1"/>
      <c r="B115" s="1"/>
      <c r="C115" s="1"/>
      <c r="D115" s="219" t="s">
        <v>154</v>
      </c>
      <c r="E115" s="2"/>
      <c r="F115" s="2"/>
      <c r="G115" s="2"/>
      <c r="H115" s="2"/>
      <c r="I115" s="2"/>
      <c r="J115" s="2"/>
      <c r="K115" s="1"/>
      <c r="L115" s="3"/>
      <c r="M115" s="4"/>
      <c r="N115" s="4"/>
      <c r="O115" s="1"/>
      <c r="P115" s="5"/>
      <c r="Q115" s="5"/>
      <c r="R115" s="225">
        <f t="shared" ref="R115:W117" si="7">ROUND(F85,2)</f>
        <v>0</v>
      </c>
      <c r="S115" s="226">
        <f t="shared" si="7"/>
        <v>0</v>
      </c>
      <c r="T115" s="226">
        <f t="shared" si="7"/>
        <v>0</v>
      </c>
      <c r="U115" s="226">
        <f t="shared" si="7"/>
        <v>0</v>
      </c>
      <c r="V115" s="226" t="e">
        <f t="shared" si="7"/>
        <v>#DIV/0!</v>
      </c>
      <c r="W115" s="226" t="e">
        <f t="shared" si="7"/>
        <v>#DIV/0!</v>
      </c>
      <c r="X115" s="227" t="e">
        <f>T115-U115-V115-W115</f>
        <v>#DIV/0!</v>
      </c>
      <c r="Y115" s="5"/>
    </row>
    <row r="116" spans="1:25" ht="23.25">
      <c r="A116" s="1"/>
      <c r="B116" s="1"/>
      <c r="C116" s="1"/>
      <c r="D116" s="219" t="s">
        <v>155</v>
      </c>
      <c r="E116" s="2"/>
      <c r="F116" s="2"/>
      <c r="G116" s="2"/>
      <c r="H116" s="2"/>
      <c r="I116" s="2"/>
      <c r="J116" s="2"/>
      <c r="K116" s="1"/>
      <c r="L116" s="3"/>
      <c r="M116" s="4"/>
      <c r="N116" s="4"/>
      <c r="O116" s="1"/>
      <c r="P116" s="5"/>
      <c r="Q116" s="5"/>
      <c r="R116" s="225">
        <f t="shared" si="7"/>
        <v>0</v>
      </c>
      <c r="S116" s="226">
        <f t="shared" si="7"/>
        <v>0</v>
      </c>
      <c r="T116" s="226">
        <f t="shared" si="7"/>
        <v>0</v>
      </c>
      <c r="U116" s="226">
        <f t="shared" si="7"/>
        <v>0</v>
      </c>
      <c r="V116" s="226">
        <f t="shared" si="7"/>
        <v>0</v>
      </c>
      <c r="W116" s="226">
        <f t="shared" si="7"/>
        <v>0</v>
      </c>
      <c r="X116" s="227">
        <f t="shared" ref="X116:X117" si="8">T116-U116-V116-W116</f>
        <v>0</v>
      </c>
      <c r="Y116" s="5"/>
    </row>
    <row r="117" spans="1:25" ht="23.25">
      <c r="A117" s="1"/>
      <c r="B117" s="1"/>
      <c r="C117" s="1"/>
      <c r="D117" s="219" t="str">
        <f>IF(H87&gt;=[1]IR!$B$4, CONCATENATE("e MP n° 1171/2023 (LAGUZ - Francinetti Ribeiro do Carmo- Aliquota: " &amp; [1]IR!$C$4*100 &amp;"%"),
  IF(H87&gt;=[1]IR!$B$5, CONCATENATE("e MP n° 1171/2023 (LAGUZ - Francinetti Ribeiro do Carmo- Aliquota: " &amp; [1]IR!$C$5*100 &amp;"%"),
    IF(H87&gt;=[1]IR!$B$6, CONCATENATE("e MP n° 1171/2023 (LAGUZ - Francinetti Ribeiro do Carmo- Aliquota: " &amp; [1]IR!$C$6*100 &amp;"%"),
      IF(H87&gt;=[1]IR!$B$7, CONCATENATE("e MP n° 1171/2023 (LAGUZ - Francinetti Ribeiro do Carmo- Aliquota: " &amp; [1]IR!$C$7*100 &amp;"%"),
        CONCATENATE("e MP n° 1171/2023 (LAGUZ - Francinetti Ribeiro do Carmo- Aliquota Isento)")))))</f>
        <v>e MP n° 1171/2023 (LAGUZ - Francinetti Ribeiro do Carmo- Aliquota Isento)</v>
      </c>
      <c r="E117" s="2"/>
      <c r="F117" s="2"/>
      <c r="G117" s="2"/>
      <c r="H117" s="2"/>
      <c r="I117" s="2"/>
      <c r="J117" s="2"/>
      <c r="K117" s="1"/>
      <c r="L117" s="3"/>
      <c r="M117" s="4"/>
      <c r="N117" s="4"/>
      <c r="O117" s="1"/>
      <c r="P117" s="5"/>
      <c r="Q117" s="5"/>
      <c r="R117" s="225">
        <f t="shared" si="7"/>
        <v>0</v>
      </c>
      <c r="S117" s="226">
        <f t="shared" si="7"/>
        <v>0</v>
      </c>
      <c r="T117" s="226">
        <f t="shared" si="7"/>
        <v>0</v>
      </c>
      <c r="U117" s="226">
        <f t="shared" si="7"/>
        <v>0</v>
      </c>
      <c r="V117" s="226">
        <f t="shared" si="7"/>
        <v>0</v>
      </c>
      <c r="W117" s="226">
        <f t="shared" si="7"/>
        <v>0</v>
      </c>
      <c r="X117" s="227">
        <f t="shared" si="8"/>
        <v>0</v>
      </c>
      <c r="Y117" s="5"/>
    </row>
    <row r="118" spans="1:25" ht="23.25">
      <c r="A118" s="1"/>
      <c r="B118" s="1"/>
      <c r="C118" s="14"/>
      <c r="D118" s="228" t="s">
        <v>156</v>
      </c>
      <c r="E118" s="65"/>
      <c r="F118" s="65"/>
      <c r="G118" s="65"/>
      <c r="H118" s="14"/>
      <c r="I118" s="14"/>
      <c r="J118" s="14"/>
      <c r="K118" s="11"/>
      <c r="L118" s="3"/>
      <c r="M118" s="4"/>
      <c r="N118" s="4"/>
      <c r="O118" s="1"/>
      <c r="P118" s="5"/>
      <c r="Q118" s="5"/>
      <c r="R118" s="225">
        <f>SUM(R115:R117)</f>
        <v>0</v>
      </c>
      <c r="S118" s="226">
        <f>SUM(S115:S117)</f>
        <v>0</v>
      </c>
      <c r="T118" s="226">
        <f t="shared" ref="T118:V118" si="9">SUM(T115:T117)</f>
        <v>0</v>
      </c>
      <c r="U118" s="226">
        <f t="shared" si="9"/>
        <v>0</v>
      </c>
      <c r="V118" s="226" t="e">
        <f t="shared" si="9"/>
        <v>#DIV/0!</v>
      </c>
      <c r="W118" s="226" t="e">
        <f>SUM(W115:W117)</f>
        <v>#DIV/0!</v>
      </c>
      <c r="X118" s="227" t="e">
        <f>T118-U118-V118-W118</f>
        <v>#DIV/0!</v>
      </c>
      <c r="Y118" s="5"/>
    </row>
    <row r="119" spans="1:25" ht="33.4" customHeight="1">
      <c r="A119" s="1"/>
      <c r="B119" s="1"/>
      <c r="C119" s="1"/>
      <c r="D119" s="228" t="s">
        <v>157</v>
      </c>
      <c r="E119" s="2"/>
      <c r="F119" s="2"/>
      <c r="G119" s="2"/>
      <c r="H119" s="2"/>
      <c r="I119" s="2"/>
      <c r="J119" s="2"/>
      <c r="K119" s="2"/>
      <c r="L119" s="2"/>
      <c r="M119" s="2"/>
      <c r="N119" s="4"/>
      <c r="O119" s="1"/>
      <c r="P119" s="5"/>
      <c r="Q119" s="5"/>
      <c r="R119" s="229">
        <f t="shared" ref="R119:W119" si="10">R118-F88</f>
        <v>0</v>
      </c>
      <c r="S119" s="230">
        <f t="shared" si="10"/>
        <v>0</v>
      </c>
      <c r="T119" s="230">
        <f t="shared" si="10"/>
        <v>0</v>
      </c>
      <c r="U119" s="230">
        <f t="shared" si="10"/>
        <v>0</v>
      </c>
      <c r="V119" s="230" t="e">
        <f t="shared" si="10"/>
        <v>#DIV/0!</v>
      </c>
      <c r="W119" s="230" t="e">
        <f t="shared" si="10"/>
        <v>#DIV/0!</v>
      </c>
      <c r="X119" s="231"/>
      <c r="Y119" s="5"/>
    </row>
    <row r="120" spans="1:25" ht="23.25">
      <c r="A120" s="1"/>
      <c r="B120" s="1"/>
      <c r="C120" s="110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4"/>
      <c r="O120" s="1"/>
      <c r="P120" s="5"/>
      <c r="Q120" s="5"/>
      <c r="R120" s="5"/>
      <c r="S120" s="5"/>
      <c r="T120" s="5"/>
      <c r="U120" s="5"/>
      <c r="V120" s="5"/>
      <c r="W120" s="5"/>
      <c r="X120" s="5"/>
      <c r="Y120" s="5"/>
    </row>
    <row r="121" spans="1:25" ht="23.25">
      <c r="A121" s="1"/>
      <c r="B121" s="1"/>
      <c r="C121" s="1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4"/>
      <c r="O121" s="1"/>
      <c r="P121" s="5"/>
      <c r="Q121" s="5"/>
      <c r="R121" s="5"/>
      <c r="S121" s="5"/>
      <c r="T121" s="5"/>
      <c r="U121" s="5"/>
      <c r="V121" s="5"/>
      <c r="W121" s="5"/>
      <c r="X121" s="5"/>
      <c r="Y121" s="5"/>
    </row>
    <row r="122" spans="1:25" ht="23.45" customHeight="1">
      <c r="A122" s="1"/>
      <c r="B122" s="1"/>
      <c r="C122" s="110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4"/>
      <c r="O122" s="1"/>
      <c r="P122" s="5"/>
      <c r="Q122" s="5"/>
      <c r="R122" s="5"/>
      <c r="S122" s="5"/>
      <c r="T122" s="5"/>
      <c r="U122" s="5"/>
      <c r="V122" s="5"/>
      <c r="W122" s="5"/>
      <c r="X122" s="5"/>
      <c r="Y122" s="5"/>
    </row>
    <row r="123" spans="1:25" ht="23.25">
      <c r="A123" s="1"/>
      <c r="B123" s="1"/>
      <c r="C123" s="1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4"/>
      <c r="O123" s="1"/>
      <c r="P123" s="5"/>
      <c r="Q123" s="5"/>
      <c r="R123" s="5"/>
      <c r="S123" s="5"/>
      <c r="T123" s="5"/>
      <c r="U123" s="5"/>
      <c r="V123" s="5"/>
      <c r="W123" s="5"/>
      <c r="X123" s="5"/>
      <c r="Y123" s="5"/>
    </row>
    <row r="124" spans="1:25" ht="15.6" customHeight="1">
      <c r="A124" s="1"/>
      <c r="B124" s="1"/>
      <c r="C124" s="1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4"/>
      <c r="O124" s="1"/>
      <c r="P124" s="5"/>
      <c r="Q124" s="5"/>
      <c r="R124" s="5"/>
      <c r="S124" s="5"/>
      <c r="T124" s="5"/>
      <c r="U124" s="5"/>
      <c r="V124" s="5"/>
      <c r="W124" s="5"/>
      <c r="X124" s="5"/>
      <c r="Y124" s="5"/>
    </row>
    <row r="125" spans="1:25" ht="15.6" customHeight="1">
      <c r="A125" s="1"/>
      <c r="B125" s="1"/>
      <c r="C125" s="110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4"/>
      <c r="P125" s="5"/>
      <c r="Q125" s="5"/>
      <c r="R125" s="5"/>
      <c r="S125" s="5"/>
      <c r="T125" s="5"/>
      <c r="U125" s="5"/>
      <c r="V125" s="5"/>
      <c r="W125" s="5"/>
      <c r="X125" s="5"/>
      <c r="Y125" s="5"/>
    </row>
    <row r="126" spans="1:25" ht="23.25">
      <c r="A126" s="1"/>
      <c r="B126" s="1"/>
      <c r="C126" s="110"/>
      <c r="D126" s="299" t="str">
        <f ca="1">"Teresina, " &amp; TEXT(TODAY(), "dd") &amp; " de " &amp; TEXT(TODAY(), "mmmm") &amp; " de " &amp; TEXT(TODAY(), "aaaa")</f>
        <v>Teresina, 22 de fevereiro de 2025</v>
      </c>
      <c r="E126" s="299"/>
      <c r="F126" s="299"/>
      <c r="G126" s="299"/>
      <c r="H126" s="299"/>
      <c r="I126" s="299"/>
      <c r="J126" s="299"/>
      <c r="K126" s="299"/>
      <c r="L126" s="299"/>
      <c r="M126" s="299"/>
      <c r="N126" s="4"/>
      <c r="O126" s="1"/>
      <c r="P126" s="5"/>
      <c r="Q126" s="5"/>
      <c r="R126" s="5"/>
      <c r="S126" s="5"/>
      <c r="T126" s="5"/>
      <c r="U126" s="5"/>
      <c r="V126" s="5"/>
      <c r="W126" s="5"/>
      <c r="X126" s="5"/>
      <c r="Y126" s="5"/>
    </row>
    <row r="127" spans="1:25" ht="23.25">
      <c r="A127" s="1"/>
      <c r="B127" s="1"/>
      <c r="C127" s="110"/>
      <c r="D127" s="299" t="str">
        <f>[1]MENU!$AD$24</f>
        <v>Gabriel de Jesus Silva</v>
      </c>
      <c r="E127" s="299"/>
      <c r="F127" s="299"/>
      <c r="G127" s="299"/>
      <c r="H127" s="299"/>
      <c r="I127" s="299"/>
      <c r="J127" s="299"/>
      <c r="K127" s="299"/>
      <c r="L127" s="299"/>
      <c r="M127" s="299"/>
      <c r="N127" s="4"/>
      <c r="O127" s="1"/>
      <c r="P127" s="5"/>
      <c r="Q127" s="5"/>
      <c r="R127" s="5"/>
      <c r="S127" s="5"/>
      <c r="T127" s="5"/>
      <c r="U127" s="5"/>
      <c r="V127" s="5"/>
      <c r="W127" s="5"/>
      <c r="X127" s="5"/>
      <c r="Y127" s="5"/>
    </row>
    <row r="128" spans="1:25" ht="23.25">
      <c r="A128" s="1"/>
      <c r="B128" s="1"/>
      <c r="C128" s="110"/>
      <c r="D128" s="299" t="str">
        <f>[1]MENU!$AD$25</f>
        <v>Servidor TJ/PI - Coordenadoria de Precatórios</v>
      </c>
      <c r="E128" s="299"/>
      <c r="F128" s="299"/>
      <c r="G128" s="299"/>
      <c r="H128" s="299"/>
      <c r="I128" s="299"/>
      <c r="J128" s="299"/>
      <c r="K128" s="299"/>
      <c r="L128" s="299"/>
      <c r="M128" s="299"/>
      <c r="N128" s="4"/>
      <c r="O128" s="1"/>
      <c r="P128" s="5"/>
      <c r="Q128" s="5"/>
      <c r="R128" s="5"/>
      <c r="S128" s="5"/>
      <c r="T128" s="5"/>
      <c r="U128" s="5"/>
      <c r="V128" s="5"/>
      <c r="W128" s="5"/>
      <c r="X128" s="5"/>
      <c r="Y128" s="5"/>
    </row>
    <row r="129" spans="1:25" ht="23.25">
      <c r="A129" s="1"/>
      <c r="B129" s="1"/>
      <c r="C129" s="232"/>
      <c r="D129" s="299"/>
      <c r="E129" s="299"/>
      <c r="F129" s="299"/>
      <c r="G129" s="299"/>
      <c r="H129" s="299"/>
      <c r="I129" s="299"/>
      <c r="J129" s="299"/>
      <c r="K129" s="299"/>
      <c r="L129" s="299"/>
      <c r="M129" s="299"/>
      <c r="N129" s="4"/>
      <c r="O129" s="1"/>
      <c r="P129" s="5"/>
      <c r="Q129" s="5"/>
      <c r="R129" s="5"/>
      <c r="S129" s="5"/>
      <c r="T129" s="5"/>
      <c r="U129" s="5"/>
      <c r="V129" s="5"/>
      <c r="W129" s="5"/>
      <c r="X129" s="5"/>
      <c r="Y129" s="5"/>
    </row>
    <row r="130" spans="1:25" ht="15.6" customHeight="1">
      <c r="A130" s="1"/>
      <c r="B130" s="1"/>
      <c r="C130" s="232"/>
      <c r="D130" s="110"/>
      <c r="E130" s="110"/>
      <c r="F130" s="110"/>
      <c r="G130" s="110"/>
      <c r="H130" s="110"/>
      <c r="I130" s="110"/>
      <c r="J130" s="110"/>
      <c r="K130" s="110"/>
      <c r="L130" s="110"/>
      <c r="M130" s="4"/>
      <c r="N130" s="3"/>
      <c r="O130" s="3"/>
      <c r="P130" s="5"/>
      <c r="Q130" s="5"/>
      <c r="R130" s="5"/>
      <c r="S130" s="5"/>
      <c r="T130" s="5"/>
      <c r="U130" s="5"/>
      <c r="V130" s="5"/>
      <c r="W130" s="5"/>
      <c r="X130" s="5"/>
      <c r="Y130" s="5"/>
    </row>
    <row r="131" spans="1:25" ht="15.6" customHeight="1">
      <c r="A131" s="1"/>
      <c r="B131" s="1"/>
      <c r="C131" s="232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5"/>
      <c r="Q131" s="5"/>
      <c r="R131" s="5"/>
      <c r="S131" s="5"/>
      <c r="T131" s="5"/>
      <c r="U131" s="5"/>
      <c r="V131" s="5"/>
      <c r="W131" s="5"/>
      <c r="X131" s="5"/>
      <c r="Y131" s="5"/>
    </row>
    <row r="132" spans="1:25" ht="15.6" customHeight="1">
      <c r="A132" s="1"/>
      <c r="B132" s="1"/>
      <c r="C132" s="11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5"/>
      <c r="Q132" s="5"/>
      <c r="R132" s="5"/>
      <c r="S132" s="5"/>
      <c r="T132" s="5"/>
      <c r="U132" s="5"/>
      <c r="V132" s="5"/>
      <c r="W132" s="5"/>
      <c r="X132" s="5"/>
      <c r="Y132" s="5"/>
    </row>
    <row r="133" spans="1:25" ht="15.6" customHeight="1">
      <c r="A133" s="1"/>
      <c r="B133" s="1"/>
      <c r="C133" s="23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5"/>
      <c r="Q133" s="5"/>
      <c r="R133" s="5"/>
      <c r="S133" s="5"/>
      <c r="T133" s="5"/>
      <c r="U133" s="5"/>
      <c r="V133" s="5"/>
      <c r="W133" s="5"/>
      <c r="X133" s="5"/>
      <c r="Y133" s="5"/>
    </row>
    <row r="134" spans="1:25" ht="15.6" customHeight="1">
      <c r="A134" s="1"/>
      <c r="B134" s="1"/>
      <c r="C134" s="234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5"/>
      <c r="Q134" s="5"/>
      <c r="R134" s="5"/>
      <c r="S134" s="5"/>
      <c r="T134" s="5"/>
      <c r="U134" s="5"/>
      <c r="V134" s="5"/>
      <c r="W134" s="5"/>
      <c r="X134" s="5"/>
      <c r="Y134" s="5"/>
    </row>
    <row r="135" spans="1:25" ht="15.6" customHeight="1">
      <c r="A135" s="1"/>
      <c r="B135" s="1"/>
      <c r="C135" s="11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5"/>
      <c r="Q135" s="5"/>
      <c r="R135" s="5"/>
      <c r="S135" s="5"/>
      <c r="T135" s="5"/>
      <c r="U135" s="5"/>
      <c r="V135" s="5"/>
      <c r="W135" s="5"/>
      <c r="X135" s="5"/>
      <c r="Y135" s="5"/>
    </row>
    <row r="136" spans="1:25" ht="15.6" customHeight="1">
      <c r="A136" s="1"/>
      <c r="B136" s="1"/>
      <c r="C136" s="11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5"/>
      <c r="Q136" s="5"/>
      <c r="R136" s="5"/>
      <c r="S136" s="5"/>
      <c r="T136" s="5"/>
      <c r="U136" s="5"/>
      <c r="V136" s="5"/>
      <c r="W136" s="5"/>
      <c r="X136" s="5"/>
      <c r="Y136" s="5"/>
    </row>
    <row r="137" spans="1:25" ht="15.6" customHeight="1">
      <c r="A137" s="1"/>
      <c r="B137" s="1"/>
      <c r="C137" s="11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5"/>
      <c r="Q137" s="5"/>
      <c r="R137" s="5"/>
      <c r="S137" s="5"/>
      <c r="T137" s="5"/>
      <c r="U137" s="5"/>
      <c r="V137" s="5"/>
      <c r="W137" s="5"/>
      <c r="X137" s="5"/>
      <c r="Y137" s="5"/>
    </row>
    <row r="138" spans="1:25" ht="15.6" customHeight="1">
      <c r="A138" s="1"/>
      <c r="B138" s="1"/>
      <c r="C138" s="11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5"/>
      <c r="Q138" s="5"/>
      <c r="R138" s="5"/>
      <c r="S138" s="5"/>
      <c r="T138" s="5"/>
      <c r="U138" s="5"/>
      <c r="V138" s="5"/>
      <c r="W138" s="5"/>
      <c r="X138" s="5"/>
      <c r="Y138" s="5"/>
    </row>
    <row r="139" spans="1:25" ht="15.6" customHeight="1">
      <c r="A139" s="1"/>
      <c r="B139" s="1"/>
      <c r="C139" s="11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5"/>
      <c r="Q139" s="5"/>
      <c r="R139" s="5"/>
      <c r="S139" s="5"/>
      <c r="T139" s="5"/>
      <c r="U139" s="5"/>
      <c r="V139" s="5"/>
      <c r="W139" s="5"/>
      <c r="X139" s="5"/>
      <c r="Y139" s="5"/>
    </row>
    <row r="140" spans="1:25" ht="15.6" customHeight="1">
      <c r="A140" s="1"/>
      <c r="B140" s="1"/>
      <c r="C140" s="11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5"/>
      <c r="Q140" s="5"/>
      <c r="R140" s="5"/>
      <c r="S140" s="5"/>
      <c r="T140" s="5"/>
      <c r="U140" s="5"/>
      <c r="V140" s="5"/>
      <c r="W140" s="5"/>
      <c r="X140" s="5"/>
      <c r="Y140" s="5"/>
    </row>
    <row r="141" spans="1:25" ht="15.6" customHeight="1">
      <c r="A141" s="1"/>
      <c r="B141" s="1"/>
      <c r="C141" s="11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5"/>
      <c r="Q141" s="5"/>
      <c r="R141" s="5"/>
      <c r="S141" s="5"/>
      <c r="T141" s="5"/>
      <c r="U141" s="5"/>
      <c r="V141" s="5"/>
      <c r="W141" s="5"/>
      <c r="X141" s="5"/>
      <c r="Y141" s="5"/>
    </row>
    <row r="142" spans="1:25" ht="15.6" customHeight="1">
      <c r="A142" s="1"/>
      <c r="B142" s="1"/>
      <c r="C142" s="11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5"/>
      <c r="Q142" s="5"/>
      <c r="R142" s="5"/>
      <c r="S142" s="5"/>
      <c r="T142" s="5"/>
      <c r="U142" s="5"/>
      <c r="V142" s="5"/>
      <c r="W142" s="5"/>
      <c r="X142" s="5"/>
      <c r="Y142" s="5"/>
    </row>
    <row r="143" spans="1:25" ht="15.6" customHeight="1">
      <c r="A143" s="1"/>
      <c r="B143" s="1"/>
      <c r="C143" s="11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5"/>
      <c r="Q143" s="5"/>
      <c r="R143" s="5"/>
      <c r="S143" s="5"/>
      <c r="T143" s="5"/>
      <c r="U143" s="5"/>
      <c r="V143" s="5"/>
      <c r="W143" s="5"/>
      <c r="X143" s="5"/>
      <c r="Y143" s="5"/>
    </row>
    <row r="144" spans="1:25" ht="15.6" customHeight="1">
      <c r="A144" s="1"/>
      <c r="B144" s="1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5"/>
      <c r="Q144" s="5"/>
      <c r="R144" s="5"/>
      <c r="S144" s="5"/>
      <c r="T144" s="5"/>
      <c r="U144" s="5"/>
      <c r="V144" s="5"/>
      <c r="W144" s="5"/>
      <c r="X144" s="5"/>
      <c r="Y144" s="5"/>
    </row>
    <row r="145" spans="1:25" ht="15.6" customHeight="1">
      <c r="A145" s="1"/>
      <c r="B145" s="1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5"/>
      <c r="Q145" s="5"/>
      <c r="R145" s="5"/>
      <c r="S145" s="5"/>
      <c r="T145" s="5"/>
      <c r="U145" s="5"/>
      <c r="V145" s="5"/>
      <c r="W145" s="5"/>
      <c r="X145" s="5"/>
      <c r="Y145" s="5"/>
    </row>
    <row r="146" spans="1:25" ht="15.6" customHeight="1">
      <c r="A146" s="1"/>
      <c r="B146" s="1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5"/>
      <c r="Q146" s="5"/>
      <c r="R146" s="5"/>
      <c r="S146" s="5"/>
      <c r="T146" s="5"/>
      <c r="U146" s="5"/>
      <c r="V146" s="5"/>
      <c r="W146" s="5"/>
      <c r="X146" s="5"/>
      <c r="Y146" s="5"/>
    </row>
    <row r="147" spans="1:25" ht="15.6" customHeight="1">
      <c r="A147" s="1"/>
      <c r="B147" s="1"/>
      <c r="C147" s="3"/>
      <c r="D147" s="24"/>
      <c r="E147" s="24"/>
      <c r="F147" s="24"/>
      <c r="G147" s="24"/>
      <c r="H147" s="24"/>
      <c r="I147" s="24"/>
      <c r="J147" s="24"/>
      <c r="K147" s="235"/>
    </row>
    <row r="148" spans="1:25" ht="15.6" customHeight="1">
      <c r="C148" s="235"/>
      <c r="D148" s="24"/>
      <c r="E148" s="24"/>
      <c r="F148" s="24"/>
      <c r="G148" s="24"/>
      <c r="H148" s="24"/>
      <c r="I148" s="24"/>
      <c r="J148" s="24"/>
      <c r="K148" s="235"/>
    </row>
    <row r="149" spans="1:25" ht="15.6" customHeight="1">
      <c r="C149" s="235"/>
      <c r="D149" s="24"/>
      <c r="E149" s="24"/>
      <c r="F149" s="24"/>
      <c r="G149" s="24"/>
      <c r="H149" s="24"/>
      <c r="I149" s="24"/>
      <c r="J149" s="24"/>
      <c r="K149" s="235"/>
    </row>
    <row r="150" spans="1:25" ht="15.6" customHeight="1">
      <c r="C150" s="235"/>
      <c r="D150" s="24"/>
      <c r="E150" s="24"/>
      <c r="F150" s="24"/>
      <c r="G150" s="24"/>
      <c r="H150" s="24"/>
      <c r="I150" s="24"/>
      <c r="J150" s="24"/>
      <c r="K150" s="235"/>
    </row>
    <row r="151" spans="1:25" ht="15.6" customHeight="1">
      <c r="C151" s="235"/>
      <c r="D151" s="24"/>
      <c r="E151" s="24"/>
      <c r="F151" s="24"/>
      <c r="G151" s="24"/>
      <c r="H151" s="24"/>
      <c r="I151" s="24"/>
      <c r="J151" s="24"/>
      <c r="K151" s="235"/>
    </row>
    <row r="152" spans="1:25" ht="15.6" customHeight="1">
      <c r="C152" s="235"/>
      <c r="D152" s="24"/>
      <c r="E152" s="24"/>
      <c r="F152" s="24"/>
      <c r="G152" s="24"/>
      <c r="H152" s="24"/>
      <c r="I152" s="24"/>
      <c r="J152" s="24"/>
      <c r="K152" s="235"/>
    </row>
    <row r="153" spans="1:25" ht="15.6" customHeight="1">
      <c r="C153" s="235"/>
      <c r="D153" s="24"/>
      <c r="E153" s="24"/>
      <c r="F153" s="24"/>
      <c r="G153" s="24"/>
      <c r="H153" s="24"/>
      <c r="I153" s="24"/>
      <c r="J153" s="24"/>
      <c r="K153" s="235"/>
    </row>
    <row r="154" spans="1:25" ht="15.6" customHeight="1">
      <c r="C154" s="235"/>
      <c r="D154" s="24"/>
      <c r="E154" s="24"/>
      <c r="F154" s="24"/>
      <c r="G154" s="24"/>
      <c r="H154" s="24"/>
      <c r="I154" s="24"/>
      <c r="J154" s="24"/>
      <c r="K154" s="235"/>
    </row>
    <row r="155" spans="1:25" ht="15.6" customHeight="1">
      <c r="C155" s="235"/>
      <c r="D155" s="24"/>
      <c r="E155" s="24"/>
      <c r="F155" s="24"/>
      <c r="G155" s="24"/>
      <c r="H155" s="24"/>
      <c r="I155" s="24"/>
      <c r="J155" s="24"/>
      <c r="K155" s="235"/>
    </row>
    <row r="156" spans="1:25" ht="15.6" customHeight="1">
      <c r="C156" s="235"/>
      <c r="D156" s="24"/>
      <c r="E156" s="24"/>
      <c r="F156" s="24"/>
      <c r="G156" s="24"/>
      <c r="H156" s="24"/>
      <c r="I156" s="24"/>
      <c r="J156" s="24"/>
      <c r="K156" s="235"/>
    </row>
    <row r="157" spans="1:25" ht="15.6" customHeight="1">
      <c r="C157" s="235"/>
      <c r="D157" s="24"/>
      <c r="E157" s="24"/>
      <c r="F157" s="24"/>
      <c r="G157" s="24"/>
      <c r="H157" s="24"/>
      <c r="I157" s="24"/>
      <c r="J157" s="24"/>
      <c r="K157" s="235"/>
    </row>
    <row r="158" spans="1:25" ht="15.6" customHeight="1">
      <c r="C158" s="235"/>
      <c r="D158" s="24"/>
      <c r="E158" s="24"/>
      <c r="F158" s="24"/>
      <c r="G158" s="24"/>
      <c r="H158" s="24"/>
      <c r="I158" s="24"/>
      <c r="J158" s="24"/>
      <c r="K158" s="235"/>
    </row>
    <row r="159" spans="1:25" ht="15.6" customHeight="1">
      <c r="C159" s="235"/>
      <c r="D159" s="24"/>
      <c r="E159" s="24"/>
      <c r="F159" s="24"/>
      <c r="G159" s="24"/>
      <c r="H159" s="24"/>
      <c r="I159" s="24"/>
      <c r="J159" s="24"/>
      <c r="K159" s="235"/>
    </row>
    <row r="160" spans="1:25" ht="15.6" customHeight="1">
      <c r="C160" s="235"/>
      <c r="D160" s="24"/>
      <c r="E160" s="24"/>
      <c r="F160" s="24"/>
      <c r="G160" s="24"/>
      <c r="H160" s="24"/>
      <c r="I160" s="24"/>
      <c r="J160" s="24"/>
      <c r="K160" s="235"/>
    </row>
    <row r="161" spans="3:11" ht="15.6" customHeight="1">
      <c r="C161" s="235"/>
      <c r="D161" s="24"/>
      <c r="E161" s="24"/>
      <c r="F161" s="24"/>
      <c r="G161" s="24"/>
      <c r="H161" s="24"/>
      <c r="I161" s="24"/>
      <c r="J161" s="24"/>
      <c r="K161" s="235"/>
    </row>
    <row r="162" spans="3:11" ht="15.6" customHeight="1">
      <c r="C162" s="235"/>
      <c r="D162" s="24"/>
      <c r="E162" s="24"/>
      <c r="F162" s="24"/>
      <c r="G162" s="24"/>
      <c r="H162" s="24"/>
      <c r="I162" s="24"/>
      <c r="J162" s="24"/>
      <c r="K162" s="235"/>
    </row>
    <row r="163" spans="3:11" ht="15.6" customHeight="1">
      <c r="C163" s="235"/>
      <c r="D163" s="24"/>
      <c r="E163" s="24"/>
      <c r="F163" s="24"/>
      <c r="G163" s="24"/>
      <c r="H163" s="24"/>
      <c r="I163" s="24"/>
      <c r="J163" s="24"/>
      <c r="K163" s="235"/>
    </row>
    <row r="164" spans="3:11" ht="15.6" customHeight="1">
      <c r="C164" s="235"/>
      <c r="D164" s="24"/>
      <c r="E164" s="24"/>
      <c r="F164" s="24"/>
      <c r="G164" s="24"/>
      <c r="H164" s="24"/>
      <c r="I164" s="24"/>
      <c r="J164" s="24"/>
      <c r="K164" s="235"/>
    </row>
    <row r="165" spans="3:11" ht="15.6" customHeight="1">
      <c r="C165" s="235"/>
      <c r="D165" s="24"/>
      <c r="E165" s="24"/>
      <c r="F165" s="24"/>
      <c r="G165" s="24"/>
      <c r="H165" s="24"/>
      <c r="I165" s="24"/>
      <c r="J165" s="24"/>
      <c r="K165" s="235"/>
    </row>
    <row r="166" spans="3:11" ht="15.6" customHeight="1">
      <c r="C166" s="235"/>
      <c r="D166" s="24"/>
      <c r="E166" s="24"/>
      <c r="F166" s="24"/>
      <c r="G166" s="24"/>
      <c r="H166" s="24"/>
      <c r="I166" s="24"/>
      <c r="J166" s="24"/>
      <c r="K166" s="235"/>
    </row>
    <row r="167" spans="3:11" ht="15.6" customHeight="1">
      <c r="C167" s="235"/>
      <c r="D167" s="24"/>
      <c r="E167" s="24"/>
      <c r="F167" s="24"/>
      <c r="G167" s="24"/>
      <c r="H167" s="24"/>
      <c r="I167" s="24"/>
      <c r="J167" s="24"/>
      <c r="K167" s="235"/>
    </row>
  </sheetData>
  <mergeCells count="73">
    <mergeCell ref="D129:M129"/>
    <mergeCell ref="T98:T99"/>
    <mergeCell ref="W98:W99"/>
    <mergeCell ref="R114:X114"/>
    <mergeCell ref="D126:M126"/>
    <mergeCell ref="D127:M127"/>
    <mergeCell ref="D128:M128"/>
    <mergeCell ref="U74:V74"/>
    <mergeCell ref="D83:L83"/>
    <mergeCell ref="D84:E84"/>
    <mergeCell ref="D85:E85"/>
    <mergeCell ref="D86:E86"/>
    <mergeCell ref="D67:E67"/>
    <mergeCell ref="D68:E68"/>
    <mergeCell ref="Q96:R97"/>
    <mergeCell ref="D70:E70"/>
    <mergeCell ref="D71:E71"/>
    <mergeCell ref="R74:S74"/>
    <mergeCell ref="D87:E87"/>
    <mergeCell ref="D88:E88"/>
    <mergeCell ref="D94:E94"/>
    <mergeCell ref="D69:E69"/>
    <mergeCell ref="D56:E56"/>
    <mergeCell ref="D57:E57"/>
    <mergeCell ref="D58:E58"/>
    <mergeCell ref="J63:L63"/>
    <mergeCell ref="C66:N66"/>
    <mergeCell ref="D59:E59"/>
    <mergeCell ref="D60:F60"/>
    <mergeCell ref="D47:E47"/>
    <mergeCell ref="D49:F49"/>
    <mergeCell ref="D50:E50"/>
    <mergeCell ref="D51:E51"/>
    <mergeCell ref="D52:E52"/>
    <mergeCell ref="D54:E54"/>
    <mergeCell ref="D55:E55"/>
    <mergeCell ref="D39:E39"/>
    <mergeCell ref="S22:S23"/>
    <mergeCell ref="J23:L23"/>
    <mergeCell ref="J25:L25"/>
    <mergeCell ref="D36:E36"/>
    <mergeCell ref="D37:E37"/>
    <mergeCell ref="D38:E38"/>
    <mergeCell ref="D53:E53"/>
    <mergeCell ref="D40:E40"/>
    <mergeCell ref="D42:F42"/>
    <mergeCell ref="D43:E43"/>
    <mergeCell ref="D44:E44"/>
    <mergeCell ref="D45:E45"/>
    <mergeCell ref="D46:E46"/>
    <mergeCell ref="T25:V25"/>
    <mergeCell ref="K27:M27"/>
    <mergeCell ref="D33:N33"/>
    <mergeCell ref="D34:F34"/>
    <mergeCell ref="D35:E35"/>
    <mergeCell ref="J21:K21"/>
    <mergeCell ref="R11:S11"/>
    <mergeCell ref="C13:L13"/>
    <mergeCell ref="R13:S13"/>
    <mergeCell ref="R14:S14"/>
    <mergeCell ref="R15:S15"/>
    <mergeCell ref="R17:W17"/>
    <mergeCell ref="K18:K20"/>
    <mergeCell ref="L18:L20"/>
    <mergeCell ref="R18:S18"/>
    <mergeCell ref="T18:U18"/>
    <mergeCell ref="V18:W18"/>
    <mergeCell ref="R10:S10"/>
    <mergeCell ref="C4:L4"/>
    <mergeCell ref="C5:L5"/>
    <mergeCell ref="R6:S6"/>
    <mergeCell ref="R8:S8"/>
    <mergeCell ref="R9:S9"/>
  </mergeCells>
  <conditionalFormatting sqref="D94:F97">
    <cfRule type="expression" dxfId="16" priority="1">
      <formula>$Q$14="Não"</formula>
    </cfRule>
  </conditionalFormatting>
  <conditionalFormatting sqref="D107:H107">
    <cfRule type="expression" dxfId="15" priority="5">
      <formula>$R$6="Não"</formula>
    </cfRule>
  </conditionalFormatting>
  <conditionalFormatting sqref="D119:K119">
    <cfRule type="expression" dxfId="14" priority="7">
      <formula>$Q$14="Sim"</formula>
    </cfRule>
  </conditionalFormatting>
  <conditionalFormatting sqref="D86:L87">
    <cfRule type="expression" dxfId="13" priority="3">
      <formula>$Q$15="Não"</formula>
    </cfRule>
  </conditionalFormatting>
  <conditionalFormatting sqref="D87:L87">
    <cfRule type="expression" dxfId="12" priority="2">
      <formula>$Q$15="Não"</formula>
    </cfRule>
  </conditionalFormatting>
  <conditionalFormatting sqref="D33:N63">
    <cfRule type="expression" dxfId="11" priority="6">
      <formula>$R$6="Não"</formula>
    </cfRule>
  </conditionalFormatting>
  <conditionalFormatting sqref="J23:N23">
    <cfRule type="expression" dxfId="10" priority="13">
      <formula>$R$4="Honorários sucumbenciais"</formula>
    </cfRule>
    <cfRule type="expression" dxfId="9" priority="16">
      <formula>$V$8="Não"</formula>
    </cfRule>
  </conditionalFormatting>
  <conditionalFormatting sqref="J25:N25">
    <cfRule type="expression" dxfId="8" priority="10">
      <formula>$R$4="Honorários contratuais"</formula>
    </cfRule>
  </conditionalFormatting>
  <conditionalFormatting sqref="J25:N27">
    <cfRule type="expression" dxfId="7" priority="17">
      <formula>$R$8="Não"</formula>
    </cfRule>
  </conditionalFormatting>
  <conditionalFormatting sqref="K27:N27">
    <cfRule type="expression" dxfId="6" priority="14">
      <formula>$R$5="Sim"</formula>
    </cfRule>
    <cfRule type="expression" dxfId="5" priority="15">
      <formula>$V$8="Sim"</formula>
    </cfRule>
  </conditionalFormatting>
  <conditionalFormatting sqref="M23">
    <cfRule type="expression" dxfId="4" priority="12">
      <formula>$R$4="Honorários sucumbenciais"</formula>
    </cfRule>
  </conditionalFormatting>
  <conditionalFormatting sqref="M25">
    <cfRule type="expression" dxfId="3" priority="9">
      <formula>$R$4="Honorários contratuais"</formula>
    </cfRule>
  </conditionalFormatting>
  <conditionalFormatting sqref="N23">
    <cfRule type="expression" dxfId="2" priority="11">
      <formula>$R$4="Honorários sucumbenciais"</formula>
    </cfRule>
  </conditionalFormatting>
  <conditionalFormatting sqref="N25">
    <cfRule type="expression" dxfId="1" priority="8">
      <formula>$R$4="Honorários contratuais"</formula>
    </cfRule>
  </conditionalFormatting>
  <conditionalFormatting sqref="D85:L85">
    <cfRule type="expression" dxfId="0" priority="4">
      <formula>$Q$14="Não"</formula>
    </cfRule>
  </conditionalFormatting>
  <dataValidations count="3">
    <dataValidation type="list" allowBlank="1" showInputMessage="1" showErrorMessage="1" sqref="U89 W98" xr:uid="{2976C857-766A-487D-94FA-E620C2B4B154}">
      <formula1>"Sim,Não"</formula1>
    </dataValidation>
    <dataValidation type="list" allowBlank="1" showInputMessage="1" showErrorMessage="1" sqref="V11:W12 R12:S12" xr:uid="{053E5D53-A6E2-4C9A-9BFA-9900B4DD24DB}">
      <formula1>"CNPJ,CPF,NÃO"</formula1>
    </dataValidation>
    <dataValidation type="list" allowBlank="1" showInputMessage="1" showErrorMessage="1" sqref="R8 V8 R5:R6 R10 Q14:Q15" xr:uid="{D79725EE-0652-429C-8ACA-3EB5DF1ED56D}">
      <formula1>"Sim,Não,"</formula1>
    </dataValidation>
  </dataValidations>
  <hyperlinks>
    <hyperlink ref="Q31" location="'ACORDO SINDIFAZ M.SOCORRO'!A1" display="ACORDO SINDIFAZ M.SOCORRO" xr:uid="{9029AC52-E0AB-4CA3-8397-88A90298DB5A}"/>
  </hyperlinks>
  <pageMargins left="0.7" right="0.7" top="0.75" bottom="0.75" header="0.3" footer="0.3"/>
  <pageSetup paperSize="9" scale="22" orientation="portrait" r:id="rId1"/>
  <rowBreaks count="1" manualBreakCount="1">
    <brk id="79" min="2" max="13" man="1"/>
  </rowBreaks>
  <colBreaks count="1" manualBreakCount="1">
    <brk id="14" max="153" man="1"/>
  </colBreaks>
  <drawing r:id="rId2"/>
  <legacyDrawing r:id="rId3"/>
  <oleObjects>
    <mc:AlternateContent xmlns:mc="http://schemas.openxmlformats.org/markup-compatibility/2006">
      <mc:Choice Requires="x14">
        <oleObject progId="Word.Picture.8" shapeId="1025" r:id="rId4">
          <objectPr defaultSize="0" autoPict="0" r:id="rId5">
            <anchor moveWithCells="1" sizeWithCells="1">
              <from>
                <xdr:col>6</xdr:col>
                <xdr:colOff>923925</xdr:colOff>
                <xdr:row>0</xdr:row>
                <xdr:rowOff>0</xdr:rowOff>
              </from>
              <to>
                <xdr:col>8</xdr:col>
                <xdr:colOff>57150</xdr:colOff>
                <xdr:row>2</xdr:row>
                <xdr:rowOff>171450</xdr:rowOff>
              </to>
            </anchor>
          </objectPr>
        </oleObject>
      </mc:Choice>
      <mc:Fallback>
        <oleObject progId="Word.Picture.8" shapeId="102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1]!LimparCálculos">
                <anchor moveWithCells="1" sizeWithCells="1">
                  <from>
                    <xdr:col>17</xdr:col>
                    <xdr:colOff>438150</xdr:colOff>
                    <xdr:row>0</xdr:row>
                    <xdr:rowOff>161925</xdr:rowOff>
                  </from>
                  <to>
                    <xdr:col>17</xdr:col>
                    <xdr:colOff>2133600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LimparCálculos">
                <anchor moveWithCells="1" sizeWithCells="1">
                  <from>
                    <xdr:col>15</xdr:col>
                    <xdr:colOff>762000</xdr:colOff>
                    <xdr:row>84</xdr:row>
                    <xdr:rowOff>933450</xdr:rowOff>
                  </from>
                  <to>
                    <xdr:col>16</xdr:col>
                    <xdr:colOff>1676400</xdr:colOff>
                    <xdr:row>86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12</vt:i4>
      </vt:variant>
    </vt:vector>
  </HeadingPairs>
  <TitlesOfParts>
    <vt:vector size="13" baseType="lpstr">
      <vt:lpstr>ACORDO SINDIFAZ</vt:lpstr>
      <vt:lpstr>aliquotaprevidencia</vt:lpstr>
      <vt:lpstr>'ACORDO SINDIFAZ'!Area_de_impressao</vt:lpstr>
      <vt:lpstr>formulaprev</vt:lpstr>
      <vt:lpstr>Nome_U</vt:lpstr>
      <vt:lpstr>Nome_V</vt:lpstr>
      <vt:lpstr>NomeContador</vt:lpstr>
      <vt:lpstr>pag</vt:lpstr>
      <vt:lpstr>prevpagapref</vt:lpstr>
      <vt:lpstr>rratotal</vt:lpstr>
      <vt:lpstr>selicpercentual</vt:lpstr>
      <vt:lpstr>selicvalor</vt:lpstr>
      <vt:lpstr>valorbruto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de Jesus Silva</dc:creator>
  <cp:lastModifiedBy>gabriel jesus</cp:lastModifiedBy>
  <dcterms:created xsi:type="dcterms:W3CDTF">2015-06-05T18:19:34Z</dcterms:created>
  <dcterms:modified xsi:type="dcterms:W3CDTF">2025-02-22T10:06:08Z</dcterms:modified>
</cp:coreProperties>
</file>