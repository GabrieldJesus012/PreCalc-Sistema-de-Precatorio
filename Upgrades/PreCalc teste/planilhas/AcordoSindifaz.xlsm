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1DCE386B-3300-40DE-B9D0-FDDCCCB0EB6C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ACORDO SINDIFAZ" sheetId="1" r:id="rId1"/>
  </sheets>
  <functionGroups builtInGroupCount="19"/>
  <externalReferences>
    <externalReference r:id="rId2"/>
  </externalReferences>
  <definedNames>
    <definedName name="aliquotaprevidencia">'ACORDO SINDIFAZ'!$V$89</definedName>
    <definedName name="_xlnm.Print_Area" localSheetId="0">'ACORDO SINDIFAZ'!$C$1:$N$154</definedName>
    <definedName name="formulaprev">'ACORDO SINDIFAZ'!$U$91</definedName>
    <definedName name="Nome_U">'ACORDO SINDIFAZ'!$U$90</definedName>
    <definedName name="Nome_V">'ACORDO SINDIFAZ'!$V$89</definedName>
    <definedName name="NomeContador">'ACORDO SINDIFAZ'!$D$127</definedName>
    <definedName name="pag">'ACORDO SINDIFAZ'!$F$47</definedName>
    <definedName name="prevpagapref">'ACORDO SINDIFAZ'!$V$92</definedName>
    <definedName name="rratotal">'ACORDO SINDIFAZ'!$R$98</definedName>
    <definedName name="selicpercentual">'ACORDO SINDIFAZ'!$K$18</definedName>
    <definedName name="selicvalor">'ACORDO SINDIFAZ'!$L$18</definedName>
    <definedName name="valorbruto">'ACORDO SINDIFAZ'!$H$88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8" i="1" l="1"/>
  <c r="D127" i="1"/>
  <c r="D126" i="1"/>
  <c r="U117" i="1"/>
  <c r="U116" i="1"/>
  <c r="U93" i="1"/>
  <c r="U94" i="1" s="1"/>
  <c r="U95" i="1" s="1"/>
  <c r="T91" i="1"/>
  <c r="V79" i="1"/>
  <c r="V78" i="1"/>
  <c r="V85" i="1" s="1"/>
  <c r="F71" i="1"/>
  <c r="M63" i="1"/>
  <c r="D60" i="1"/>
  <c r="F57" i="1"/>
  <c r="F54" i="1"/>
  <c r="F38" i="1"/>
  <c r="H36" i="1"/>
  <c r="F37" i="1" s="1"/>
  <c r="AD35" i="1"/>
  <c r="AC34" i="1" s="1"/>
  <c r="AC35" i="1" s="1"/>
  <c r="AE34" i="1"/>
  <c r="AF35" i="1" s="1"/>
  <c r="AG34" i="1" s="1"/>
  <c r="AD34" i="1"/>
  <c r="K27" i="1"/>
  <c r="J25" i="1"/>
  <c r="J21" i="1"/>
  <c r="J20" i="1"/>
  <c r="U19" i="1"/>
  <c r="W19" i="1" s="1"/>
  <c r="R17" i="1"/>
  <c r="F16" i="1"/>
  <c r="E16" i="1"/>
  <c r="F15" i="1"/>
  <c r="E15" i="1"/>
  <c r="L14" i="1"/>
  <c r="E14" i="1"/>
  <c r="E11" i="1"/>
  <c r="E10" i="1"/>
  <c r="D85" i="1" s="1"/>
  <c r="E9" i="1"/>
  <c r="J9" i="1" s="1"/>
  <c r="E8" i="1"/>
  <c r="H16" i="1" s="1" a="1"/>
  <c r="H16" i="1" s="1"/>
  <c r="E7" i="1"/>
  <c r="G16" i="1" l="1"/>
  <c r="E17" i="1"/>
  <c r="G15" i="1"/>
  <c r="R20" i="1" s="1"/>
  <c r="G52" i="1"/>
  <c r="G51" i="1"/>
  <c r="L70" i="1"/>
  <c r="L68" i="1"/>
  <c r="I85" i="1"/>
  <c r="L69" i="1"/>
  <c r="V105" i="1"/>
  <c r="F39" i="1"/>
  <c r="I16" i="1" l="1"/>
  <c r="I17" i="1" s="1"/>
  <c r="G17" i="1"/>
  <c r="J15" i="1"/>
  <c r="L15" i="1" s="1"/>
  <c r="L71" i="1"/>
  <c r="I88" i="1"/>
  <c r="U115" i="1"/>
  <c r="U118" i="1" s="1"/>
  <c r="U119" i="1" s="1"/>
  <c r="F40" i="1"/>
  <c r="G47" i="1" s="1"/>
  <c r="T20" i="1" l="1"/>
  <c r="J16" i="1"/>
  <c r="L16" i="1" s="1"/>
  <c r="L17" i="1"/>
  <c r="J17" i="1"/>
  <c r="F44" i="1"/>
  <c r="F51" i="1" s="1"/>
  <c r="F45" i="1"/>
  <c r="F52" i="1" s="1"/>
  <c r="H52" i="1" s="1"/>
  <c r="F46" i="1"/>
  <c r="H51" i="1" l="1"/>
  <c r="F53" i="1"/>
  <c r="F55" i="1" l="1"/>
  <c r="H53" i="1"/>
  <c r="F56" i="1"/>
  <c r="K18" i="1" l="1"/>
  <c r="F58" i="1" l="1"/>
  <c r="F59" i="1" s="1"/>
  <c r="L18" i="1"/>
  <c r="L21" i="1" s="1"/>
  <c r="G68" i="1" l="1"/>
  <c r="N23" i="1"/>
  <c r="G69" i="1"/>
  <c r="M23" i="1"/>
  <c r="G70" i="1"/>
  <c r="V20" i="1"/>
  <c r="T22" i="1" s="1"/>
  <c r="M25" i="1"/>
  <c r="N25" i="1"/>
  <c r="R19" i="1"/>
  <c r="U92" i="1"/>
  <c r="G59" i="1"/>
  <c r="G60" i="1" s="1"/>
  <c r="V99" i="1"/>
  <c r="T19" i="1" l="1"/>
  <c r="Q98" i="1"/>
  <c r="S26" i="1"/>
  <c r="S20" i="1"/>
  <c r="J70" i="1"/>
  <c r="J68" i="1"/>
  <c r="S85" i="1"/>
  <c r="J69" i="1"/>
  <c r="I70" i="1"/>
  <c r="H70" i="1"/>
  <c r="K70" i="1" s="1"/>
  <c r="I69" i="1"/>
  <c r="H69" i="1"/>
  <c r="N27" i="1"/>
  <c r="N63" i="1" s="1"/>
  <c r="G71" i="1"/>
  <c r="H68" i="1"/>
  <c r="I68" i="1"/>
  <c r="K69" i="1" l="1"/>
  <c r="H71" i="1"/>
  <c r="I71" i="1"/>
  <c r="J71" i="1"/>
  <c r="S75" i="1"/>
  <c r="S27" i="1"/>
  <c r="K68" i="1"/>
  <c r="V19" i="1"/>
  <c r="W20" i="1" s="1"/>
  <c r="S29" i="1" s="1"/>
  <c r="U20" i="1"/>
  <c r="S28" i="1" s="1"/>
  <c r="T28" i="1" s="1"/>
  <c r="U28" i="1" s="1"/>
  <c r="K71" i="1" l="1"/>
  <c r="T27" i="1"/>
  <c r="T29" i="1" s="1"/>
  <c r="S76" i="1"/>
  <c r="S84" i="1"/>
  <c r="S83" i="1"/>
  <c r="S80" i="1"/>
  <c r="S79" i="1"/>
  <c r="S82" i="1"/>
  <c r="F87" i="1" s="1"/>
  <c r="S81" i="1"/>
  <c r="S77" i="1"/>
  <c r="F86" i="1" s="1"/>
  <c r="S78" i="1"/>
  <c r="T23" i="1"/>
  <c r="S86" i="1" l="1"/>
  <c r="S87" i="1" s="1"/>
  <c r="R117" i="1"/>
  <c r="G87" i="1"/>
  <c r="S117" i="1" s="1"/>
  <c r="R116" i="1"/>
  <c r="G86" i="1"/>
  <c r="S116" i="1" s="1"/>
  <c r="U27" i="1"/>
  <c r="F85" i="1" l="1"/>
  <c r="G85" i="1" s="1"/>
  <c r="H85" i="1" s="1"/>
  <c r="H86" i="1"/>
  <c r="U90" i="1"/>
  <c r="U91" i="1" s="1"/>
  <c r="U29" i="1"/>
  <c r="V98" i="1"/>
  <c r="H87" i="1"/>
  <c r="Q99" i="1"/>
  <c r="R100" i="1" s="1"/>
  <c r="Z111" i="1" s="1"/>
  <c r="V107" i="1" s="1"/>
  <c r="R115" i="1" l="1"/>
  <c r="R118" i="1" s="1"/>
  <c r="F88" i="1"/>
  <c r="N68" i="1"/>
  <c r="U111" i="1"/>
  <c r="L85" i="1"/>
  <c r="F95" i="1" s="1"/>
  <c r="N70" i="1"/>
  <c r="N69" i="1"/>
  <c r="T117" i="1"/>
  <c r="D117" i="1"/>
  <c r="J87" i="1"/>
  <c r="V117" i="1" s="1"/>
  <c r="S115" i="1"/>
  <c r="S118" i="1" s="1"/>
  <c r="G88" i="1"/>
  <c r="T115" i="1"/>
  <c r="H88" i="1"/>
  <c r="V100" i="1"/>
  <c r="V101" i="1"/>
  <c r="J86" i="1"/>
  <c r="V116" i="1" s="1"/>
  <c r="T116" i="1"/>
  <c r="D90" i="1" a="1"/>
  <c r="R119" i="1" l="1"/>
  <c r="S119" i="1"/>
  <c r="V102" i="1"/>
  <c r="V103" i="1" s="1"/>
  <c r="V104" i="1" s="1"/>
  <c r="E95" i="1" s="1"/>
  <c r="D90" i="1"/>
  <c r="K86" i="1"/>
  <c r="W116" i="1" s="1"/>
  <c r="X116" i="1" s="1"/>
  <c r="K87" i="1"/>
  <c r="W117" i="1" s="1"/>
  <c r="X117" i="1" s="1"/>
  <c r="T118" i="1"/>
  <c r="N71" i="1"/>
  <c r="E96" i="1" l="1"/>
  <c r="V106" i="1"/>
  <c r="V108" i="1" s="1"/>
  <c r="V109" i="1" s="1"/>
  <c r="V110" i="1" s="1"/>
  <c r="V111" i="1" s="1"/>
  <c r="M68" i="1" s="1"/>
  <c r="T119" i="1"/>
  <c r="D114" i="1" l="1"/>
  <c r="M69" i="1"/>
  <c r="J85" i="1"/>
  <c r="J88" i="1" s="1"/>
  <c r="M70" i="1"/>
  <c r="M71" i="1"/>
  <c r="K85" i="1" l="1"/>
  <c r="V115" i="1"/>
  <c r="K88" i="1"/>
  <c r="W115" i="1"/>
  <c r="W118" i="1" s="1"/>
  <c r="W119" i="1" s="1"/>
  <c r="V118" i="1"/>
  <c r="X115" i="1" l="1"/>
  <c r="V119" i="1"/>
  <c r="X11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<sst xmlns="http://schemas.openxmlformats.org/spreadsheetml/2006/main" count="196" uniqueCount="159">
  <si>
    <t># MENU</t>
  </si>
  <si>
    <t>TRIBUNAL DE JUSTIÇA DO ESTADO DO PIAUÍ</t>
  </si>
  <si>
    <t xml:space="preserve">COORDENADORIA DE PRECATÓRIOS  </t>
  </si>
  <si>
    <t>Não</t>
  </si>
  <si>
    <t>Há Pagamento com preferencial?</t>
  </si>
  <si>
    <t>Sim</t>
  </si>
  <si>
    <t>PRECATÓRIO Nº:</t>
  </si>
  <si>
    <t>P. ORÇAMENTO</t>
  </si>
  <si>
    <t>Há H. Contratual?</t>
  </si>
  <si>
    <t>PROTOCOLO:</t>
  </si>
  <si>
    <t>Período de graça constitucional</t>
  </si>
  <si>
    <r>
      <t>*Se sim, Quantos %? (</t>
    </r>
    <r>
      <rPr>
        <b/>
        <sz val="18"/>
        <color theme="9" tint="-0.249977111117893"/>
        <rFont val="Verdana1"/>
      </rPr>
      <t>se não, informe</t>
    </r>
    <r>
      <rPr>
        <b/>
        <sz val="18"/>
        <color rgb="FF000000"/>
        <rFont val="Verdana1"/>
      </rPr>
      <t xml:space="preserve"> </t>
    </r>
    <r>
      <rPr>
        <b/>
        <sz val="18"/>
        <color theme="9" tint="-0.249977111117893"/>
        <rFont val="Verdana1"/>
      </rPr>
      <t>0%</t>
    </r>
    <r>
      <rPr>
        <b/>
        <sz val="18"/>
        <color rgb="FF000000"/>
        <rFont val="Verdana1"/>
      </rPr>
      <t>)</t>
    </r>
  </si>
  <si>
    <t>EXEQUENTE:</t>
  </si>
  <si>
    <t>Contribuição sindical</t>
  </si>
  <si>
    <t>EXECUTADO:</t>
  </si>
  <si>
    <t>Percentual %:</t>
  </si>
  <si>
    <t>MEMÓRIA DE CÁLCULO</t>
  </si>
  <si>
    <t>Aderiu ao acordo?</t>
  </si>
  <si>
    <t>DIVISAO</t>
  </si>
  <si>
    <t>Mês/Ano:</t>
  </si>
  <si>
    <t>Índice de Correção</t>
  </si>
  <si>
    <t>Valor Atualizado em Dezembro/2021</t>
  </si>
  <si>
    <t>Juros (%)</t>
  </si>
  <si>
    <t>Valor Juros</t>
  </si>
  <si>
    <t>Valor Atualizado com Juros  Dezembro/2021</t>
  </si>
  <si>
    <t xml:space="preserve">Índice de Atualização </t>
  </si>
  <si>
    <t>CREDOR</t>
  </si>
  <si>
    <t>PRINCIPAL</t>
  </si>
  <si>
    <t>-</t>
  </si>
  <si>
    <t>LAGUZ (CESSIONÁRIO DOS H.contratual de Furtado Coelho e FRANCINETTI RIBEIRO)</t>
  </si>
  <si>
    <t>JUROS</t>
  </si>
  <si>
    <t>TOTAL (a)</t>
  </si>
  <si>
    <t>Selic acumulada -</t>
  </si>
  <si>
    <t>valor atualizado</t>
  </si>
  <si>
    <t>juros</t>
  </si>
  <si>
    <t>SELIC</t>
  </si>
  <si>
    <t>VERIFICAÇÃO:</t>
  </si>
  <si>
    <t>(-)CONTRIBUIÇÃO SINDIFAZ (b) -1% SOBRE R$</t>
  </si>
  <si>
    <t>INCORPORANDO A SELIC</t>
  </si>
  <si>
    <t>Para pagar</t>
  </si>
  <si>
    <t>Principal atualizado</t>
  </si>
  <si>
    <t>Principal com Selic</t>
  </si>
  <si>
    <t>Juros atualizado</t>
  </si>
  <si>
    <t>Juros com Selic</t>
  </si>
  <si>
    <t>Selic</t>
  </si>
  <si>
    <t>Total com Selic</t>
  </si>
  <si>
    <t>ACORDO SINDIFAZ M.SOCORRO</t>
  </si>
  <si>
    <t>(-) Atualização do Valor Pago com Prefencial</t>
  </si>
  <si>
    <t>PAGAMENTO</t>
  </si>
  <si>
    <t>ATUALIZAÇÃO NA DATA DA PREFERÊNCIA</t>
  </si>
  <si>
    <t>HISTÓRICO</t>
  </si>
  <si>
    <t>PRINCIPAL DEVIDO</t>
  </si>
  <si>
    <t>FATOR DE ATUALIZACAO</t>
  </si>
  <si>
    <t>VALOR ATUALIZADO</t>
  </si>
  <si>
    <t>JUROS DO PERIODO</t>
  </si>
  <si>
    <t>SELIC DO PERIODO</t>
  </si>
  <si>
    <t>DEBITO EM FEVEREIRO/2018</t>
  </si>
  <si>
    <t>SALDO DE PRINCIPAL</t>
  </si>
  <si>
    <t>SALDO DE JUROS</t>
  </si>
  <si>
    <t>SALDO DE SELIC</t>
  </si>
  <si>
    <t>TOTAL</t>
  </si>
  <si>
    <t>DISCRIMINAÇÃO DO VALOR PAGO</t>
  </si>
  <si>
    <t>Data: Junho/2020</t>
  </si>
  <si>
    <t xml:space="preserve"> VALOR PAGO</t>
  </si>
  <si>
    <t>ATUALIZAÇÃO DO VALOR PAGO</t>
  </si>
  <si>
    <t>VALOR PAGO</t>
  </si>
  <si>
    <t xml:space="preserve">ÍNDICE DE CORREÇÃO </t>
  </si>
  <si>
    <t>TOTAL (principal + juros)</t>
  </si>
  <si>
    <t>JUROS POSTERIOR AO PAGAMENTO</t>
  </si>
  <si>
    <t>PRINCIPAL CORRIGIDO</t>
  </si>
  <si>
    <t>JUROS CORRIGIDO</t>
  </si>
  <si>
    <t>SELIC ANTERIOR AO PAGAMENTO</t>
  </si>
  <si>
    <t>SELIC POSTERIOR AO PAGAMENTO</t>
  </si>
  <si>
    <t>TOTAL SELIC ACUMULADA DO PERIODO</t>
  </si>
  <si>
    <t xml:space="preserve">(=) SALDO REMANESCENTE DEVIDO EM </t>
  </si>
  <si>
    <t>DEMONSTRATIVO - DIVISÃO HERDEIROS</t>
  </si>
  <si>
    <t>HERDEIROS</t>
  </si>
  <si>
    <t>PERCENTUAL</t>
  </si>
  <si>
    <t>VALOR BRUTO DO PRECATORIO</t>
  </si>
  <si>
    <t>HON. CONTRATUAIS (26%)</t>
  </si>
  <si>
    <t>SINDIFAZ (1%)</t>
  </si>
  <si>
    <t>PAGAMENTO PREFERENCIAL</t>
  </si>
  <si>
    <t>VALOR DEVIDO AOS EXEQUENTES</t>
  </si>
  <si>
    <t>DIVISAO PREVIDÊNCIA</t>
  </si>
  <si>
    <t>DIVISAO IMPOSTO DE RENDA</t>
  </si>
  <si>
    <t>RRA PROPORCIONAL</t>
  </si>
  <si>
    <t>DIVISÃO PAGAMENTO</t>
  </si>
  <si>
    <t>DIVISÃO</t>
  </si>
  <si>
    <t>VALOR A PAGAR CREDOR</t>
  </si>
  <si>
    <t>FURTADO COELHO ADVOGADOS ASSOCIADOS</t>
  </si>
  <si>
    <t>(-) FURTADO COELHO ADVOGADOS ASSOCIADOS</t>
  </si>
  <si>
    <t>LAGUZ ( CESSIONÁRIO) 2%</t>
  </si>
  <si>
    <t xml:space="preserve">LAGUZ ( CESSIONÁRIO) </t>
  </si>
  <si>
    <t xml:space="preserve">JUAREZ CHAVES DE AZEVEDO JÚNIOR, SOCIEDADE INDIVIDUAL DE ADVOCACIA </t>
  </si>
  <si>
    <t>JUAREZ CHAVES DE AZEVEDO JUNIOR</t>
  </si>
  <si>
    <t>ADAUTO FORTES ADV. ASSOCIADOS</t>
  </si>
  <si>
    <t>FRANCINETTI RIBEIRO DO CARMO</t>
  </si>
  <si>
    <t>LAGUZ ( CESSIONÁRIO) 1%</t>
  </si>
  <si>
    <t>PAGAMENTO ACORDO</t>
  </si>
  <si>
    <t>REAG LEGAL ( CESSIONÁRIO) 1%</t>
  </si>
  <si>
    <t xml:space="preserve">REAG LEGAL ( CESSIONÁRIO) </t>
  </si>
  <si>
    <t xml:space="preserve">Exequente  </t>
  </si>
  <si>
    <t>Valor Devido</t>
  </si>
  <si>
    <t>(-) deságio de 40%</t>
  </si>
  <si>
    <t>(=) Valor Bruto após deságio</t>
  </si>
  <si>
    <t>Previdência</t>
  </si>
  <si>
    <t>Imposto de Renda</t>
  </si>
  <si>
    <t>Valor Líquido</t>
  </si>
  <si>
    <t>RRA</t>
  </si>
  <si>
    <t xml:space="preserve">Contribuição Sindifaz </t>
  </si>
  <si>
    <t>LAGUZ (CESSIONÁRIO DOS H.contratual de Furtado Coelho)</t>
  </si>
  <si>
    <t>VALOR EXEQUENTE SEM DESAGIO</t>
  </si>
  <si>
    <t>LAGUZ (CESSIONÁRIO DOS H.contratual de Francinetti Ribeiro)</t>
  </si>
  <si>
    <t>VALOR EXEQUENTE COM DESAGIO</t>
  </si>
  <si>
    <t xml:space="preserve">TOTAL  </t>
  </si>
  <si>
    <t>PREVIDENCIA</t>
  </si>
  <si>
    <t>*informar aliquota</t>
  </si>
  <si>
    <t>BC</t>
  </si>
  <si>
    <t>(-) PARCEL. PREF paga atualizada</t>
  </si>
  <si>
    <t>*informar valor</t>
  </si>
  <si>
    <t>Notas explicativas:</t>
  </si>
  <si>
    <t>Valor Devido antes do Deságio</t>
  </si>
  <si>
    <t>Requerente</t>
  </si>
  <si>
    <t>RRA(MESES)</t>
  </si>
  <si>
    <t>Deságio (40%)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</si>
  <si>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</si>
  <si>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</si>
  <si>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</si>
  <si>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Imposto de renda</t>
  </si>
  <si>
    <t>VALOR A PAGAR</t>
  </si>
  <si>
    <t>1- Atualização Monetária conforme Resolução CNJ nº 303/2019 , Resolução Nº 198/2020 TJ-PI e  nº 113.</t>
  </si>
  <si>
    <t>x</t>
  </si>
  <si>
    <t>2- Índices de correção monetária, conforme  caput do Art.21- A da Resolução 303/2019 do CNJ.</t>
  </si>
  <si>
    <t>(-) PARCE. HONORÁRIOS CONTRATUAIS</t>
  </si>
  <si>
    <t>– IPCA-E/ IBGE - de 26.03.2015 a 30 de novembro de 2021.</t>
  </si>
  <si>
    <t>(-) SINDIFAZ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</si>
  <si>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</si>
  <si>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</si>
  <si>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>(-) deságio 40%</t>
  </si>
  <si>
    <t xml:space="preserve"> § 12º da CF/88, Art.22 da Resolução 303 do CNJ  e SV nº 17 do STF.</t>
  </si>
  <si>
    <t xml:space="preserve">4- Período de Graça Constitucional em conformidade com a Súmula Vinculante 17 do STF. </t>
  </si>
  <si>
    <t>(-) Prev.</t>
  </si>
  <si>
    <t>5- Atualização dos cálculos da planilha 2 de ID.261197 - Pág. 46/47</t>
  </si>
  <si>
    <t>6- Atualização e abatimento do valor pago com crédito preferencial.</t>
  </si>
  <si>
    <r>
      <t xml:space="preserve">6-Cálculo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com alíquota de 8%, conforme Decisão Des. Brandão no Mandado de Segurançamina</t>
    </r>
  </si>
  <si>
    <t>BC/MÊS</t>
  </si>
  <si>
    <t>n° 95.000611-4. Não incidência do desconto da previdência sobre parcelas de aposentadoria ou pensão, conforme</t>
  </si>
  <si>
    <t>ALIQOTA</t>
  </si>
  <si>
    <t>Decisão Des. Brandão no Mandado de Segurança n° 95.000611-4.</t>
  </si>
  <si>
    <t>IR MENSAL</t>
  </si>
  <si>
    <r>
      <t xml:space="preserve">7- Destaque de </t>
    </r>
    <r>
      <rPr>
        <b/>
        <sz val="18"/>
        <color rgb="FF000000"/>
        <rFont val="Verdana1"/>
      </rPr>
      <t>1% referente à Contribuição do SINDIFAZ</t>
    </r>
    <r>
      <rPr>
        <sz val="18"/>
        <color rgb="FF000000"/>
        <rFont val="Verdana1"/>
      </rPr>
      <t>, conforme Decisão do Des. Brandão de Carvalho no MS n° 95.000611-4.</t>
    </r>
  </si>
  <si>
    <t xml:space="preserve">TOTAL A SER RECOLHIDO </t>
  </si>
  <si>
    <r>
      <t xml:space="preserve">8-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MP MEDIDA PROVISÓRIA Nº 1206, DE 06 DE FEVEREIRO DE 2024, sobre o valor atualizado, excluído os juros,</t>
    </r>
  </si>
  <si>
    <t>Conforme decisão do recurso Extraordinário n° 855091/RS, com Repercussão Geral, Tema 808.</t>
  </si>
  <si>
    <t>*verificação pagamento</t>
  </si>
  <si>
    <r>
      <t xml:space="preserve">9- Destaque do </t>
    </r>
    <r>
      <rPr>
        <b/>
        <sz val="18"/>
        <color rgb="FF000000"/>
        <rFont val="Verdana1"/>
      </rPr>
      <t>deságio de 40%</t>
    </r>
    <r>
      <rPr>
        <sz val="18"/>
        <color rgb="FF000000"/>
        <rFont val="Verdana1"/>
      </rPr>
      <t xml:space="preserve"> ( quarenta por cento), conforme Edital 291/2023 PJPI/TJPI/PRESIDENCIA/CPREC.</t>
    </r>
  </si>
  <si>
    <t xml:space="preserve">10- Cálculo do Imposto de Renda dos Cessionario de honorários contratuais( LAGUZ- Furtado Coelho Adv. Associados)  de acordo com o decreto 9.580, art 714 (alíquota 1,5%) </t>
  </si>
  <si>
    <t>11- Conforme cálculo apresentado resta saldo a pagar neste precatório.</t>
  </si>
  <si>
    <t>12- Em caso de pagamento e/ou divisão de herdeiros que ocorreu durante o processo, a atualização será efetuada no momento do pagamento do valor remanescente.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</si>
</sst>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-* #,##0.00_-;\-* #,##0.00_-;_-* &quot;-&quot;??_-;_-@_-"/>
    <numFmt numFmtId="164" formatCode="0.000000%"/>
    <numFmt numFmtId="165" formatCode="#,##0.0000000"/>
    <numFmt numFmtId="166" formatCode="[$R$-416]&quot; &quot;#,##0.00;[Red]&quot;-&quot;[$R$-416]&quot; &quot;#,##0.00"/>
    <numFmt numFmtId="167" formatCode="mm/yy"/>
    <numFmt numFmtId="168" formatCode="0.0000"/>
    <numFmt numFmtId="169" formatCode="0.0000%"/>
    <numFmt numFmtId="170" formatCode="0.0000000"/>
    <numFmt numFmtId="171" formatCode="mmmm/yyyy"/>
    <numFmt numFmtId="172" formatCode="[$-416]0.00%"/>
    <numFmt numFmtId="173" formatCode="&quot;R$&quot;\ #,##0.00"/>
    <numFmt numFmtId="174" formatCode="[$R$-416]\ #,##0.00;[Red][$R$-416]\ #,##0.00"/>
    <numFmt numFmtId="175" formatCode="_-[$R$-416]\ * #,##0.00_-;\-[$R$-416]\ * #,##0.00_-;_-[$R$-416]\ * &quot;-&quot;??_-;_-@_-"/>
    <numFmt numFmtId="176" formatCode="_-[$R$-416]\ * #,##0.00_-;\-[$R$-416]\ * #,##0.00_-;_-[$R$-416]\ * &quot;-&quot;????_-;_-@_-"/>
    <numFmt numFmtId="177" formatCode="&quot;R$&quot;#,##0.00_);[Red]\(&quot;R$&quot;#,##0.00\)"/>
    <numFmt numFmtId="178" formatCode="#,##0.00;[Red]&quot;-&quot;#,##0.00"/>
    <numFmt numFmtId="179" formatCode="[$-416]General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u/>
      <sz val="18"/>
      <color theme="1"/>
      <name val="Vernanda3"/>
    </font>
    <font>
      <b/>
      <sz val="18"/>
      <color rgb="FF000000"/>
      <name val="Verdana"/>
      <family val="2"/>
    </font>
    <font>
      <sz val="18"/>
      <color rgb="FFFFFFCC"/>
      <name val="Verdana1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Calibri"/>
      <family val="2"/>
    </font>
    <font>
      <sz val="18"/>
      <color rgb="FF000000"/>
      <name val="Verdana"/>
      <family val="2"/>
    </font>
    <font>
      <sz val="18"/>
      <color rgb="FF000000"/>
      <name val="Verdana3"/>
    </font>
    <font>
      <sz val="16"/>
      <color rgb="FF000000"/>
      <name val="Verdana"/>
      <family val="2"/>
    </font>
    <font>
      <b/>
      <sz val="18"/>
      <color theme="9" tint="-0.249977111117893"/>
      <name val="Verdana1"/>
    </font>
    <font>
      <b/>
      <sz val="18"/>
      <color rgb="FFFF0000"/>
      <name val="Verdana1"/>
    </font>
    <font>
      <b/>
      <sz val="18"/>
      <color rgb="FF000000"/>
      <name val="Verdana3"/>
    </font>
    <font>
      <b/>
      <sz val="18"/>
      <color rgb="FF000000"/>
      <name val="Verdana11"/>
    </font>
    <font>
      <sz val="18"/>
      <color rgb="FF000000"/>
      <name val="Verdana11"/>
    </font>
    <font>
      <b/>
      <sz val="18"/>
      <color rgb="FFFF0000"/>
      <name val="Verdana3"/>
    </font>
    <font>
      <b/>
      <sz val="18"/>
      <color rgb="FF000000"/>
      <name val="Calibri"/>
      <family val="2"/>
    </font>
    <font>
      <sz val="18"/>
      <color rgb="FF002060"/>
      <name val="Vernanda3"/>
    </font>
    <font>
      <b/>
      <sz val="18"/>
      <color theme="4" tint="-0.499984740745262"/>
      <name val="Verdana1"/>
    </font>
    <font>
      <sz val="18"/>
      <color theme="4" tint="-0.499984740745262"/>
      <name val="Verdana1"/>
    </font>
    <font>
      <sz val="18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u/>
      <sz val="18"/>
      <color rgb="FF000000"/>
      <name val="Verdana"/>
      <family val="2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rgb="FFFFFFCC"/>
        <bgColor rgb="FF8EA9DB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CC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1" fillId="0" borderId="0" applyNumberFormat="0" applyBorder="0" applyProtection="0"/>
  </cellStyleXfs>
  <cellXfs count="308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6" fillId="4" borderId="0" xfId="3" applyFont="1" applyFill="1" applyAlignment="1">
      <alignment horizontal="center"/>
    </xf>
    <xf numFmtId="0" fontId="8" fillId="3" borderId="0" xfId="0" applyFont="1" applyFill="1"/>
    <xf numFmtId="0" fontId="7" fillId="2" borderId="0" xfId="0" applyFont="1" applyFill="1" applyAlignment="1">
      <alignment horizontal="center"/>
    </xf>
    <xf numFmtId="0" fontId="9" fillId="2" borderId="0" xfId="0" applyFont="1" applyFill="1"/>
    <xf numFmtId="4" fontId="10" fillId="2" borderId="0" xfId="0" applyNumberFormat="1" applyFont="1" applyFill="1" applyAlignment="1">
      <alignment horizontal="center"/>
    </xf>
    <xf numFmtId="0" fontId="10" fillId="5" borderId="1" xfId="0" applyFont="1" applyFill="1" applyBorder="1" applyAlignment="1">
      <alignment horizontal="center" vertical="center"/>
    </xf>
    <xf numFmtId="0" fontId="12" fillId="2" borderId="0" xfId="0" applyFont="1" applyFill="1"/>
    <xf numFmtId="0" fontId="13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center"/>
    </xf>
    <xf numFmtId="0" fontId="7" fillId="2" borderId="0" xfId="0" applyFont="1" applyFill="1" applyAlignment="1">
      <alignment wrapText="1"/>
    </xf>
    <xf numFmtId="14" fontId="13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left" wrapText="1"/>
    </xf>
    <xf numFmtId="164" fontId="14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10" fillId="5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1" fillId="3" borderId="0" xfId="0" applyFont="1" applyFill="1" applyAlignment="1">
      <alignment horizontal="center"/>
    </xf>
    <xf numFmtId="0" fontId="16" fillId="3" borderId="0" xfId="0" applyFont="1" applyFill="1"/>
    <xf numFmtId="166" fontId="4" fillId="0" borderId="0" xfId="0" applyNumberFormat="1" applyFont="1"/>
    <xf numFmtId="0" fontId="17" fillId="7" borderId="5" xfId="0" applyFont="1" applyFill="1" applyBorder="1" applyAlignment="1">
      <alignment horizontal="center" wrapText="1"/>
    </xf>
    <xf numFmtId="0" fontId="11" fillId="6" borderId="1" xfId="0" applyFont="1" applyFill="1" applyBorder="1" applyAlignment="1">
      <alignment horizontal="center" vertical="center"/>
    </xf>
    <xf numFmtId="167" fontId="17" fillId="0" borderId="5" xfId="0" applyNumberFormat="1" applyFont="1" applyBorder="1" applyAlignment="1">
      <alignment horizontal="center" wrapText="1"/>
    </xf>
    <xf numFmtId="4" fontId="13" fillId="0" borderId="5" xfId="0" applyNumberFormat="1" applyFont="1" applyBorder="1" applyAlignment="1">
      <alignment horizontal="right"/>
    </xf>
    <xf numFmtId="0" fontId="13" fillId="0" borderId="5" xfId="0" applyFont="1" applyBorder="1"/>
    <xf numFmtId="164" fontId="13" fillId="0" borderId="5" xfId="0" applyNumberFormat="1" applyFont="1" applyBorder="1" applyAlignment="1">
      <alignment horizontal="center"/>
    </xf>
    <xf numFmtId="168" fontId="13" fillId="0" borderId="5" xfId="0" applyNumberFormat="1" applyFont="1" applyBorder="1" applyAlignment="1">
      <alignment horizontal="center" wrapText="1"/>
    </xf>
    <xf numFmtId="169" fontId="17" fillId="0" borderId="5" xfId="0" applyNumberFormat="1" applyFont="1" applyBorder="1" applyAlignment="1">
      <alignment horizontal="center"/>
    </xf>
    <xf numFmtId="0" fontId="17" fillId="9" borderId="5" xfId="0" applyFont="1" applyFill="1" applyBorder="1" applyAlignment="1">
      <alignment horizontal="center" wrapText="1"/>
    </xf>
    <xf numFmtId="166" fontId="17" fillId="9" borderId="5" xfId="0" applyNumberFormat="1" applyFont="1" applyFill="1" applyBorder="1" applyAlignment="1">
      <alignment horizontal="right"/>
    </xf>
    <xf numFmtId="170" fontId="17" fillId="9" borderId="5" xfId="0" applyNumberFormat="1" applyFont="1" applyFill="1" applyBorder="1" applyAlignment="1">
      <alignment horizontal="center" wrapText="1"/>
    </xf>
    <xf numFmtId="166" fontId="17" fillId="9" borderId="5" xfId="0" applyNumberFormat="1" applyFont="1" applyFill="1" applyBorder="1" applyAlignment="1">
      <alignment horizontal="center"/>
    </xf>
    <xf numFmtId="166" fontId="4" fillId="3" borderId="0" xfId="0" applyNumberFormat="1" applyFont="1" applyFill="1"/>
    <xf numFmtId="0" fontId="12" fillId="10" borderId="6" xfId="0" applyFont="1" applyFill="1" applyBorder="1" applyAlignment="1">
      <alignment horizontal="center" wrapText="1"/>
    </xf>
    <xf numFmtId="171" fontId="4" fillId="10" borderId="6" xfId="0" applyNumberFormat="1" applyFont="1" applyFill="1" applyBorder="1" applyAlignment="1">
      <alignment horizontal="center"/>
    </xf>
    <xf numFmtId="166" fontId="17" fillId="11" borderId="11" xfId="0" applyNumberFormat="1" applyFont="1" applyFill="1" applyBorder="1"/>
    <xf numFmtId="172" fontId="17" fillId="11" borderId="0" xfId="0" applyNumberFormat="1" applyFont="1" applyFill="1"/>
    <xf numFmtId="166" fontId="17" fillId="11" borderId="0" xfId="0" applyNumberFormat="1" applyFont="1" applyFill="1"/>
    <xf numFmtId="10" fontId="17" fillId="11" borderId="0" xfId="0" applyNumberFormat="1" applyFont="1" applyFill="1"/>
    <xf numFmtId="10" fontId="17" fillId="11" borderId="12" xfId="0" applyNumberFormat="1" applyFont="1" applyFill="1" applyBorder="1"/>
    <xf numFmtId="166" fontId="12" fillId="2" borderId="0" xfId="0" applyNumberFormat="1" applyFont="1" applyFill="1" applyAlignment="1">
      <alignment horizontal="center"/>
    </xf>
    <xf numFmtId="171" fontId="4" fillId="10" borderId="13" xfId="0" applyNumberFormat="1" applyFont="1" applyFill="1" applyBorder="1" applyAlignment="1">
      <alignment horizontal="center"/>
    </xf>
    <xf numFmtId="166" fontId="17" fillId="3" borderId="14" xfId="0" applyNumberFormat="1" applyFont="1" applyFill="1" applyBorder="1"/>
    <xf numFmtId="10" fontId="17" fillId="3" borderId="4" xfId="0" applyNumberFormat="1" applyFont="1" applyFill="1" applyBorder="1"/>
    <xf numFmtId="166" fontId="17" fillId="3" borderId="4" xfId="0" applyNumberFormat="1" applyFont="1" applyFill="1" applyBorder="1"/>
    <xf numFmtId="10" fontId="17" fillId="3" borderId="15" xfId="0" applyNumberFormat="1" applyFont="1" applyFill="1" applyBorder="1" applyAlignment="1">
      <alignment vertical="center"/>
    </xf>
    <xf numFmtId="173" fontId="10" fillId="12" borderId="1" xfId="0" applyNumberFormat="1" applyFont="1" applyFill="1" applyBorder="1" applyAlignment="1">
      <alignment horizontal="right"/>
    </xf>
    <xf numFmtId="0" fontId="17" fillId="2" borderId="0" xfId="0" applyFont="1" applyFill="1"/>
    <xf numFmtId="174" fontId="4" fillId="3" borderId="0" xfId="0" applyNumberFormat="1" applyFont="1" applyFill="1"/>
    <xf numFmtId="166" fontId="19" fillId="13" borderId="0" xfId="0" applyNumberFormat="1" applyFont="1" applyFill="1" applyAlignment="1">
      <alignment horizontal="center" vertical="center"/>
    </xf>
    <xf numFmtId="166" fontId="20" fillId="2" borderId="3" xfId="0" applyNumberFormat="1" applyFont="1" applyFill="1" applyBorder="1" applyAlignment="1">
      <alignment horizontal="left"/>
    </xf>
    <xf numFmtId="173" fontId="20" fillId="2" borderId="1" xfId="0" applyNumberFormat="1" applyFont="1" applyFill="1" applyBorder="1"/>
    <xf numFmtId="10" fontId="19" fillId="13" borderId="0" xfId="2" applyNumberFormat="1" applyFont="1" applyFill="1" applyAlignment="1">
      <alignment horizontal="center"/>
    </xf>
    <xf numFmtId="166" fontId="20" fillId="2" borderId="19" xfId="0" applyNumberFormat="1" applyFont="1" applyFill="1" applyBorder="1" applyAlignment="1">
      <alignment horizontal="left"/>
    </xf>
    <xf numFmtId="166" fontId="20" fillId="2" borderId="5" xfId="0" applyNumberFormat="1" applyFont="1" applyFill="1" applyBorder="1" applyAlignment="1">
      <alignment horizontal="right"/>
    </xf>
    <xf numFmtId="166" fontId="17" fillId="5" borderId="0" xfId="0" applyNumberFormat="1" applyFont="1" applyFill="1"/>
    <xf numFmtId="10" fontId="17" fillId="5" borderId="0" xfId="0" applyNumberFormat="1" applyFont="1" applyFill="1"/>
    <xf numFmtId="0" fontId="13" fillId="2" borderId="0" xfId="0" applyFont="1" applyFill="1" applyAlignment="1">
      <alignment horizontal="center"/>
    </xf>
    <xf numFmtId="0" fontId="13" fillId="2" borderId="0" xfId="0" applyFont="1" applyFill="1"/>
    <xf numFmtId="0" fontId="18" fillId="14" borderId="0" xfId="0" applyFont="1" applyFill="1"/>
    <xf numFmtId="166" fontId="18" fillId="14" borderId="0" xfId="0" applyNumberFormat="1" applyFont="1" applyFill="1" applyAlignment="1">
      <alignment horizontal="center"/>
    </xf>
    <xf numFmtId="0" fontId="11" fillId="5" borderId="0" xfId="0" applyFont="1" applyFill="1"/>
    <xf numFmtId="173" fontId="17" fillId="2" borderId="5" xfId="0" applyNumberFormat="1" applyFont="1" applyFill="1" applyBorder="1" applyAlignment="1">
      <alignment horizontal="right"/>
    </xf>
    <xf numFmtId="0" fontId="19" fillId="14" borderId="0" xfId="0" applyFont="1" applyFill="1"/>
    <xf numFmtId="166" fontId="19" fillId="14" borderId="0" xfId="0" applyNumberFormat="1" applyFont="1" applyFill="1" applyAlignment="1">
      <alignment horizontal="center"/>
    </xf>
    <xf numFmtId="166" fontId="21" fillId="5" borderId="8" xfId="0" applyNumberFormat="1" applyFont="1" applyFill="1" applyBorder="1" applyAlignment="1">
      <alignment horizontal="center"/>
    </xf>
    <xf numFmtId="0" fontId="21" fillId="5" borderId="10" xfId="0" applyFont="1" applyFill="1" applyBorder="1"/>
    <xf numFmtId="166" fontId="21" fillId="5" borderId="11" xfId="0" applyNumberFormat="1" applyFont="1" applyFill="1" applyBorder="1" applyAlignment="1">
      <alignment horizontal="center"/>
    </xf>
    <xf numFmtId="0" fontId="21" fillId="5" borderId="12" xfId="0" applyFont="1" applyFill="1" applyBorder="1" applyAlignment="1">
      <alignment horizontal="left"/>
    </xf>
    <xf numFmtId="174" fontId="4" fillId="2" borderId="0" xfId="0" applyNumberFormat="1" applyFont="1" applyFill="1"/>
    <xf numFmtId="166" fontId="4" fillId="5" borderId="0" xfId="0" applyNumberFormat="1" applyFont="1" applyFill="1"/>
    <xf numFmtId="166" fontId="21" fillId="5" borderId="1" xfId="0" applyNumberFormat="1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 vertical="center"/>
    </xf>
    <xf numFmtId="0" fontId="11" fillId="3" borderId="0" xfId="0" applyFont="1" applyFill="1"/>
    <xf numFmtId="0" fontId="22" fillId="15" borderId="0" xfId="3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10" fontId="4" fillId="3" borderId="0" xfId="0" applyNumberFormat="1" applyFont="1" applyFill="1"/>
    <xf numFmtId="0" fontId="23" fillId="2" borderId="1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center" wrapText="1"/>
    </xf>
    <xf numFmtId="175" fontId="24" fillId="17" borderId="1" xfId="2" applyNumberFormat="1" applyFont="1" applyFill="1" applyBorder="1"/>
    <xf numFmtId="0" fontId="24" fillId="17" borderId="1" xfId="2" applyNumberFormat="1" applyFont="1" applyFill="1" applyBorder="1" applyAlignment="1">
      <alignment horizontal="center"/>
    </xf>
    <xf numFmtId="175" fontId="24" fillId="17" borderId="1" xfId="2" applyNumberFormat="1" applyFont="1" applyFill="1" applyBorder="1" applyAlignment="1">
      <alignment horizontal="center"/>
    </xf>
    <xf numFmtId="10" fontId="24" fillId="17" borderId="1" xfId="2" applyNumberFormat="1" applyFont="1" applyFill="1" applyBorder="1" applyAlignment="1">
      <alignment horizontal="center"/>
    </xf>
    <xf numFmtId="175" fontId="24" fillId="18" borderId="1" xfId="0" applyNumberFormat="1" applyFont="1" applyFill="1" applyBorder="1" applyAlignment="1">
      <alignment horizontal="center"/>
    </xf>
    <xf numFmtId="175" fontId="4" fillId="2" borderId="0" xfId="0" applyNumberFormat="1" applyFont="1" applyFill="1"/>
    <xf numFmtId="166" fontId="17" fillId="3" borderId="0" xfId="0" applyNumberFormat="1" applyFont="1" applyFill="1"/>
    <xf numFmtId="10" fontId="17" fillId="3" borderId="0" xfId="0" applyNumberFormat="1" applyFont="1" applyFill="1"/>
    <xf numFmtId="175" fontId="24" fillId="0" borderId="1" xfId="2" applyNumberFormat="1" applyFont="1" applyBorder="1"/>
    <xf numFmtId="175" fontId="24" fillId="17" borderId="1" xfId="0" applyNumberFormat="1" applyFont="1" applyFill="1" applyBorder="1" applyAlignment="1">
      <alignment horizontal="center"/>
    </xf>
    <xf numFmtId="169" fontId="24" fillId="0" borderId="1" xfId="2" applyNumberFormat="1" applyFont="1" applyBorder="1" applyAlignment="1">
      <alignment horizontal="center"/>
    </xf>
    <xf numFmtId="0" fontId="23" fillId="2" borderId="13" xfId="0" applyFont="1" applyFill="1" applyBorder="1" applyAlignment="1">
      <alignment horizontal="center" wrapText="1"/>
    </xf>
    <xf numFmtId="0" fontId="23" fillId="2" borderId="1" xfId="0" applyFont="1" applyFill="1" applyBorder="1" applyAlignment="1">
      <alignment horizontal="center" vertical="center" wrapText="1"/>
    </xf>
    <xf numFmtId="0" fontId="24" fillId="0" borderId="1" xfId="2" applyNumberFormat="1" applyFont="1" applyBorder="1" applyAlignment="1">
      <alignment horizontal="center"/>
    </xf>
    <xf numFmtId="175" fontId="4" fillId="2" borderId="1" xfId="0" applyNumberFormat="1" applyFont="1" applyFill="1" applyBorder="1"/>
    <xf numFmtId="169" fontId="4" fillId="2" borderId="3" xfId="0" applyNumberFormat="1" applyFont="1" applyFill="1" applyBorder="1"/>
    <xf numFmtId="10" fontId="24" fillId="0" borderId="1" xfId="2" applyNumberFormat="1" applyFont="1" applyBorder="1" applyAlignment="1">
      <alignment horizontal="center"/>
    </xf>
    <xf numFmtId="10" fontId="4" fillId="2" borderId="0" xfId="0" applyNumberFormat="1" applyFont="1" applyFill="1"/>
    <xf numFmtId="169" fontId="4" fillId="2" borderId="1" xfId="0" applyNumberFormat="1" applyFont="1" applyFill="1" applyBorder="1" applyAlignment="1">
      <alignment horizontal="center"/>
    </xf>
    <xf numFmtId="176" fontId="4" fillId="2" borderId="1" xfId="0" applyNumberFormat="1" applyFont="1" applyFill="1" applyBorder="1"/>
    <xf numFmtId="176" fontId="4" fillId="18" borderId="1" xfId="0" applyNumberFormat="1" applyFont="1" applyFill="1" applyBorder="1"/>
    <xf numFmtId="0" fontId="7" fillId="2" borderId="0" xfId="0" applyFont="1" applyFill="1" applyAlignment="1">
      <alignment horizontal="center" wrapText="1"/>
    </xf>
    <xf numFmtId="166" fontId="7" fillId="2" borderId="0" xfId="0" applyNumberFormat="1" applyFont="1" applyFill="1" applyAlignment="1">
      <alignment horizontal="right"/>
    </xf>
    <xf numFmtId="0" fontId="11" fillId="2" borderId="0" xfId="0" applyFont="1" applyFill="1"/>
    <xf numFmtId="166" fontId="17" fillId="2" borderId="3" xfId="0" applyNumberFormat="1" applyFont="1" applyFill="1" applyBorder="1" applyAlignment="1">
      <alignment vertical="center"/>
    </xf>
    <xf numFmtId="166" fontId="17" fillId="2" borderId="1" xfId="0" applyNumberFormat="1" applyFont="1" applyFill="1" applyBorder="1" applyAlignment="1">
      <alignment vertical="center"/>
    </xf>
    <xf numFmtId="166" fontId="7" fillId="19" borderId="1" xfId="0" applyNumberFormat="1" applyFont="1" applyFill="1" applyBorder="1" applyAlignment="1">
      <alignment horizontal="center" vertical="center"/>
    </xf>
    <xf numFmtId="166" fontId="7" fillId="19" borderId="1" xfId="0" applyNumberFormat="1" applyFont="1" applyFill="1" applyBorder="1" applyAlignment="1">
      <alignment horizontal="center" vertical="center" wrapText="1"/>
    </xf>
    <xf numFmtId="10" fontId="12" fillId="0" borderId="5" xfId="0" applyNumberFormat="1" applyFont="1" applyBorder="1" applyAlignment="1">
      <alignment horizontal="center" wrapText="1"/>
    </xf>
    <xf numFmtId="174" fontId="11" fillId="2" borderId="1" xfId="0" applyNumberFormat="1" applyFont="1" applyFill="1" applyBorder="1" applyAlignment="1">
      <alignment horizontal="center"/>
    </xf>
    <xf numFmtId="1" fontId="11" fillId="2" borderId="1" xfId="0" applyNumberFormat="1" applyFont="1" applyFill="1" applyBorder="1" applyAlignment="1">
      <alignment horizontal="center"/>
    </xf>
    <xf numFmtId="10" fontId="7" fillId="9" borderId="5" xfId="0" applyNumberFormat="1" applyFont="1" applyFill="1" applyBorder="1" applyAlignment="1">
      <alignment horizontal="center"/>
    </xf>
    <xf numFmtId="166" fontId="7" fillId="9" borderId="5" xfId="0" applyNumberFormat="1" applyFont="1" applyFill="1" applyBorder="1" applyAlignment="1">
      <alignment horizontal="center"/>
    </xf>
    <xf numFmtId="1" fontId="7" fillId="9" borderId="5" xfId="0" applyNumberFormat="1" applyFont="1" applyFill="1" applyBorder="1" applyAlignment="1">
      <alignment horizontal="center"/>
    </xf>
    <xf numFmtId="0" fontId="19" fillId="20" borderId="2" xfId="0" applyFont="1" applyFill="1" applyBorder="1" applyAlignment="1">
      <alignment horizontal="center" vertical="center"/>
    </xf>
    <xf numFmtId="166" fontId="4" fillId="20" borderId="3" xfId="0" applyNumberFormat="1" applyFont="1" applyFill="1" applyBorder="1" applyAlignment="1">
      <alignment vertical="center"/>
    </xf>
    <xf numFmtId="0" fontId="19" fillId="21" borderId="2" xfId="0" applyFont="1" applyFill="1" applyBorder="1" applyAlignment="1">
      <alignment horizontal="left" vertical="center"/>
    </xf>
    <xf numFmtId="10" fontId="4" fillId="21" borderId="3" xfId="2" applyNumberFormat="1" applyFont="1" applyFill="1" applyBorder="1" applyAlignment="1">
      <alignment horizontal="center"/>
    </xf>
    <xf numFmtId="0" fontId="19" fillId="22" borderId="8" xfId="0" applyFont="1" applyFill="1" applyBorder="1" applyAlignment="1">
      <alignment horizontal="left" vertical="center" wrapText="1"/>
    </xf>
    <xf numFmtId="166" fontId="4" fillId="22" borderId="10" xfId="0" applyNumberFormat="1" applyFont="1" applyFill="1" applyBorder="1" applyAlignment="1">
      <alignment horizontal="right" vertical="center" wrapText="1"/>
    </xf>
    <xf numFmtId="10" fontId="4" fillId="22" borderId="10" xfId="2" applyNumberFormat="1" applyFont="1" applyFill="1" applyBorder="1" applyAlignment="1">
      <alignment horizontal="center" vertical="center"/>
    </xf>
    <xf numFmtId="0" fontId="19" fillId="22" borderId="14" xfId="0" applyFont="1" applyFill="1" applyBorder="1" applyAlignment="1">
      <alignment horizontal="left" wrapText="1"/>
    </xf>
    <xf numFmtId="166" fontId="4" fillId="22" borderId="15" xfId="0" applyNumberFormat="1" applyFont="1" applyFill="1" applyBorder="1" applyAlignment="1">
      <alignment horizontal="right" vertical="center" wrapText="1"/>
    </xf>
    <xf numFmtId="10" fontId="4" fillId="22" borderId="15" xfId="2" applyNumberFormat="1" applyFont="1" applyFill="1" applyBorder="1" applyAlignment="1">
      <alignment horizontal="center" vertical="center"/>
    </xf>
    <xf numFmtId="0" fontId="19" fillId="23" borderId="2" xfId="0" applyFont="1" applyFill="1" applyBorder="1" applyAlignment="1">
      <alignment horizontal="left" vertical="center" wrapText="1"/>
    </xf>
    <xf numFmtId="166" fontId="4" fillId="23" borderId="3" xfId="0" applyNumberFormat="1" applyFont="1" applyFill="1" applyBorder="1" applyAlignment="1">
      <alignment horizontal="right" vertical="center" wrapText="1"/>
    </xf>
    <xf numFmtId="10" fontId="4" fillId="23" borderId="3" xfId="2" applyNumberFormat="1" applyFont="1" applyFill="1" applyBorder="1" applyAlignment="1">
      <alignment horizontal="center" vertical="center"/>
    </xf>
    <xf numFmtId="0" fontId="19" fillId="24" borderId="8" xfId="0" applyFont="1" applyFill="1" applyBorder="1" applyAlignment="1">
      <alignment horizontal="left" vertical="center" wrapText="1"/>
    </xf>
    <xf numFmtId="166" fontId="4" fillId="24" borderId="10" xfId="0" applyNumberFormat="1" applyFont="1" applyFill="1" applyBorder="1" applyAlignment="1">
      <alignment horizontal="right" vertical="center" wrapText="1"/>
    </xf>
    <xf numFmtId="0" fontId="19" fillId="24" borderId="11" xfId="0" applyFont="1" applyFill="1" applyBorder="1" applyAlignment="1">
      <alignment horizontal="left" vertical="center" wrapText="1"/>
    </xf>
    <xf numFmtId="10" fontId="4" fillId="24" borderId="12" xfId="2" applyNumberFormat="1" applyFont="1" applyFill="1" applyBorder="1" applyAlignment="1">
      <alignment horizontal="center" vertical="center"/>
    </xf>
    <xf numFmtId="0" fontId="19" fillId="24" borderId="14" xfId="0" applyFont="1" applyFill="1" applyBorder="1" applyAlignment="1">
      <alignment horizontal="left" vertical="center" wrapText="1"/>
    </xf>
    <xf numFmtId="166" fontId="4" fillId="24" borderId="15" xfId="0" applyNumberFormat="1" applyFont="1" applyFill="1" applyBorder="1" applyAlignment="1">
      <alignment horizontal="right" vertical="center" wrapText="1"/>
    </xf>
    <xf numFmtId="0" fontId="19" fillId="17" borderId="8" xfId="0" applyFont="1" applyFill="1" applyBorder="1" applyAlignment="1">
      <alignment horizontal="left" vertical="center" wrapText="1"/>
    </xf>
    <xf numFmtId="166" fontId="4" fillId="17" borderId="10" xfId="0" applyNumberFormat="1" applyFont="1" applyFill="1" applyBorder="1" applyAlignment="1">
      <alignment horizontal="right" vertical="center" wrapText="1"/>
    </xf>
    <xf numFmtId="10" fontId="4" fillId="17" borderId="10" xfId="2" applyNumberFormat="1" applyFont="1" applyFill="1" applyBorder="1" applyAlignment="1">
      <alignment horizontal="center" vertical="center"/>
    </xf>
    <xf numFmtId="0" fontId="19" fillId="17" borderId="11" xfId="0" applyFont="1" applyFill="1" applyBorder="1" applyAlignment="1">
      <alignment horizontal="left" wrapText="1"/>
    </xf>
    <xf numFmtId="166" fontId="4" fillId="17" borderId="12" xfId="0" applyNumberFormat="1" applyFont="1" applyFill="1" applyBorder="1" applyAlignment="1">
      <alignment horizontal="right" vertical="center" wrapText="1"/>
    </xf>
    <xf numFmtId="10" fontId="4" fillId="17" borderId="12" xfId="2" applyNumberFormat="1" applyFont="1" applyFill="1" applyBorder="1" applyAlignment="1">
      <alignment horizontal="center" vertical="center"/>
    </xf>
    <xf numFmtId="0" fontId="19" fillId="17" borderId="14" xfId="0" applyFont="1" applyFill="1" applyBorder="1" applyAlignment="1">
      <alignment horizontal="left" wrapText="1"/>
    </xf>
    <xf numFmtId="166" fontId="4" fillId="17" borderId="15" xfId="0" applyNumberFormat="1" applyFont="1" applyFill="1" applyBorder="1" applyAlignment="1">
      <alignment horizontal="right" vertical="center" wrapText="1"/>
    </xf>
    <xf numFmtId="10" fontId="4" fillId="17" borderId="15" xfId="2" applyNumberFormat="1" applyFont="1" applyFill="1" applyBorder="1" applyAlignment="1">
      <alignment horizontal="center" vertical="center"/>
    </xf>
    <xf numFmtId="0" fontId="7" fillId="25" borderId="5" xfId="0" applyFont="1" applyFill="1" applyBorder="1" applyAlignment="1">
      <alignment horizontal="center" wrapText="1"/>
    </xf>
    <xf numFmtId="166" fontId="7" fillId="25" borderId="5" xfId="0" applyNumberFormat="1" applyFont="1" applyFill="1" applyBorder="1" applyAlignment="1">
      <alignment horizontal="center"/>
    </xf>
    <xf numFmtId="166" fontId="7" fillId="25" borderId="5" xfId="0" applyNumberFormat="1" applyFont="1" applyFill="1" applyBorder="1" applyAlignment="1">
      <alignment horizontal="center" wrapText="1"/>
    </xf>
    <xf numFmtId="4" fontId="4" fillId="3" borderId="0" xfId="0" applyNumberFormat="1" applyFont="1" applyFill="1"/>
    <xf numFmtId="0" fontId="19" fillId="26" borderId="2" xfId="0" applyFont="1" applyFill="1" applyBorder="1" applyAlignment="1">
      <alignment horizontal="left" wrapText="1"/>
    </xf>
    <xf numFmtId="166" fontId="4" fillId="26" borderId="3" xfId="0" applyNumberFormat="1" applyFont="1" applyFill="1" applyBorder="1" applyAlignment="1">
      <alignment horizontal="right" vertical="center" wrapText="1"/>
    </xf>
    <xf numFmtId="10" fontId="4" fillId="26" borderId="3" xfId="2" applyNumberFormat="1" applyFont="1" applyFill="1" applyBorder="1" applyAlignment="1">
      <alignment horizontal="center" vertical="center"/>
    </xf>
    <xf numFmtId="0" fontId="12" fillId="2" borderId="0" xfId="0" applyFont="1" applyFill="1" applyAlignment="1">
      <alignment wrapText="1"/>
    </xf>
    <xf numFmtId="166" fontId="12" fillId="0" borderId="5" xfId="0" applyNumberFormat="1" applyFont="1" applyBorder="1" applyAlignment="1">
      <alignment horizontal="right"/>
    </xf>
    <xf numFmtId="166" fontId="12" fillId="0" borderId="5" xfId="0" applyNumberFormat="1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9" fillId="27" borderId="2" xfId="0" applyFont="1" applyFill="1" applyBorder="1" applyAlignment="1">
      <alignment horizontal="left" wrapText="1"/>
    </xf>
    <xf numFmtId="166" fontId="4" fillId="27" borderId="3" xfId="0" applyNumberFormat="1" applyFont="1" applyFill="1" applyBorder="1" applyAlignment="1">
      <alignment horizontal="right" vertical="center" wrapText="1"/>
    </xf>
    <xf numFmtId="0" fontId="19" fillId="21" borderId="14" xfId="0" applyFont="1" applyFill="1" applyBorder="1" applyAlignment="1">
      <alignment horizontal="center" vertical="center"/>
    </xf>
    <xf numFmtId="10" fontId="11" fillId="21" borderId="15" xfId="0" applyNumberFormat="1" applyFont="1" applyFill="1" applyBorder="1" applyAlignment="1">
      <alignment horizontal="center" vertical="center"/>
    </xf>
    <xf numFmtId="0" fontId="19" fillId="20" borderId="11" xfId="0" applyFont="1" applyFill="1" applyBorder="1" applyAlignment="1">
      <alignment horizontal="left" vertical="center"/>
    </xf>
    <xf numFmtId="166" fontId="11" fillId="20" borderId="12" xfId="0" applyNumberFormat="1" applyFont="1" applyFill="1" applyBorder="1" applyAlignment="1">
      <alignment vertical="center"/>
    </xf>
    <xf numFmtId="0" fontId="19" fillId="20" borderId="14" xfId="0" applyFont="1" applyFill="1" applyBorder="1" applyAlignment="1">
      <alignment horizontal="left" vertical="center"/>
    </xf>
    <xf numFmtId="166" fontId="11" fillId="20" borderId="15" xfId="0" applyNumberFormat="1" applyFont="1" applyFill="1" applyBorder="1" applyAlignment="1">
      <alignment vertical="center"/>
    </xf>
    <xf numFmtId="177" fontId="11" fillId="2" borderId="0" xfId="0" applyNumberFormat="1" applyFont="1" applyFill="1"/>
    <xf numFmtId="0" fontId="18" fillId="14" borderId="8" xfId="0" applyFont="1" applyFill="1" applyBorder="1" applyAlignment="1">
      <alignment horizontal="right"/>
    </xf>
    <xf numFmtId="0" fontId="26" fillId="28" borderId="10" xfId="0" applyFont="1" applyFill="1" applyBorder="1" applyAlignment="1">
      <alignment horizontal="center"/>
    </xf>
    <xf numFmtId="9" fontId="18" fillId="28" borderId="0" xfId="0" applyNumberFormat="1" applyFont="1" applyFill="1" applyAlignment="1">
      <alignment horizontal="center" vertical="center"/>
    </xf>
    <xf numFmtId="0" fontId="27" fillId="3" borderId="0" xfId="0" applyFont="1" applyFill="1" applyAlignment="1">
      <alignment vertical="center"/>
    </xf>
    <xf numFmtId="166" fontId="7" fillId="2" borderId="0" xfId="0" applyNumberFormat="1" applyFont="1" applyFill="1" applyAlignment="1">
      <alignment horizontal="left"/>
    </xf>
    <xf numFmtId="4" fontId="4" fillId="2" borderId="0" xfId="0" applyNumberFormat="1" applyFont="1" applyFill="1" applyAlignment="1">
      <alignment horizontal="right"/>
    </xf>
    <xf numFmtId="0" fontId="18" fillId="14" borderId="11" xfId="0" applyFont="1" applyFill="1" applyBorder="1" applyAlignment="1">
      <alignment horizontal="right"/>
    </xf>
    <xf numFmtId="166" fontId="18" fillId="14" borderId="12" xfId="0" applyNumberFormat="1" applyFont="1" applyFill="1" applyBorder="1"/>
    <xf numFmtId="0" fontId="18" fillId="14" borderId="11" xfId="0" applyFont="1" applyFill="1" applyBorder="1" applyAlignment="1">
      <alignment horizontal="right" wrapText="1"/>
    </xf>
    <xf numFmtId="173" fontId="18" fillId="28" borderId="12" xfId="0" applyNumberFormat="1" applyFont="1" applyFill="1" applyBorder="1" applyAlignment="1">
      <alignment horizontal="center" vertical="center"/>
    </xf>
    <xf numFmtId="173" fontId="18" fillId="28" borderId="0" xfId="0" applyNumberFormat="1" applyFont="1" applyFill="1" applyAlignment="1">
      <alignment horizontal="center" vertical="center"/>
    </xf>
    <xf numFmtId="0" fontId="28" fillId="2" borderId="0" xfId="0" applyFont="1" applyFill="1"/>
    <xf numFmtId="0" fontId="18" fillId="14" borderId="11" xfId="0" applyFont="1" applyFill="1" applyBorder="1" applyAlignment="1">
      <alignment horizontal="right" vertical="center" wrapText="1"/>
    </xf>
    <xf numFmtId="166" fontId="19" fillId="3" borderId="0" xfId="0" applyNumberFormat="1" applyFont="1" applyFill="1"/>
    <xf numFmtId="0" fontId="19" fillId="3" borderId="0" xfId="0" applyFont="1" applyFill="1"/>
    <xf numFmtId="166" fontId="13" fillId="2" borderId="0" xfId="0" applyNumberFormat="1" applyFont="1" applyFill="1"/>
    <xf numFmtId="166" fontId="13" fillId="2" borderId="1" xfId="0" applyNumberFormat="1" applyFont="1" applyFill="1" applyBorder="1"/>
    <xf numFmtId="178" fontId="12" fillId="2" borderId="0" xfId="0" applyNumberFormat="1" applyFont="1" applyFill="1"/>
    <xf numFmtId="43" fontId="11" fillId="3" borderId="0" xfId="1" applyFont="1" applyFill="1" applyAlignment="1">
      <alignment horizontal="center"/>
    </xf>
    <xf numFmtId="0" fontId="4" fillId="0" borderId="1" xfId="0" applyFont="1" applyBorder="1" applyAlignment="1">
      <alignment horizontal="left" wrapText="1"/>
    </xf>
    <xf numFmtId="1" fontId="13" fillId="2" borderId="1" xfId="0" applyNumberFormat="1" applyFont="1" applyFill="1" applyBorder="1" applyAlignment="1">
      <alignment horizontal="center"/>
    </xf>
    <xf numFmtId="166" fontId="12" fillId="2" borderId="0" xfId="0" applyNumberFormat="1" applyFont="1" applyFill="1"/>
    <xf numFmtId="0" fontId="18" fillId="14" borderId="14" xfId="0" applyFont="1" applyFill="1" applyBorder="1" applyAlignment="1">
      <alignment horizontal="right" wrapText="1"/>
    </xf>
    <xf numFmtId="166" fontId="18" fillId="14" borderId="15" xfId="0" applyNumberFormat="1" applyFont="1" applyFill="1" applyBorder="1"/>
    <xf numFmtId="166" fontId="18" fillId="29" borderId="0" xfId="0" applyNumberFormat="1" applyFont="1" applyFill="1" applyAlignment="1">
      <alignment horizontal="center"/>
    </xf>
    <xf numFmtId="2" fontId="18" fillId="30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left"/>
    </xf>
    <xf numFmtId="166" fontId="18" fillId="31" borderId="8" xfId="0" applyNumberFormat="1" applyFont="1" applyFill="1" applyBorder="1"/>
    <xf numFmtId="166" fontId="19" fillId="31" borderId="10" xfId="2" applyNumberFormat="1" applyFont="1" applyFill="1" applyBorder="1"/>
    <xf numFmtId="178" fontId="13" fillId="2" borderId="0" xfId="0" applyNumberFormat="1" applyFont="1" applyFill="1"/>
    <xf numFmtId="0" fontId="18" fillId="29" borderId="0" xfId="0" applyFont="1" applyFill="1" applyAlignment="1">
      <alignment horizontal="center"/>
    </xf>
    <xf numFmtId="166" fontId="18" fillId="31" borderId="14" xfId="0" applyNumberFormat="1" applyFont="1" applyFill="1" applyBorder="1" applyAlignment="1">
      <alignment horizontal="center" wrapText="1"/>
    </xf>
    <xf numFmtId="166" fontId="19" fillId="31" borderId="15" xfId="2" applyNumberFormat="1" applyFont="1" applyFill="1" applyBorder="1" applyAlignment="1">
      <alignment horizontal="right"/>
    </xf>
    <xf numFmtId="0" fontId="13" fillId="3" borderId="0" xfId="0" applyFont="1" applyFill="1"/>
    <xf numFmtId="0" fontId="13" fillId="2" borderId="0" xfId="0" applyFont="1" applyFill="1" applyAlignment="1">
      <alignment vertical="center"/>
    </xf>
    <xf numFmtId="0" fontId="19" fillId="3" borderId="8" xfId="0" applyFont="1" applyFill="1" applyBorder="1"/>
    <xf numFmtId="0" fontId="19" fillId="3" borderId="9" xfId="0" applyFont="1" applyFill="1" applyBorder="1"/>
    <xf numFmtId="174" fontId="19" fillId="3" borderId="10" xfId="0" applyNumberFormat="1" applyFont="1" applyFill="1" applyBorder="1"/>
    <xf numFmtId="0" fontId="19" fillId="3" borderId="11" xfId="0" applyFont="1" applyFill="1" applyBorder="1"/>
    <xf numFmtId="174" fontId="19" fillId="3" borderId="12" xfId="0" applyNumberFormat="1" applyFont="1" applyFill="1" applyBorder="1"/>
    <xf numFmtId="0" fontId="21" fillId="3" borderId="11" xfId="0" applyFont="1" applyFill="1" applyBorder="1"/>
    <xf numFmtId="166" fontId="11" fillId="3" borderId="12" xfId="0" applyNumberFormat="1" applyFont="1" applyFill="1" applyBorder="1"/>
    <xf numFmtId="166" fontId="11" fillId="3" borderId="0" xfId="0" applyNumberFormat="1" applyFont="1" applyFill="1"/>
    <xf numFmtId="0" fontId="12" fillId="2" borderId="0" xfId="0" applyFont="1" applyFill="1" applyAlignment="1">
      <alignment horizontal="left"/>
    </xf>
    <xf numFmtId="0" fontId="11" fillId="3" borderId="11" xfId="0" applyFont="1" applyFill="1" applyBorder="1"/>
    <xf numFmtId="0" fontId="18" fillId="25" borderId="11" xfId="0" applyFont="1" applyFill="1" applyBorder="1"/>
    <xf numFmtId="0" fontId="18" fillId="25" borderId="0" xfId="0" applyFont="1" applyFill="1"/>
    <xf numFmtId="166" fontId="18" fillId="25" borderId="12" xfId="0" applyNumberFormat="1" applyFont="1" applyFill="1" applyBorder="1"/>
    <xf numFmtId="166" fontId="13" fillId="3" borderId="0" xfId="0" applyNumberFormat="1" applyFont="1" applyFill="1"/>
    <xf numFmtId="179" fontId="19" fillId="3" borderId="12" xfId="0" applyNumberFormat="1" applyFont="1" applyFill="1" applyBorder="1"/>
    <xf numFmtId="0" fontId="4" fillId="2" borderId="0" xfId="4" applyFont="1" applyFill="1"/>
    <xf numFmtId="166" fontId="19" fillId="3" borderId="12" xfId="0" applyNumberFormat="1" applyFont="1" applyFill="1" applyBorder="1"/>
    <xf numFmtId="10" fontId="19" fillId="3" borderId="12" xfId="2" applyNumberFormat="1" applyFont="1" applyFill="1" applyBorder="1"/>
    <xf numFmtId="0" fontId="19" fillId="3" borderId="14" xfId="0" applyFont="1" applyFill="1" applyBorder="1"/>
    <xf numFmtId="0" fontId="19" fillId="3" borderId="4" xfId="0" applyFont="1" applyFill="1" applyBorder="1"/>
    <xf numFmtId="166" fontId="19" fillId="3" borderId="15" xfId="0" applyNumberFormat="1" applyFont="1" applyFill="1" applyBorder="1"/>
    <xf numFmtId="166" fontId="19" fillId="13" borderId="11" xfId="0" applyNumberFormat="1" applyFont="1" applyFill="1" applyBorder="1"/>
    <xf numFmtId="166" fontId="19" fillId="13" borderId="0" xfId="0" applyNumberFormat="1" applyFont="1" applyFill="1"/>
    <xf numFmtId="174" fontId="19" fillId="13" borderId="6" xfId="0" applyNumberFormat="1" applyFont="1" applyFill="1" applyBorder="1"/>
    <xf numFmtId="0" fontId="10" fillId="2" borderId="0" xfId="4" applyFont="1" applyFill="1"/>
    <xf numFmtId="174" fontId="19" fillId="13" borderId="2" xfId="0" applyNumberFormat="1" applyFont="1" applyFill="1" applyBorder="1"/>
    <xf numFmtId="174" fontId="19" fillId="13" borderId="16" xfId="0" applyNumberFormat="1" applyFont="1" applyFill="1" applyBorder="1"/>
    <xf numFmtId="0" fontId="13" fillId="13" borderId="15" xfId="0" applyFont="1" applyFill="1" applyBorder="1"/>
    <xf numFmtId="0" fontId="32" fillId="2" borderId="0" xfId="0" applyFont="1" applyFill="1" applyAlignment="1">
      <alignment horizontal="left"/>
    </xf>
    <xf numFmtId="0" fontId="7" fillId="2" borderId="0" xfId="0" applyFont="1" applyFill="1"/>
    <xf numFmtId="0" fontId="33" fillId="2" borderId="0" xfId="0" applyFont="1" applyFill="1"/>
    <xf numFmtId="0" fontId="9" fillId="0" borderId="0" xfId="0" applyFont="1"/>
    <xf numFmtId="4" fontId="4" fillId="0" borderId="0" xfId="0" applyNumberFormat="1" applyFont="1"/>
    <xf numFmtId="0" fontId="4" fillId="0" borderId="0" xfId="0" applyFont="1" applyAlignment="1">
      <alignment horizontal="center"/>
    </xf>
    <xf numFmtId="0" fontId="12" fillId="2" borderId="0" xfId="0" applyFont="1" applyFill="1" applyAlignment="1">
      <alignment horizontal="center" vertical="center"/>
    </xf>
    <xf numFmtId="166" fontId="18" fillId="31" borderId="23" xfId="0" applyNumberFormat="1" applyFont="1" applyFill="1" applyBorder="1" applyAlignment="1">
      <alignment horizontal="center" vertical="center" wrapText="1"/>
    </xf>
    <xf numFmtId="166" fontId="18" fillId="31" borderId="13" xfId="0" applyNumberFormat="1" applyFont="1" applyFill="1" applyBorder="1" applyAlignment="1">
      <alignment horizontal="center" vertical="center" wrapText="1"/>
    </xf>
    <xf numFmtId="166" fontId="26" fillId="32" borderId="23" xfId="0" applyNumberFormat="1" applyFont="1" applyFill="1" applyBorder="1" applyAlignment="1">
      <alignment horizontal="center" vertical="center"/>
    </xf>
    <xf numFmtId="166" fontId="26" fillId="32" borderId="13" xfId="0" applyNumberFormat="1" applyFont="1" applyFill="1" applyBorder="1" applyAlignment="1">
      <alignment horizontal="center" vertical="center"/>
    </xf>
    <xf numFmtId="166" fontId="18" fillId="13" borderId="8" xfId="0" applyNumberFormat="1" applyFont="1" applyFill="1" applyBorder="1" applyAlignment="1">
      <alignment horizontal="center" vertical="center"/>
    </xf>
    <xf numFmtId="166" fontId="18" fillId="13" borderId="9" xfId="0" applyNumberFormat="1" applyFont="1" applyFill="1" applyBorder="1" applyAlignment="1">
      <alignment horizontal="center" vertical="center"/>
    </xf>
    <xf numFmtId="166" fontId="18" fillId="13" borderId="10" xfId="0" applyNumberFormat="1" applyFont="1" applyFill="1" applyBorder="1" applyAlignment="1">
      <alignment horizontal="center" vertical="center"/>
    </xf>
    <xf numFmtId="10" fontId="17" fillId="3" borderId="1" xfId="0" applyNumberFormat="1" applyFont="1" applyFill="1" applyBorder="1" applyAlignment="1">
      <alignment horizontal="center"/>
    </xf>
    <xf numFmtId="0" fontId="7" fillId="2" borderId="22" xfId="0" applyFont="1" applyFill="1" applyBorder="1" applyAlignment="1">
      <alignment horizontal="center" vertical="center"/>
    </xf>
    <xf numFmtId="167" fontId="7" fillId="25" borderId="5" xfId="0" applyNumberFormat="1" applyFont="1" applyFill="1" applyBorder="1" applyAlignment="1">
      <alignment horizontal="center" wrapText="1"/>
    </xf>
    <xf numFmtId="167" fontId="12" fillId="0" borderId="5" xfId="0" applyNumberFormat="1" applyFont="1" applyBorder="1" applyAlignment="1">
      <alignment horizontal="center" wrapText="1"/>
    </xf>
    <xf numFmtId="0" fontId="7" fillId="19" borderId="2" xfId="0" applyFont="1" applyFill="1" applyBorder="1" applyAlignment="1">
      <alignment horizontal="center" vertical="center" wrapText="1"/>
    </xf>
    <xf numFmtId="0" fontId="7" fillId="19" borderId="3" xfId="0" applyFont="1" applyFill="1" applyBorder="1" applyAlignment="1">
      <alignment horizontal="center" vertical="center" wrapText="1"/>
    </xf>
    <xf numFmtId="167" fontId="25" fillId="0" borderId="20" xfId="0" applyNumberFormat="1" applyFont="1" applyBorder="1" applyAlignment="1">
      <alignment horizontal="left" vertical="top" wrapText="1"/>
    </xf>
    <xf numFmtId="167" fontId="25" fillId="0" borderId="21" xfId="0" applyNumberFormat="1" applyFont="1" applyBorder="1" applyAlignment="1">
      <alignment horizontal="left" vertical="top" wrapText="1"/>
    </xf>
    <xf numFmtId="0" fontId="18" fillId="29" borderId="1" xfId="0" applyFont="1" applyFill="1" applyBorder="1" applyAlignment="1">
      <alignment horizontal="center" vertical="center"/>
    </xf>
    <xf numFmtId="167" fontId="7" fillId="9" borderId="17" xfId="0" applyNumberFormat="1" applyFont="1" applyFill="1" applyBorder="1" applyAlignment="1">
      <alignment horizontal="center" vertical="center" wrapText="1"/>
    </xf>
    <xf numFmtId="167" fontId="7" fillId="9" borderId="19" xfId="0" applyNumberFormat="1" applyFont="1" applyFill="1" applyBorder="1" applyAlignment="1">
      <alignment horizontal="center" vertical="center" wrapText="1"/>
    </xf>
    <xf numFmtId="10" fontId="17" fillId="3" borderId="2" xfId="0" applyNumberFormat="1" applyFont="1" applyFill="1" applyBorder="1" applyAlignment="1">
      <alignment horizontal="center"/>
    </xf>
    <xf numFmtId="10" fontId="17" fillId="3" borderId="3" xfId="0" applyNumberFormat="1" applyFont="1" applyFill="1" applyBorder="1" applyAlignment="1">
      <alignment horizontal="center"/>
    </xf>
    <xf numFmtId="167" fontId="7" fillId="9" borderId="5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24" fillId="18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166" fontId="17" fillId="2" borderId="2" xfId="0" applyNumberFormat="1" applyFont="1" applyFill="1" applyBorder="1" applyAlignment="1">
      <alignment horizontal="right" vertical="center"/>
    </xf>
    <xf numFmtId="166" fontId="17" fillId="2" borderId="16" xfId="0" applyNumberFormat="1" applyFont="1" applyFill="1" applyBorder="1" applyAlignment="1">
      <alignment horizontal="right" vertical="center"/>
    </xf>
    <xf numFmtId="0" fontId="7" fillId="2" borderId="0" xfId="0" applyFont="1" applyFill="1" applyAlignment="1">
      <alignment horizontal="center" vertical="center"/>
    </xf>
    <xf numFmtId="0" fontId="24" fillId="2" borderId="2" xfId="0" applyFont="1" applyFill="1" applyBorder="1" applyAlignment="1">
      <alignment horizontal="right"/>
    </xf>
    <xf numFmtId="0" fontId="24" fillId="2" borderId="3" xfId="0" applyFont="1" applyFill="1" applyBorder="1" applyAlignment="1">
      <alignment horizontal="right"/>
    </xf>
    <xf numFmtId="0" fontId="24" fillId="18" borderId="2" xfId="0" applyFont="1" applyFill="1" applyBorder="1" applyAlignment="1">
      <alignment horizontal="right"/>
    </xf>
    <xf numFmtId="0" fontId="24" fillId="18" borderId="16" xfId="0" applyFont="1" applyFill="1" applyBorder="1" applyAlignment="1">
      <alignment horizontal="right"/>
    </xf>
    <xf numFmtId="0" fontId="24" fillId="18" borderId="3" xfId="0" applyFont="1" applyFill="1" applyBorder="1" applyAlignment="1">
      <alignment horizontal="right"/>
    </xf>
    <xf numFmtId="0" fontId="24" fillId="18" borderId="1" xfId="0" applyFont="1" applyFill="1" applyBorder="1" applyAlignment="1">
      <alignment horizontal="right"/>
    </xf>
    <xf numFmtId="0" fontId="23" fillId="16" borderId="1" xfId="0" applyFont="1" applyFill="1" applyBorder="1" applyAlignment="1">
      <alignment horizontal="center" vertical="center" wrapText="1"/>
    </xf>
    <xf numFmtId="0" fontId="23" fillId="2" borderId="11" xfId="0" applyFont="1" applyFill="1" applyBorder="1" applyAlignment="1">
      <alignment horizontal="center" wrapText="1"/>
    </xf>
    <xf numFmtId="0" fontId="23" fillId="2" borderId="12" xfId="0" applyFont="1" applyFill="1" applyBorder="1" applyAlignment="1">
      <alignment horizontal="center" wrapText="1"/>
    </xf>
    <xf numFmtId="10" fontId="17" fillId="13" borderId="0" xfId="0" applyNumberFormat="1" applyFont="1" applyFill="1" applyAlignment="1">
      <alignment horizontal="center" vertical="center"/>
    </xf>
    <xf numFmtId="0" fontId="20" fillId="2" borderId="2" xfId="0" applyFont="1" applyFill="1" applyBorder="1" applyAlignment="1">
      <alignment horizontal="right"/>
    </xf>
    <xf numFmtId="0" fontId="20" fillId="2" borderId="16" xfId="0" applyFont="1" applyFill="1" applyBorder="1" applyAlignment="1">
      <alignment horizontal="right"/>
    </xf>
    <xf numFmtId="0" fontId="20" fillId="2" borderId="17" xfId="0" applyFont="1" applyFill="1" applyBorder="1" applyAlignment="1">
      <alignment horizontal="right"/>
    </xf>
    <xf numFmtId="0" fontId="20" fillId="2" borderId="18" xfId="0" applyFont="1" applyFill="1" applyBorder="1" applyAlignment="1">
      <alignment horizontal="right"/>
    </xf>
    <xf numFmtId="0" fontId="23" fillId="17" borderId="1" xfId="0" applyFont="1" applyFill="1" applyBorder="1" applyAlignment="1">
      <alignment horizontal="center"/>
    </xf>
    <xf numFmtId="166" fontId="17" fillId="5" borderId="0" xfId="0" applyNumberFormat="1" applyFont="1" applyFill="1" applyAlignment="1">
      <alignment horizontal="center"/>
    </xf>
    <xf numFmtId="0" fontId="17" fillId="2" borderId="17" xfId="0" applyFont="1" applyFill="1" applyBorder="1" applyAlignment="1">
      <alignment horizontal="center"/>
    </xf>
    <xf numFmtId="0" fontId="17" fillId="2" borderId="18" xfId="0" applyFont="1" applyFill="1" applyBorder="1" applyAlignment="1">
      <alignment horizontal="center"/>
    </xf>
    <xf numFmtId="0" fontId="17" fillId="2" borderId="19" xfId="0" applyFont="1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7" fillId="12" borderId="1" xfId="0" applyFont="1" applyFill="1" applyBorder="1" applyAlignment="1">
      <alignment horizontal="center" wrapText="1"/>
    </xf>
    <xf numFmtId="9" fontId="4" fillId="6" borderId="1" xfId="2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166" fontId="18" fillId="8" borderId="2" xfId="0" applyNumberFormat="1" applyFont="1" applyFill="1" applyBorder="1" applyAlignment="1">
      <alignment horizontal="center" wrapText="1"/>
    </xf>
    <xf numFmtId="166" fontId="18" fillId="8" borderId="3" xfId="0" applyNumberFormat="1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10" fontId="4" fillId="2" borderId="7" xfId="0" applyNumberFormat="1" applyFont="1" applyFill="1" applyBorder="1" applyAlignment="1">
      <alignment horizontal="center" vertical="center"/>
    </xf>
    <xf numFmtId="10" fontId="4" fillId="2" borderId="6" xfId="0" applyNumberFormat="1" applyFont="1" applyFill="1" applyBorder="1" applyAlignment="1">
      <alignment horizontal="center" vertical="center"/>
    </xf>
    <xf numFmtId="10" fontId="4" fillId="2" borderId="13" xfId="0" applyNumberFormat="1" applyFont="1" applyFill="1" applyBorder="1" applyAlignment="1">
      <alignment horizontal="center" vertical="center"/>
    </xf>
    <xf numFmtId="4" fontId="4" fillId="2" borderId="7" xfId="0" applyNumberFormat="1" applyFont="1" applyFill="1" applyBorder="1" applyAlignment="1">
      <alignment horizontal="center" vertical="center"/>
    </xf>
    <xf numFmtId="4" fontId="4" fillId="2" borderId="6" xfId="0" applyNumberFormat="1" applyFont="1" applyFill="1" applyBorder="1" applyAlignment="1">
      <alignment horizontal="center" vertical="center"/>
    </xf>
    <xf numFmtId="4" fontId="4" fillId="2" borderId="13" xfId="0" applyNumberFormat="1" applyFont="1" applyFill="1" applyBorder="1" applyAlignment="1">
      <alignment horizontal="center" vertical="center"/>
    </xf>
    <xf numFmtId="0" fontId="18" fillId="11" borderId="8" xfId="0" applyFont="1" applyFill="1" applyBorder="1" applyAlignment="1">
      <alignment horizontal="center" vertical="center"/>
    </xf>
    <xf numFmtId="0" fontId="18" fillId="11" borderId="9" xfId="0" applyFont="1" applyFill="1" applyBorder="1" applyAlignment="1">
      <alignment horizontal="center" vertical="center"/>
    </xf>
    <xf numFmtId="0" fontId="18" fillId="11" borderId="10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/>
    </xf>
    <xf numFmtId="0" fontId="11" fillId="6" borderId="2" xfId="0" applyFont="1" applyFill="1" applyBorder="1" applyAlignment="1">
      <alignment horizontal="center"/>
    </xf>
    <xf numFmtId="0" fontId="11" fillId="6" borderId="3" xfId="0" applyFont="1" applyFill="1" applyBorder="1" applyAlignment="1">
      <alignment horizontal="center"/>
    </xf>
  </cellXfs>
  <cellStyles count="5">
    <cellStyle name="Hiperlink" xfId="3" builtinId="8"/>
    <cellStyle name="Normal" xfId="0" builtinId="0"/>
    <cellStyle name="Normal 5" xfId="4" xr:uid="{1CF27B90-FA6E-4DE6-8FF5-E15CB654842D}"/>
    <cellStyle name="Porcentagem" xfId="2" builtinId="5"/>
    <cellStyle name="Vírgula" xfId="1" builtinId="3"/>
  </cellStyles>
  <dxfs count="17"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PREV SINDIFAZ'!A1"/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923925</xdr:colOff>
          <xdr:row>0</xdr:row>
          <xdr:rowOff>0</xdr:rowOff>
        </xdr:from>
        <xdr:to>
          <xdr:col>8</xdr:col>
          <xdr:colOff>57150</xdr:colOff>
          <xdr:row>2</xdr:row>
          <xdr:rowOff>171450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438150</xdr:colOff>
          <xdr:row>0</xdr:row>
          <xdr:rowOff>161925</xdr:rowOff>
        </xdr:from>
        <xdr:to>
          <xdr:col>17</xdr:col>
          <xdr:colOff>2133600</xdr:colOff>
          <xdr:row>4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762000</xdr:colOff>
          <xdr:row>84</xdr:row>
          <xdr:rowOff>933450</xdr:rowOff>
        </xdr:from>
        <xdr:to>
          <xdr:col>16</xdr:col>
          <xdr:colOff>1676400</xdr:colOff>
          <xdr:row>86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146</xdr:row>
      <xdr:rowOff>173181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51570081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190499</xdr:rowOff>
    </xdr:from>
    <xdr:to>
      <xdr:col>1</xdr:col>
      <xdr:colOff>-1</xdr:colOff>
      <xdr:row>4</xdr:row>
      <xdr:rowOff>202907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70862" y="292819"/>
          <a:ext cx="850608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2</xdr:row>
      <xdr:rowOff>190499</xdr:rowOff>
    </xdr:from>
    <xdr:to>
      <xdr:col>1</xdr:col>
      <xdr:colOff>727364</xdr:colOff>
      <xdr:row>5</xdr:row>
      <xdr:rowOff>51955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73182" y="609599"/>
          <a:ext cx="1373332" cy="575831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2020</a:t>
          </a:r>
        </a:p>
      </xdr:txBody>
    </xdr:sp>
    <xdr:clientData/>
  </xdr:twoCellAnchor>
  <xdr:twoCellAnchor>
    <xdr:from>
      <xdr:col>12</xdr:col>
      <xdr:colOff>1385454</xdr:colOff>
      <xdr:row>84</xdr:row>
      <xdr:rowOff>623454</xdr:rowOff>
    </xdr:from>
    <xdr:to>
      <xdr:col>13</xdr:col>
      <xdr:colOff>69272</xdr:colOff>
      <xdr:row>85</xdr:row>
      <xdr:rowOff>571500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4435954" y="30912954"/>
          <a:ext cx="1188893" cy="957696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21</xdr:col>
      <xdr:colOff>1039091</xdr:colOff>
      <xdr:row>94</xdr:row>
      <xdr:rowOff>207817</xdr:rowOff>
    </xdr:from>
    <xdr:to>
      <xdr:col>21</xdr:col>
      <xdr:colOff>3099955</xdr:colOff>
      <xdr:row>94</xdr:row>
      <xdr:rowOff>1264227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769116" y="35869417"/>
          <a:ext cx="2060864" cy="989735"/>
        </a:xfrm>
        <a:prstGeom prst="roundRect">
          <a:avLst/>
        </a:prstGeom>
        <a:solidFill>
          <a:srgbClr val="FF7C8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kern="1200">
              <a:solidFill>
                <a:schemeClr val="tx1"/>
              </a:solidFill>
              <a:latin typeface="Cascadia Code ExtraLight" panose="020B0609020000020004" pitchFamily="49" charset="0"/>
              <a:ea typeface="Cascadia Code ExtraLight" panose="020B0609020000020004" pitchFamily="49" charset="0"/>
              <a:cs typeface="Cascadia Code ExtraLight" panose="020B0609020000020004" pitchFamily="49" charset="0"/>
            </a:rPr>
            <a:t>PARA</a:t>
          </a:r>
          <a:r>
            <a:rPr lang="pt-BR" sz="1800" kern="1200" baseline="0">
              <a:solidFill>
                <a:schemeClr val="tx1"/>
              </a:solidFill>
              <a:latin typeface="Cascadia Code ExtraLight" panose="020B0609020000020004" pitchFamily="49" charset="0"/>
              <a:ea typeface="Cascadia Code ExtraLight" panose="020B0609020000020004" pitchFamily="49" charset="0"/>
              <a:cs typeface="Cascadia Code ExtraLight" panose="020B0609020000020004" pitchFamily="49" charset="0"/>
            </a:rPr>
            <a:t> CALCULAR PREV. OUTRAS PLANILHAS</a:t>
          </a:r>
          <a:endParaRPr lang="pt-BR" sz="1800" kern="1200">
            <a:solidFill>
              <a:schemeClr val="tx1"/>
            </a:solidFill>
            <a:latin typeface="Cascadia Code ExtraLight" panose="020B0609020000020004" pitchFamily="49" charset="0"/>
            <a:ea typeface="Cascadia Code ExtraLight" panose="020B0609020000020004" pitchFamily="49" charset="0"/>
            <a:cs typeface="Cascadia Code ExtraLight" panose="020B0609020000020004" pitchFamily="49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  <cell r="AF18">
            <v>54</v>
          </cell>
        </row>
        <row r="19">
          <cell r="AC19" t="str">
            <v>k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</row>
        <row r="4">
          <cell r="A4" t="str">
            <v>b</v>
          </cell>
          <cell r="B4" t="str">
            <v>Fevereiro</v>
          </cell>
          <cell r="C4" t="str">
            <v>FEV</v>
          </cell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</row>
        <row r="5">
          <cell r="A5" t="str">
            <v>c</v>
          </cell>
          <cell r="B5" t="str">
            <v>Março</v>
          </cell>
          <cell r="C5" t="str">
            <v>MAR</v>
          </cell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</row>
        <row r="6">
          <cell r="A6" t="str">
            <v>d</v>
          </cell>
          <cell r="B6" t="str">
            <v>Abril</v>
          </cell>
          <cell r="C6" t="str">
            <v>ABR</v>
          </cell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</row>
        <row r="7">
          <cell r="A7" t="str">
            <v>e</v>
          </cell>
          <cell r="B7" t="str">
            <v>Maio</v>
          </cell>
          <cell r="C7" t="str">
            <v>MAI</v>
          </cell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</row>
        <row r="8">
          <cell r="A8" t="str">
            <v>f</v>
          </cell>
          <cell r="B8" t="str">
            <v>Junho</v>
          </cell>
          <cell r="C8" t="str">
            <v>JUN</v>
          </cell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</row>
        <row r="9">
          <cell r="A9" t="str">
            <v>g</v>
          </cell>
          <cell r="B9" t="str">
            <v>Julho</v>
          </cell>
          <cell r="C9" t="str">
            <v>JUL</v>
          </cell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>
            <v>0</v>
          </cell>
          <cell r="W5" t="e">
            <v>#REF!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>
            <v>0</v>
          </cell>
          <cell r="W6" t="e">
            <v>#REF!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>
            <v>0</v>
          </cell>
          <cell r="W7" t="e">
            <v>#REF!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>
            <v>0</v>
          </cell>
          <cell r="W8" t="e">
            <v>#REF!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>
            <v>0</v>
          </cell>
          <cell r="W9" t="e">
            <v>#REF!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>
            <v>0</v>
          </cell>
          <cell r="W10" t="e">
            <v>#REF!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>
            <v>0</v>
          </cell>
          <cell r="W11" t="e">
            <v>#REF!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>
            <v>0</v>
          </cell>
          <cell r="W12" t="e">
            <v>#REF!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>
            <v>0</v>
          </cell>
          <cell r="W13" t="e">
            <v>#REF!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>
            <v>0</v>
          </cell>
          <cell r="W14" t="e">
            <v>#REF!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>
            <v>0</v>
          </cell>
          <cell r="W15" t="e">
            <v>#REF!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>
            <v>0</v>
          </cell>
          <cell r="W16" t="e">
            <v>#REF!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>
            <v>0</v>
          </cell>
          <cell r="W17" t="e">
            <v>#REF!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>
            <v>0</v>
          </cell>
          <cell r="W18" t="e">
            <v>#REF!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>
            <v>0</v>
          </cell>
          <cell r="W19" t="e">
            <v>#REF!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>
            <v>0</v>
          </cell>
          <cell r="W20" t="e">
            <v>#REF!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>
            <v>0</v>
          </cell>
          <cell r="W21" t="e">
            <v>#REF!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>
            <v>0</v>
          </cell>
          <cell r="W22" t="e">
            <v>#REF!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>
            <v>0</v>
          </cell>
          <cell r="W23" t="e">
            <v>#REF!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>
            <v>0</v>
          </cell>
          <cell r="W24" t="e">
            <v>#REF!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>
            <v>0</v>
          </cell>
          <cell r="W25" t="e">
            <v>#REF!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>
            <v>0</v>
          </cell>
          <cell r="W26" t="e">
            <v>#REF!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>
            <v>0</v>
          </cell>
          <cell r="W27" t="e">
            <v>#REF!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>
            <v>0</v>
          </cell>
          <cell r="W28" t="e">
            <v>#REF!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>
            <v>0</v>
          </cell>
          <cell r="W29" t="e">
            <v>#REF!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>
            <v>0</v>
          </cell>
          <cell r="W30" t="e">
            <v>#REF!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>
            <v>0</v>
          </cell>
          <cell r="W31" t="e">
            <v>#REF!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>
            <v>0</v>
          </cell>
          <cell r="W32" t="e">
            <v>#REF!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>
            <v>0</v>
          </cell>
          <cell r="W33" t="e">
            <v>#REF!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>
            <v>0</v>
          </cell>
          <cell r="W34" t="e">
            <v>#REF!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>
            <v>0</v>
          </cell>
          <cell r="W35" t="e">
            <v>#REF!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>
            <v>0</v>
          </cell>
          <cell r="W36" t="e">
            <v>#REF!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>
            <v>0</v>
          </cell>
          <cell r="W37" t="e">
            <v>#REF!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>
            <v>0</v>
          </cell>
          <cell r="W38" t="e">
            <v>#REF!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>
            <v>0</v>
          </cell>
          <cell r="W39" t="e">
            <v>#REF!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>
            <v>0</v>
          </cell>
          <cell r="W40" t="e">
            <v>#REF!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>
            <v>0</v>
          </cell>
          <cell r="W41" t="e">
            <v>#REF!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>
            <v>0</v>
          </cell>
          <cell r="W42" t="e">
            <v>#REF!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>
            <v>0</v>
          </cell>
          <cell r="W43" t="e">
            <v>#REF!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>
            <v>0</v>
          </cell>
          <cell r="W44" t="e">
            <v>#REF!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>
            <v>0</v>
          </cell>
          <cell r="W45" t="e">
            <v>#REF!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>
            <v>0</v>
          </cell>
          <cell r="W46" t="e">
            <v>#REF!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>
            <v>0</v>
          </cell>
          <cell r="W47" t="e">
            <v>#REF!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>
            <v>0</v>
          </cell>
          <cell r="W48" t="e">
            <v>#REF!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>
            <v>0</v>
          </cell>
          <cell r="W49" t="e">
            <v>#REF!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>
            <v>0</v>
          </cell>
          <cell r="W50" t="e">
            <v>#REF!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>
            <v>0</v>
          </cell>
          <cell r="W51" t="e">
            <v>#REF!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>
            <v>0</v>
          </cell>
          <cell r="W52" t="e">
            <v>#REF!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>
            <v>0</v>
          </cell>
          <cell r="W53" t="e">
            <v>#REF!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>
            <v>0</v>
          </cell>
          <cell r="W54" t="e">
            <v>#REF!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>
            <v>0</v>
          </cell>
          <cell r="W55" t="e">
            <v>#REF!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>
            <v>0</v>
          </cell>
          <cell r="W56" t="e">
            <v>#REF!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>
            <v>0</v>
          </cell>
          <cell r="W57" t="e">
            <v>#REF!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>
            <v>0</v>
          </cell>
          <cell r="W58" t="e">
            <v>#REF!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>
            <v>0</v>
          </cell>
          <cell r="W59" t="e">
            <v>#REF!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>
            <v>0</v>
          </cell>
          <cell r="W60" t="e">
            <v>#REF!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>
            <v>0</v>
          </cell>
          <cell r="W61" t="e">
            <v>#REF!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>
            <v>0</v>
          </cell>
          <cell r="W62" t="e">
            <v>#REF!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>
            <v>0</v>
          </cell>
          <cell r="W63" t="e">
            <v>#REF!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>
            <v>0</v>
          </cell>
          <cell r="W64" t="e">
            <v>#REF!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>
            <v>0</v>
          </cell>
          <cell r="W65" t="e">
            <v>#REF!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>
            <v>0</v>
          </cell>
          <cell r="W66" t="e">
            <v>#REF!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>
            <v>0</v>
          </cell>
          <cell r="W67" t="e">
            <v>#REF!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>
            <v>0</v>
          </cell>
          <cell r="W68" t="e">
            <v>#REF!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>
            <v>0</v>
          </cell>
          <cell r="W69" t="e">
            <v>#REF!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>
            <v>0</v>
          </cell>
          <cell r="W70" t="e">
            <v>#REF!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>
            <v>0</v>
          </cell>
          <cell r="W71" t="e">
            <v>#REF!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>
            <v>0</v>
          </cell>
          <cell r="W72" t="e">
            <v>#REF!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>
            <v>0</v>
          </cell>
          <cell r="W73" t="e">
            <v>#REF!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>
            <v>0</v>
          </cell>
          <cell r="W74" t="e">
            <v>#REF!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>
            <v>0</v>
          </cell>
          <cell r="W75" t="e">
            <v>#REF!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>
            <v>0</v>
          </cell>
          <cell r="W76" t="e">
            <v>#REF!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>
            <v>0</v>
          </cell>
          <cell r="W77" t="e">
            <v>#REF!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>
            <v>0</v>
          </cell>
          <cell r="W78" t="e">
            <v>#REF!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>
            <v>0</v>
          </cell>
          <cell r="W79" t="e">
            <v>#REF!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>
            <v>0</v>
          </cell>
          <cell r="W80" t="e">
            <v>#REF!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>
            <v>0</v>
          </cell>
          <cell r="W81" t="e">
            <v>#REF!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>
            <v>0</v>
          </cell>
          <cell r="W82" t="e">
            <v>#REF!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>
            <v>0</v>
          </cell>
          <cell r="W83" t="e">
            <v>#REF!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>
            <v>0</v>
          </cell>
          <cell r="W84" t="e">
            <v>#REF!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>
            <v>0</v>
          </cell>
          <cell r="W85" t="e">
            <v>#REF!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>
            <v>0</v>
          </cell>
          <cell r="W86" t="e">
            <v>#REF!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>
            <v>0</v>
          </cell>
          <cell r="W87" t="e">
            <v>#REF!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>
            <v>0</v>
          </cell>
          <cell r="W88" t="e">
            <v>#REF!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>
            <v>0</v>
          </cell>
          <cell r="W89" t="e">
            <v>#REF!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>
            <v>0</v>
          </cell>
          <cell r="W90" t="e">
            <v>#REF!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>
            <v>0</v>
          </cell>
          <cell r="W91" t="e">
            <v>#REF!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>
            <v>0</v>
          </cell>
          <cell r="W92" t="e">
            <v>#REF!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>
            <v>0</v>
          </cell>
          <cell r="W93" t="e">
            <v>#REF!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>
            <v>0</v>
          </cell>
          <cell r="W94" t="e">
            <v>#REF!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>
            <v>0</v>
          </cell>
          <cell r="W95" t="e">
            <v>#REF!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>
            <v>0</v>
          </cell>
          <cell r="W96" t="e">
            <v>#REF!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>
            <v>0</v>
          </cell>
          <cell r="W97" t="e">
            <v>#REF!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>
            <v>0</v>
          </cell>
          <cell r="W98" t="e">
            <v>#REF!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>
            <v>0</v>
          </cell>
          <cell r="W99" t="e">
            <v>#REF!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>
            <v>0</v>
          </cell>
          <cell r="W100" t="e">
            <v>#REF!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>
            <v>0</v>
          </cell>
          <cell r="W101" t="e">
            <v>#REF!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>
            <v>0</v>
          </cell>
          <cell r="W102" t="e">
            <v>#REF!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>
            <v>0</v>
          </cell>
          <cell r="W103" t="e">
            <v>#REF!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>
            <v>0</v>
          </cell>
          <cell r="W104" t="e">
            <v>#REF!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>
            <v>0</v>
          </cell>
          <cell r="W105" t="e">
            <v>#REF!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>
            <v>0</v>
          </cell>
          <cell r="W106" t="e">
            <v>#REF!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>
            <v>0</v>
          </cell>
          <cell r="W107" t="e">
            <v>#REF!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>
            <v>0</v>
          </cell>
          <cell r="W108" t="e">
            <v>#REF!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>
            <v>0</v>
          </cell>
          <cell r="W109" t="e">
            <v>#REF!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>
            <v>0</v>
          </cell>
          <cell r="W110" t="e">
            <v>#REF!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>
            <v>0</v>
          </cell>
          <cell r="W111" t="e">
            <v>#REF!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>
            <v>0</v>
          </cell>
          <cell r="W112" t="e">
            <v>#REF!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>
            <v>0</v>
          </cell>
          <cell r="W113" t="e">
            <v>#REF!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>
            <v>0</v>
          </cell>
          <cell r="W114" t="e">
            <v>#REF!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>
            <v>0</v>
          </cell>
          <cell r="W115" t="e">
            <v>#REF!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>
            <v>0</v>
          </cell>
          <cell r="W116" t="e">
            <v>#REF!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>
            <v>0</v>
          </cell>
          <cell r="W117" t="e">
            <v>#REF!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>
            <v>0</v>
          </cell>
          <cell r="W118" t="e">
            <v>#REF!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>
            <v>0</v>
          </cell>
          <cell r="W119" t="e">
            <v>#REF!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>
            <v>0</v>
          </cell>
          <cell r="W120" t="e">
            <v>#REF!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>
            <v>0</v>
          </cell>
          <cell r="W121" t="e">
            <v>#REF!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>
            <v>0</v>
          </cell>
          <cell r="W122" t="e">
            <v>#REF!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>
            <v>0</v>
          </cell>
          <cell r="W123" t="e">
            <v>#REF!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>
            <v>0</v>
          </cell>
          <cell r="W124" t="e">
            <v>#REF!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>
            <v>0</v>
          </cell>
          <cell r="W125" t="e">
            <v>#REF!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>
            <v>0</v>
          </cell>
          <cell r="W126" t="e">
            <v>#REF!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>
            <v>0</v>
          </cell>
          <cell r="W127" t="e">
            <v>#REF!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>
            <v>0</v>
          </cell>
          <cell r="W128" t="e">
            <v>#REF!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>
            <v>0</v>
          </cell>
          <cell r="W129" t="e">
            <v>#REF!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>
            <v>0</v>
          </cell>
          <cell r="W130" t="e">
            <v>#REF!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>
            <v>0</v>
          </cell>
          <cell r="W131" t="e">
            <v>#REF!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>
            <v>0</v>
          </cell>
          <cell r="W132" t="e">
            <v>#REF!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>
            <v>0</v>
          </cell>
          <cell r="W133" t="e">
            <v>#REF!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>
            <v>0</v>
          </cell>
          <cell r="W134" t="e">
            <v>#REF!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>
            <v>0</v>
          </cell>
          <cell r="W135" t="e">
            <v>#REF!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>
            <v>0</v>
          </cell>
          <cell r="W136" t="e">
            <v>#REF!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>
            <v>0</v>
          </cell>
          <cell r="W137" t="e">
            <v>#REF!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>
            <v>0</v>
          </cell>
          <cell r="W138" t="e">
            <v>#REF!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>
            <v>0</v>
          </cell>
          <cell r="W139" t="e">
            <v>#REF!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>
            <v>0</v>
          </cell>
          <cell r="W140" t="e">
            <v>#REF!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>
            <v>0</v>
          </cell>
          <cell r="W141" t="e">
            <v>#REF!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>
            <v>0</v>
          </cell>
          <cell r="W142" t="e">
            <v>#REF!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>
            <v>0</v>
          </cell>
          <cell r="W143" t="e">
            <v>#REF!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>
            <v>0</v>
          </cell>
          <cell r="W144" t="e">
            <v>#REF!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>
            <v>0</v>
          </cell>
          <cell r="W145" t="e">
            <v>#REF!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>
            <v>0</v>
          </cell>
          <cell r="W146" t="e">
            <v>#REF!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>
            <v>0</v>
          </cell>
          <cell r="W147" t="e">
            <v>#REF!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>
            <v>0</v>
          </cell>
          <cell r="W148" t="e">
            <v>#REF!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>
            <v>0</v>
          </cell>
          <cell r="W149" t="e">
            <v>#REF!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>
            <v>0</v>
          </cell>
          <cell r="W150" t="e">
            <v>#REF!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>
            <v>0</v>
          </cell>
          <cell r="W151" t="e">
            <v>#REF!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>
            <v>0</v>
          </cell>
          <cell r="W152" t="e">
            <v>#REF!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>
            <v>0</v>
          </cell>
          <cell r="W153" t="e">
            <v>#REF!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>
            <v>0</v>
          </cell>
          <cell r="W154" t="e">
            <v>#REF!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>
            <v>0</v>
          </cell>
          <cell r="W155" t="e">
            <v>#REF!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>
            <v>0</v>
          </cell>
          <cell r="W156" t="e">
            <v>#REF!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>
            <v>0</v>
          </cell>
          <cell r="W157" t="e">
            <v>#REF!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>
            <v>0</v>
          </cell>
          <cell r="W158" t="e">
            <v>#REF!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>
            <v>0</v>
          </cell>
          <cell r="W159" t="e">
            <v>#REF!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>
            <v>0</v>
          </cell>
          <cell r="W160" t="e">
            <v>#REF!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>
            <v>0</v>
          </cell>
          <cell r="W161" t="e">
            <v>#REF!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>
            <v>0</v>
          </cell>
          <cell r="W162" t="e">
            <v>#REF!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>
            <v>0</v>
          </cell>
          <cell r="W163" t="e">
            <v>#REF!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>
            <v>0</v>
          </cell>
          <cell r="W164" t="e">
            <v>#REF!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>
            <v>0</v>
          </cell>
          <cell r="W165" t="e">
            <v>#REF!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>
            <v>0</v>
          </cell>
          <cell r="W166" t="e">
            <v>#REF!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>
            <v>0</v>
          </cell>
          <cell r="W167" t="e">
            <v>#REF!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>
            <v>0</v>
          </cell>
          <cell r="W168" t="e">
            <v>#REF!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>
            <v>0</v>
          </cell>
          <cell r="W169" t="e">
            <v>#REF!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>
            <v>0</v>
          </cell>
          <cell r="W170" t="e">
            <v>#REF!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>
            <v>0</v>
          </cell>
          <cell r="W171" t="e">
            <v>#REF!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>
            <v>0</v>
          </cell>
          <cell r="W172" t="e">
            <v>#REF!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>
            <v>0</v>
          </cell>
          <cell r="W173" t="e">
            <v>#REF!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>
            <v>0</v>
          </cell>
          <cell r="W174" t="e">
            <v>#REF!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>
            <v>0</v>
          </cell>
          <cell r="W175" t="e">
            <v>#REF!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>
            <v>0</v>
          </cell>
          <cell r="W176" t="e">
            <v>#REF!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>
            <v>0</v>
          </cell>
          <cell r="W177" t="e">
            <v>#REF!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>
            <v>0</v>
          </cell>
          <cell r="W178" t="e">
            <v>#REF!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>
            <v>0</v>
          </cell>
          <cell r="W179" t="e">
            <v>#REF!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>
            <v>0</v>
          </cell>
          <cell r="W180" t="e">
            <v>#REF!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>
            <v>0</v>
          </cell>
          <cell r="W181" t="e">
            <v>#REF!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>
            <v>0</v>
          </cell>
          <cell r="W182" t="e">
            <v>#REF!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>
            <v>0</v>
          </cell>
          <cell r="W183" t="e">
            <v>#REF!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>
            <v>0</v>
          </cell>
          <cell r="W184" t="e">
            <v>#REF!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>
            <v>0</v>
          </cell>
          <cell r="W185" t="e">
            <v>#REF!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>
            <v>0</v>
          </cell>
          <cell r="W186" t="e">
            <v>#REF!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>
            <v>0</v>
          </cell>
          <cell r="W187" t="e">
            <v>#REF!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>
            <v>0</v>
          </cell>
          <cell r="W188" t="e">
            <v>#REF!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>
            <v>0</v>
          </cell>
          <cell r="W189" t="e">
            <v>#REF!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>
            <v>0</v>
          </cell>
          <cell r="W190" t="e">
            <v>#REF!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>
            <v>0</v>
          </cell>
          <cell r="W191" t="e">
            <v>#REF!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>
            <v>0</v>
          </cell>
          <cell r="W192" t="e">
            <v>#REF!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>
            <v>0</v>
          </cell>
          <cell r="W193" t="e">
            <v>#REF!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>
            <v>0</v>
          </cell>
          <cell r="W194" t="e">
            <v>#REF!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>
            <v>0</v>
          </cell>
          <cell r="W195" t="e">
            <v>#REF!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>
            <v>0</v>
          </cell>
          <cell r="W196" t="e">
            <v>#REF!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>
            <v>0</v>
          </cell>
          <cell r="W197" t="e">
            <v>#REF!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>
            <v>0</v>
          </cell>
          <cell r="W198" t="e">
            <v>#REF!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>
            <v>0</v>
          </cell>
          <cell r="W199" t="e">
            <v>#REF!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>
            <v>0</v>
          </cell>
          <cell r="W200" t="e">
            <v>#REF!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>
            <v>0</v>
          </cell>
          <cell r="W201" t="e">
            <v>#REF!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>
            <v>0</v>
          </cell>
          <cell r="W202" t="e">
            <v>#REF!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>
            <v>0</v>
          </cell>
          <cell r="W203" t="e">
            <v>#REF!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>
            <v>0</v>
          </cell>
          <cell r="W204" t="e">
            <v>#REF!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>
            <v>0</v>
          </cell>
          <cell r="W205" t="e">
            <v>#REF!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>
            <v>0</v>
          </cell>
          <cell r="W206" t="e">
            <v>#REF!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>
            <v>0</v>
          </cell>
          <cell r="W207" t="e">
            <v>#REF!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>
            <v>0</v>
          </cell>
          <cell r="W208" t="e">
            <v>#REF!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>
            <v>0</v>
          </cell>
          <cell r="W209" t="e">
            <v>#REF!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>
            <v>0</v>
          </cell>
          <cell r="W210" t="e">
            <v>#REF!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>
            <v>0</v>
          </cell>
          <cell r="W211" t="e">
            <v>#REF!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>
            <v>0</v>
          </cell>
          <cell r="W212" t="e">
            <v>#REF!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>
            <v>0</v>
          </cell>
          <cell r="W213" t="e">
            <v>#REF!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>
            <v>0</v>
          </cell>
          <cell r="W214" t="e">
            <v>#REF!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>
            <v>0</v>
          </cell>
          <cell r="W215" t="e">
            <v>#REF!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>
            <v>0</v>
          </cell>
          <cell r="W216" t="e">
            <v>#REF!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>
            <v>0</v>
          </cell>
          <cell r="W217" t="e">
            <v>#REF!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>
            <v>0</v>
          </cell>
          <cell r="W218" t="e">
            <v>#REF!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>
            <v>0</v>
          </cell>
          <cell r="W219" t="e">
            <v>#REF!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>
            <v>0</v>
          </cell>
          <cell r="W220" t="e">
            <v>#REF!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>
            <v>0</v>
          </cell>
          <cell r="W221" t="e">
            <v>#REF!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>
            <v>0</v>
          </cell>
          <cell r="W222" t="e">
            <v>#REF!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>
            <v>0</v>
          </cell>
          <cell r="W223" t="e">
            <v>#REF!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>
            <v>0</v>
          </cell>
          <cell r="W224" t="e">
            <v>#REF!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>
            <v>0</v>
          </cell>
          <cell r="W225" t="e">
            <v>#REF!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>
            <v>0</v>
          </cell>
          <cell r="W226" t="e">
            <v>#REF!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>
            <v>0</v>
          </cell>
          <cell r="W227" t="e">
            <v>#REF!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>
            <v>0</v>
          </cell>
          <cell r="W228" t="e">
            <v>#REF!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>
            <v>0</v>
          </cell>
          <cell r="W229" t="e">
            <v>#REF!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>
            <v>0</v>
          </cell>
          <cell r="W230" t="e">
            <v>#REF!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>
            <v>0</v>
          </cell>
          <cell r="W231" t="e">
            <v>#REF!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>
            <v>0</v>
          </cell>
          <cell r="W232" t="e">
            <v>#REF!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>
            <v>0</v>
          </cell>
          <cell r="W233" t="e">
            <v>#REF!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>
            <v>0</v>
          </cell>
          <cell r="W234" t="e">
            <v>#REF!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>
            <v>0</v>
          </cell>
          <cell r="W235" t="e">
            <v>#REF!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>
            <v>0</v>
          </cell>
          <cell r="W236" t="e">
            <v>#REF!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>
            <v>0</v>
          </cell>
          <cell r="W237" t="e">
            <v>#REF!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>
            <v>0</v>
          </cell>
          <cell r="W238" t="e">
            <v>#REF!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>
            <v>0</v>
          </cell>
          <cell r="W239" t="e">
            <v>#REF!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>
            <v>0</v>
          </cell>
          <cell r="W240" t="e">
            <v>#REF!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>
            <v>0</v>
          </cell>
          <cell r="W241" t="e">
            <v>#REF!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>
            <v>0</v>
          </cell>
          <cell r="W242" t="e">
            <v>#REF!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>
            <v>0</v>
          </cell>
          <cell r="W243" t="e">
            <v>#REF!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>
            <v>0</v>
          </cell>
          <cell r="W244" t="e">
            <v>#REF!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>
            <v>0</v>
          </cell>
          <cell r="W245" t="e">
            <v>#REF!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>
            <v>0</v>
          </cell>
          <cell r="W246" t="e">
            <v>#REF!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>
            <v>0</v>
          </cell>
          <cell r="W247" t="e">
            <v>#REF!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>
            <v>0</v>
          </cell>
          <cell r="W248" t="e">
            <v>#REF!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>
            <v>0</v>
          </cell>
          <cell r="W249" t="e">
            <v>#REF!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>
            <v>0</v>
          </cell>
          <cell r="W250" t="e">
            <v>#REF!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>
            <v>0</v>
          </cell>
          <cell r="W251" t="e">
            <v>#REF!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>
            <v>0</v>
          </cell>
          <cell r="W252" t="e">
            <v>#REF!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>
            <v>0</v>
          </cell>
          <cell r="W253" t="e">
            <v>#REF!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>
            <v>0</v>
          </cell>
          <cell r="W254" t="e">
            <v>#REF!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>
            <v>0</v>
          </cell>
          <cell r="W255" t="e">
            <v>#REF!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>
            <v>0</v>
          </cell>
          <cell r="W256" t="e">
            <v>#REF!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>
            <v>0</v>
          </cell>
          <cell r="W257" t="e">
            <v>#REF!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>
            <v>0</v>
          </cell>
          <cell r="W258" t="e">
            <v>#REF!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>
            <v>0</v>
          </cell>
          <cell r="W259" t="e">
            <v>#REF!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>
            <v>0</v>
          </cell>
          <cell r="W260" t="e">
            <v>#REF!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>
            <v>0</v>
          </cell>
          <cell r="W261" t="e">
            <v>#REF!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>
            <v>0</v>
          </cell>
          <cell r="W262" t="e">
            <v>#REF!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>
            <v>0</v>
          </cell>
          <cell r="W263" t="e">
            <v>#REF!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>
            <v>0</v>
          </cell>
          <cell r="W264" t="e">
            <v>#REF!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>
            <v>0</v>
          </cell>
          <cell r="W265" t="e">
            <v>#REF!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>
            <v>0</v>
          </cell>
          <cell r="W266" t="e">
            <v>#REF!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>
            <v>0</v>
          </cell>
          <cell r="W267" t="e">
            <v>#REF!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>
            <v>0</v>
          </cell>
          <cell r="W268" t="e">
            <v>#REF!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>
            <v>0</v>
          </cell>
          <cell r="W269" t="e">
            <v>#REF!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>
            <v>0</v>
          </cell>
          <cell r="W270" t="e">
            <v>#REF!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>
            <v>0</v>
          </cell>
          <cell r="W271" t="e">
            <v>#REF!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>
            <v>0</v>
          </cell>
          <cell r="W272" t="e">
            <v>#REF!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>
            <v>0</v>
          </cell>
          <cell r="W273" t="e">
            <v>#REF!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>
            <v>0</v>
          </cell>
          <cell r="W274" t="e">
            <v>#REF!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>
            <v>0</v>
          </cell>
          <cell r="W275" t="e">
            <v>#REF!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>
            <v>0</v>
          </cell>
          <cell r="W276" t="e">
            <v>#REF!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>
            <v>0</v>
          </cell>
          <cell r="W277" t="e">
            <v>#REF!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>
            <v>0</v>
          </cell>
          <cell r="W278" t="e">
            <v>#REF!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>
            <v>0</v>
          </cell>
          <cell r="W279" t="e">
            <v>#REF!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>
            <v>0</v>
          </cell>
          <cell r="W280" t="e">
            <v>#REF!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>
            <v>0</v>
          </cell>
          <cell r="W281" t="e">
            <v>#REF!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>
            <v>0</v>
          </cell>
          <cell r="W282" t="e">
            <v>#REF!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>
            <v>0</v>
          </cell>
          <cell r="W283" t="e">
            <v>#REF!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>
            <v>0</v>
          </cell>
          <cell r="W284" t="e">
            <v>#REF!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>
            <v>0</v>
          </cell>
          <cell r="W285" t="e">
            <v>#REF!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>
            <v>0</v>
          </cell>
          <cell r="W286" t="e">
            <v>#REF!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>
            <v>0</v>
          </cell>
          <cell r="W287" t="e">
            <v>#REF!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>
            <v>0</v>
          </cell>
          <cell r="W288" t="e">
            <v>#REF!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>
            <v>0</v>
          </cell>
          <cell r="W289" t="e">
            <v>#REF!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>
            <v>0</v>
          </cell>
          <cell r="W290" t="e">
            <v>#REF!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>
            <v>0</v>
          </cell>
          <cell r="W291" t="e">
            <v>#REF!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>
            <v>0</v>
          </cell>
          <cell r="W292" t="e">
            <v>#REF!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>
            <v>0</v>
          </cell>
          <cell r="W293" t="e">
            <v>#REF!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>
            <v>0</v>
          </cell>
          <cell r="W294" t="e">
            <v>#REF!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>
            <v>0</v>
          </cell>
          <cell r="W295" t="e">
            <v>#REF!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>
            <v>0</v>
          </cell>
          <cell r="W296" t="e">
            <v>#REF!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>
            <v>0</v>
          </cell>
          <cell r="W297" t="e">
            <v>#REF!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>
            <v>0</v>
          </cell>
          <cell r="W298" t="e">
            <v>#REF!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>
            <v>0</v>
          </cell>
          <cell r="W299" t="e">
            <v>#REF!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>
            <v>0</v>
          </cell>
          <cell r="W300" t="e">
            <v>#REF!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>
            <v>0</v>
          </cell>
          <cell r="W301" t="e">
            <v>#REF!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>
            <v>0</v>
          </cell>
          <cell r="W302" t="e">
            <v>#REF!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>
            <v>0</v>
          </cell>
          <cell r="W303" t="e">
            <v>#REF!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>
            <v>0</v>
          </cell>
          <cell r="W304" t="e">
            <v>#REF!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>
            <v>0</v>
          </cell>
          <cell r="W305" t="e">
            <v>#REF!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>
            <v>0</v>
          </cell>
          <cell r="W306" t="e">
            <v>#REF!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>
            <v>0</v>
          </cell>
          <cell r="W307" t="e">
            <v>#REF!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>
            <v>0</v>
          </cell>
          <cell r="W308" t="e">
            <v>#REF!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>
            <v>0</v>
          </cell>
          <cell r="W309" t="e">
            <v>#REF!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>
            <v>0</v>
          </cell>
          <cell r="W310" t="e">
            <v>#REF!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>
            <v>0</v>
          </cell>
          <cell r="W311" t="e">
            <v>#REF!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>
            <v>0</v>
          </cell>
          <cell r="W312" t="e">
            <v>#REF!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>
            <v>0</v>
          </cell>
          <cell r="W313" t="e">
            <v>#REF!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>
            <v>0</v>
          </cell>
          <cell r="W314" t="e">
            <v>#REF!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>
            <v>0</v>
          </cell>
          <cell r="W315" t="e">
            <v>#REF!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>
            <v>0</v>
          </cell>
          <cell r="W316" t="e">
            <v>#REF!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>
            <v>0</v>
          </cell>
          <cell r="W317" t="e">
            <v>#REF!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>
            <v>0</v>
          </cell>
          <cell r="W318" t="e">
            <v>#REF!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>
            <v>0</v>
          </cell>
          <cell r="W319" t="e">
            <v>#REF!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>
            <v>0</v>
          </cell>
          <cell r="W320" t="e">
            <v>#REF!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>
            <v>0</v>
          </cell>
          <cell r="W321" t="e">
            <v>#REF!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>
            <v>0</v>
          </cell>
          <cell r="W322" t="e">
            <v>#REF!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>
            <v>0</v>
          </cell>
          <cell r="W323" t="e">
            <v>#REF!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>
            <v>0</v>
          </cell>
          <cell r="W324" t="e">
            <v>#REF!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>
            <v>0</v>
          </cell>
          <cell r="W325" t="e">
            <v>#REF!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>
            <v>0</v>
          </cell>
          <cell r="W326" t="e">
            <v>#REF!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>
            <v>0</v>
          </cell>
          <cell r="W327" t="e">
            <v>#REF!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>
            <v>0</v>
          </cell>
          <cell r="W328" t="e">
            <v>#REF!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>
            <v>0</v>
          </cell>
          <cell r="W329" t="e">
            <v>#REF!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>
            <v>0</v>
          </cell>
          <cell r="W330" t="e">
            <v>#REF!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>
            <v>0</v>
          </cell>
          <cell r="W331" t="e">
            <v>#REF!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>
            <v>0</v>
          </cell>
          <cell r="W332" t="e">
            <v>#REF!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>
            <v>0</v>
          </cell>
          <cell r="W333" t="e">
            <v>#REF!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>
            <v>0</v>
          </cell>
          <cell r="W334" t="e">
            <v>#REF!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>
            <v>0</v>
          </cell>
          <cell r="W335" t="e">
            <v>#REF!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>
            <v>0</v>
          </cell>
          <cell r="W336" t="e">
            <v>#REF!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>
            <v>0</v>
          </cell>
          <cell r="W337" t="e">
            <v>#REF!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>
            <v>0</v>
          </cell>
          <cell r="W338" t="e">
            <v>#REF!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>
            <v>0</v>
          </cell>
          <cell r="W339" t="e">
            <v>#REF!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>
            <v>0</v>
          </cell>
          <cell r="W340" t="e">
            <v>#REF!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>
            <v>0</v>
          </cell>
          <cell r="W341" t="e">
            <v>#REF!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>
            <v>0</v>
          </cell>
          <cell r="W342" t="e">
            <v>#REF!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>
            <v>0</v>
          </cell>
          <cell r="W343" t="e">
            <v>#REF!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>
            <v>0</v>
          </cell>
          <cell r="W344" t="e">
            <v>#REF!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>
            <v>0</v>
          </cell>
          <cell r="W345" t="e">
            <v>#REF!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>
            <v>0</v>
          </cell>
          <cell r="W346" t="e">
            <v>#REF!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>
            <v>0</v>
          </cell>
          <cell r="W347" t="e">
            <v>#REF!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>
            <v>0</v>
          </cell>
          <cell r="W348" t="e">
            <v>#REF!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>
            <v>0</v>
          </cell>
          <cell r="W349" t="e">
            <v>#REF!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>
            <v>0</v>
          </cell>
          <cell r="W350" t="e">
            <v>#REF!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>
            <v>0</v>
          </cell>
          <cell r="W351" t="e">
            <v>#REF!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>
            <v>0</v>
          </cell>
          <cell r="W352" t="e">
            <v>#REF!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>
            <v>0</v>
          </cell>
          <cell r="W353" t="e">
            <v>#REF!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>
            <v>0</v>
          </cell>
          <cell r="W354" t="e">
            <v>#REF!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>
            <v>0</v>
          </cell>
          <cell r="W355" t="e">
            <v>#REF!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>
            <v>0</v>
          </cell>
          <cell r="W356" t="e">
            <v>#REF!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>
            <v>0</v>
          </cell>
          <cell r="W357" t="e">
            <v>#REF!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>
            <v>0</v>
          </cell>
          <cell r="W358" t="e">
            <v>#REF!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>
            <v>0</v>
          </cell>
          <cell r="W359" t="e">
            <v>#REF!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>
            <v>0</v>
          </cell>
          <cell r="W360" t="e">
            <v>#REF!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>
            <v>0</v>
          </cell>
          <cell r="W361" t="e">
            <v>#REF!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>
            <v>0</v>
          </cell>
          <cell r="W362" t="e">
            <v>#REF!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>
            <v>0</v>
          </cell>
          <cell r="W363" t="e">
            <v>#REF!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>
            <v>0</v>
          </cell>
          <cell r="W364" t="e">
            <v>#REF!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>
            <v>0</v>
          </cell>
          <cell r="W365" t="e">
            <v>#REF!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>
            <v>0</v>
          </cell>
          <cell r="W366" t="e">
            <v>#REF!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>
            <v>0</v>
          </cell>
          <cell r="W367" t="e">
            <v>#REF!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>
            <v>0</v>
          </cell>
          <cell r="W368" t="e">
            <v>#REF!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>
            <v>0</v>
          </cell>
          <cell r="W369" t="e">
            <v>#REF!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>
            <v>0</v>
          </cell>
          <cell r="W370" t="e">
            <v>#REF!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>
            <v>0</v>
          </cell>
          <cell r="W371" t="e">
            <v>#REF!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>
            <v>0</v>
          </cell>
          <cell r="W372" t="e">
            <v>#REF!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>
            <v>0</v>
          </cell>
          <cell r="W373" t="e">
            <v>#REF!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>
            <v>0</v>
          </cell>
          <cell r="W374" t="e">
            <v>#REF!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>
            <v>0</v>
          </cell>
          <cell r="W375" t="e">
            <v>#REF!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>
            <v>0</v>
          </cell>
          <cell r="W376" t="e">
            <v>#REF!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>
            <v>0</v>
          </cell>
          <cell r="W377" t="e">
            <v>#REF!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>
            <v>0</v>
          </cell>
          <cell r="W378" t="e">
            <v>#REF!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>
            <v>0</v>
          </cell>
          <cell r="W379" t="e">
            <v>#REF!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>
            <v>0</v>
          </cell>
          <cell r="W380" t="e">
            <v>#REF!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>
            <v>0</v>
          </cell>
          <cell r="W381" t="e">
            <v>#REF!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>
            <v>0</v>
          </cell>
          <cell r="W382" t="e">
            <v>#REF!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>
            <v>0</v>
          </cell>
          <cell r="W383" t="e">
            <v>#REF!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>
            <v>0</v>
          </cell>
          <cell r="W384" t="e">
            <v>#REF!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>
            <v>0</v>
          </cell>
          <cell r="W385" t="e">
            <v>#REF!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>
            <v>0</v>
          </cell>
          <cell r="W386" t="e">
            <v>#REF!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>
            <v>0</v>
          </cell>
          <cell r="W387" t="e">
            <v>#REF!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>
            <v>0</v>
          </cell>
          <cell r="W388" t="e">
            <v>#REF!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>
            <v>0</v>
          </cell>
          <cell r="W389" t="e">
            <v>#REF!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>
            <v>0</v>
          </cell>
          <cell r="W390" t="e">
            <v>#REF!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>
            <v>0</v>
          </cell>
          <cell r="W391" t="e">
            <v>#REF!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>
            <v>0</v>
          </cell>
          <cell r="W392" t="e">
            <v>#REF!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>
            <v>0</v>
          </cell>
          <cell r="W393" t="e">
            <v>#REF!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>
            <v>0</v>
          </cell>
          <cell r="W394" t="e">
            <v>#REF!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>
            <v>0</v>
          </cell>
          <cell r="W395" t="e">
            <v>#REF!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>
            <v>0</v>
          </cell>
          <cell r="W396" t="e">
            <v>#REF!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>
            <v>0</v>
          </cell>
          <cell r="W397" t="e">
            <v>#REF!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>
            <v>0</v>
          </cell>
          <cell r="W398" t="e">
            <v>#REF!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>
            <v>0</v>
          </cell>
          <cell r="W399" t="e">
            <v>#REF!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>
            <v>0</v>
          </cell>
          <cell r="W400" t="e">
            <v>#REF!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>
            <v>0</v>
          </cell>
          <cell r="W401" t="e">
            <v>#REF!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>
            <v>0</v>
          </cell>
          <cell r="W402" t="e">
            <v>#REF!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>
            <v>0</v>
          </cell>
          <cell r="W403" t="e">
            <v>#REF!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>
            <v>0</v>
          </cell>
          <cell r="W404" t="e">
            <v>#REF!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>
            <v>0</v>
          </cell>
          <cell r="W405" t="e">
            <v>#REF!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>
            <v>0</v>
          </cell>
          <cell r="W406" t="e">
            <v>#REF!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>
            <v>0</v>
          </cell>
          <cell r="W407" t="e">
            <v>#REF!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>
            <v>0</v>
          </cell>
          <cell r="W408" t="e">
            <v>#REF!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>
            <v>0</v>
          </cell>
          <cell r="W409" t="e">
            <v>#REF!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>
            <v>0</v>
          </cell>
          <cell r="W410" t="e">
            <v>#REF!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>
            <v>0</v>
          </cell>
          <cell r="W411" t="e">
            <v>#REF!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>
            <v>0</v>
          </cell>
          <cell r="W412" t="e">
            <v>#REF!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>
            <v>0</v>
          </cell>
          <cell r="W413" t="e">
            <v>#REF!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>
            <v>0</v>
          </cell>
          <cell r="W414" t="e">
            <v>#REF!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>
            <v>0</v>
          </cell>
          <cell r="W415" t="e">
            <v>#REF!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>
            <v>0</v>
          </cell>
          <cell r="W416" t="e">
            <v>#REF!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>
            <v>0</v>
          </cell>
          <cell r="W417" t="e">
            <v>#REF!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>
            <v>0</v>
          </cell>
          <cell r="W418" t="e">
            <v>#REF!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>
            <v>0</v>
          </cell>
          <cell r="W419" t="e">
            <v>#REF!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>
            <v>0</v>
          </cell>
          <cell r="W420" t="e">
            <v>#REF!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>
            <v>0</v>
          </cell>
          <cell r="W421" t="e">
            <v>#REF!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>
            <v>0</v>
          </cell>
          <cell r="W422" t="e">
            <v>#REF!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>
            <v>0</v>
          </cell>
          <cell r="W423" t="e">
            <v>#REF!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>
            <v>0</v>
          </cell>
          <cell r="W424" t="e">
            <v>#REF!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>
            <v>0</v>
          </cell>
          <cell r="W425" t="e">
            <v>#REF!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>
            <v>0</v>
          </cell>
          <cell r="W426" t="e">
            <v>#REF!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>
            <v>0</v>
          </cell>
          <cell r="W427" t="e">
            <v>#REF!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>
            <v>0</v>
          </cell>
          <cell r="W428" t="e">
            <v>#REF!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>
            <v>0</v>
          </cell>
          <cell r="W429" t="e">
            <v>#REF!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>
            <v>0</v>
          </cell>
          <cell r="W430" t="e">
            <v>#REF!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>
            <v>0</v>
          </cell>
          <cell r="W431" t="e">
            <v>#REF!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>
            <v>0</v>
          </cell>
          <cell r="W432" t="e">
            <v>#REF!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>
            <v>0</v>
          </cell>
          <cell r="W433" t="e">
            <v>#REF!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>
            <v>0</v>
          </cell>
          <cell r="W434" t="e">
            <v>#REF!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>
            <v>0</v>
          </cell>
          <cell r="W435" t="e">
            <v>#REF!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>
            <v>0</v>
          </cell>
          <cell r="W436" t="e">
            <v>#REF!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>
            <v>0</v>
          </cell>
          <cell r="W437" t="e">
            <v>#REF!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>
            <v>0</v>
          </cell>
          <cell r="W438" t="e">
            <v>#REF!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>
            <v>0</v>
          </cell>
          <cell r="W439" t="e">
            <v>#REF!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>
            <v>0</v>
          </cell>
          <cell r="W440" t="e">
            <v>#REF!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>
            <v>0</v>
          </cell>
          <cell r="W441" t="e">
            <v>#REF!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>
            <v>0</v>
          </cell>
          <cell r="W442" t="e">
            <v>#REF!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>
            <v>0</v>
          </cell>
          <cell r="W443" t="e">
            <v>#REF!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>
            <v>0</v>
          </cell>
          <cell r="W444" t="e">
            <v>#REF!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>
            <v>0</v>
          </cell>
          <cell r="W445" t="e">
            <v>#REF!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>
            <v>0</v>
          </cell>
          <cell r="W446" t="e">
            <v>#REF!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>
            <v>0</v>
          </cell>
          <cell r="W447" t="e">
            <v>#REF!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>
            <v>0</v>
          </cell>
          <cell r="W448" t="e">
            <v>#REF!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>
            <v>0</v>
          </cell>
          <cell r="W449" t="e">
            <v>#REF!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>
            <v>0</v>
          </cell>
          <cell r="W450" t="e">
            <v>#REF!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>
            <v>0</v>
          </cell>
          <cell r="W451" t="e">
            <v>#REF!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>
            <v>0</v>
          </cell>
          <cell r="W452" t="e">
            <v>#REF!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>
            <v>0</v>
          </cell>
          <cell r="W453" t="e">
            <v>#REF!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>
            <v>0</v>
          </cell>
          <cell r="W454" t="e">
            <v>#REF!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>
            <v>0</v>
          </cell>
          <cell r="W455" t="e">
            <v>#REF!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>
            <v>0</v>
          </cell>
          <cell r="W456" t="e">
            <v>#REF!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>
            <v>0</v>
          </cell>
          <cell r="W457" t="e">
            <v>#REF!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>
            <v>0</v>
          </cell>
          <cell r="W458" t="e">
            <v>#REF!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>
            <v>0</v>
          </cell>
          <cell r="W459" t="e">
            <v>#REF!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>
            <v>0</v>
          </cell>
          <cell r="W460" t="e">
            <v>#REF!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>
            <v>0</v>
          </cell>
          <cell r="W461" t="e">
            <v>#REF!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>
            <v>0</v>
          </cell>
          <cell r="W462" t="e">
            <v>#REF!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>
            <v>0</v>
          </cell>
          <cell r="W463" t="e">
            <v>#REF!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>
            <v>0</v>
          </cell>
          <cell r="W464" t="e">
            <v>#REF!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>
            <v>0</v>
          </cell>
          <cell r="W465" t="e">
            <v>#REF!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>
            <v>0</v>
          </cell>
          <cell r="W466" t="e">
            <v>#REF!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>
            <v>0</v>
          </cell>
          <cell r="W467" t="e">
            <v>#REF!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>
            <v>0</v>
          </cell>
          <cell r="W468" t="e">
            <v>#REF!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>
            <v>0</v>
          </cell>
          <cell r="W469" t="e">
            <v>#REF!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>
            <v>0</v>
          </cell>
          <cell r="W470" t="e">
            <v>#REF!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>
            <v>0</v>
          </cell>
          <cell r="W471" t="e">
            <v>#REF!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>
            <v>0</v>
          </cell>
          <cell r="W472" t="e">
            <v>#REF!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>
            <v>0</v>
          </cell>
          <cell r="W473" t="e">
            <v>#REF!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>
            <v>0</v>
          </cell>
          <cell r="W474" t="e">
            <v>#REF!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>
            <v>0</v>
          </cell>
          <cell r="W475" t="e">
            <v>#REF!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>
            <v>0</v>
          </cell>
          <cell r="W476" t="e">
            <v>#REF!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>
            <v>0</v>
          </cell>
          <cell r="W477" t="e">
            <v>#REF!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>
            <v>0</v>
          </cell>
          <cell r="W478" t="e">
            <v>#REF!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>
            <v>0</v>
          </cell>
          <cell r="W479" t="e">
            <v>#REF!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>
            <v>0</v>
          </cell>
          <cell r="W480" t="e">
            <v>#REF!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>
            <v>0</v>
          </cell>
          <cell r="W481" t="e">
            <v>#REF!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>
            <v>0</v>
          </cell>
          <cell r="W482" t="e">
            <v>#REF!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>
            <v>0</v>
          </cell>
          <cell r="W483" t="e">
            <v>#REF!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>
            <v>0</v>
          </cell>
          <cell r="W484" t="e">
            <v>#REF!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>
            <v>0</v>
          </cell>
          <cell r="W485" t="e">
            <v>#REF!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>
            <v>0</v>
          </cell>
          <cell r="W486" t="e">
            <v>#REF!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>
            <v>0</v>
          </cell>
          <cell r="W487" t="e">
            <v>#REF!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>
            <v>0</v>
          </cell>
          <cell r="W488" t="e">
            <v>#REF!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>
            <v>0</v>
          </cell>
          <cell r="W489" t="e">
            <v>#REF!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>
            <v>0</v>
          </cell>
          <cell r="W490" t="e">
            <v>#REF!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>
            <v>0</v>
          </cell>
          <cell r="W491" t="e">
            <v>#REF!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>
            <v>0</v>
          </cell>
          <cell r="W492" t="e">
            <v>#REF!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>
            <v>0</v>
          </cell>
          <cell r="W493" t="e">
            <v>#REF!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>
            <v>0</v>
          </cell>
          <cell r="W494" t="e">
            <v>#REF!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>
            <v>0</v>
          </cell>
          <cell r="W495" t="e">
            <v>#REF!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>
            <v>0</v>
          </cell>
          <cell r="W496" t="e">
            <v>#REF!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>
            <v>0</v>
          </cell>
          <cell r="W497" t="e">
            <v>#REF!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>
            <v>0</v>
          </cell>
          <cell r="W498" t="e">
            <v>#REF!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>
            <v>0</v>
          </cell>
          <cell r="W499" t="e">
            <v>#REF!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>
            <v>0</v>
          </cell>
          <cell r="W500" t="e">
            <v>#REF!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>
            <v>0</v>
          </cell>
          <cell r="W501" t="e">
            <v>#REF!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>
            <v>0</v>
          </cell>
          <cell r="W502" t="e">
            <v>#REF!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>
            <v>0</v>
          </cell>
          <cell r="W503" t="e">
            <v>#REF!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>
            <v>0</v>
          </cell>
          <cell r="W504" t="e">
            <v>#REF!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>
            <v>0</v>
          </cell>
          <cell r="W505" t="e">
            <v>#REF!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>
            <v>0</v>
          </cell>
          <cell r="W506" t="e">
            <v>#REF!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>
            <v>0</v>
          </cell>
          <cell r="W507" t="e">
            <v>#REF!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>
            <v>0</v>
          </cell>
          <cell r="W508" t="e">
            <v>#REF!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>
            <v>0</v>
          </cell>
          <cell r="W509" t="e">
            <v>#REF!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>
            <v>0</v>
          </cell>
          <cell r="W510" t="e">
            <v>#REF!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>
            <v>0</v>
          </cell>
          <cell r="W511" t="e">
            <v>#REF!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>
            <v>0</v>
          </cell>
          <cell r="W512" t="e">
            <v>#REF!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>
            <v>0</v>
          </cell>
          <cell r="W513" t="e">
            <v>#REF!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>
            <v>0</v>
          </cell>
          <cell r="W514" t="e">
            <v>#REF!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>
            <v>0</v>
          </cell>
          <cell r="W515" t="e">
            <v>#REF!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>
            <v>0</v>
          </cell>
          <cell r="W516" t="e">
            <v>#REF!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>
            <v>0</v>
          </cell>
          <cell r="W517" t="e">
            <v>#REF!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>
            <v>0</v>
          </cell>
          <cell r="W518" t="e">
            <v>#REF!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>
            <v>0</v>
          </cell>
          <cell r="W519" t="e">
            <v>#REF!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>
            <v>0</v>
          </cell>
          <cell r="W520" t="e">
            <v>#REF!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>
            <v>0</v>
          </cell>
          <cell r="W521" t="e">
            <v>#REF!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>
            <v>0</v>
          </cell>
          <cell r="W522" t="e">
            <v>#REF!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>
            <v>0</v>
          </cell>
          <cell r="W523" t="e">
            <v>#REF!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>
            <v>0</v>
          </cell>
          <cell r="W524" t="e">
            <v>#REF!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>
            <v>0</v>
          </cell>
          <cell r="W525" t="e">
            <v>#REF!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>
            <v>0</v>
          </cell>
          <cell r="W526" t="e">
            <v>#REF!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>
            <v>0</v>
          </cell>
          <cell r="W527" t="e">
            <v>#REF!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>
            <v>0</v>
          </cell>
          <cell r="W528" t="e">
            <v>#REF!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>
            <v>0</v>
          </cell>
          <cell r="W529" t="e">
            <v>#REF!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>
            <v>0</v>
          </cell>
          <cell r="W530" t="e">
            <v>#REF!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>
            <v>0</v>
          </cell>
          <cell r="W531" t="e">
            <v>#REF!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>
            <v>0</v>
          </cell>
          <cell r="W532" t="e">
            <v>#REF!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>
            <v>0</v>
          </cell>
          <cell r="W533" t="e">
            <v>#REF!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>
            <v>0</v>
          </cell>
          <cell r="W534" t="e">
            <v>#REF!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>
            <v>0</v>
          </cell>
          <cell r="W535" t="e">
            <v>#REF!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>
            <v>0</v>
          </cell>
          <cell r="W536" t="e">
            <v>#REF!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>
            <v>0</v>
          </cell>
          <cell r="W537" t="e">
            <v>#REF!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>
            <v>0</v>
          </cell>
          <cell r="W538" t="e">
            <v>#REF!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>
            <v>0</v>
          </cell>
          <cell r="W539" t="e">
            <v>#REF!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>
            <v>0</v>
          </cell>
          <cell r="W540" t="e">
            <v>#REF!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>
            <v>0</v>
          </cell>
          <cell r="W541" t="e">
            <v>#REF!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>
            <v>0</v>
          </cell>
          <cell r="W542" t="e">
            <v>#REF!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>
            <v>0</v>
          </cell>
          <cell r="W543" t="e">
            <v>#REF!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>
            <v>0</v>
          </cell>
          <cell r="W544" t="e">
            <v>#REF!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>
            <v>0</v>
          </cell>
          <cell r="W545" t="e">
            <v>#REF!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>
            <v>0</v>
          </cell>
          <cell r="W546" t="e">
            <v>#REF!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>
            <v>0</v>
          </cell>
          <cell r="W547" t="e">
            <v>#REF!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>
            <v>0</v>
          </cell>
          <cell r="W548" t="e">
            <v>#REF!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>
            <v>0</v>
          </cell>
          <cell r="W549" t="e">
            <v>#REF!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>
            <v>0</v>
          </cell>
          <cell r="W550" t="e">
            <v>#REF!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>
            <v>0</v>
          </cell>
          <cell r="W551" t="e">
            <v>#REF!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>
            <v>0</v>
          </cell>
          <cell r="W552" t="e">
            <v>#REF!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>
            <v>0</v>
          </cell>
          <cell r="W553" t="e">
            <v>#REF!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>
            <v>0</v>
          </cell>
          <cell r="W554" t="e">
            <v>#REF!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>
            <v>0</v>
          </cell>
          <cell r="W555" t="e">
            <v>#REF!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>
            <v>0</v>
          </cell>
          <cell r="W556" t="e">
            <v>#REF!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>
            <v>0</v>
          </cell>
          <cell r="W557" t="e">
            <v>#REF!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>
            <v>0</v>
          </cell>
          <cell r="W558" t="e">
            <v>#REF!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>
            <v>0</v>
          </cell>
          <cell r="W559" t="e">
            <v>#REF!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>
            <v>0</v>
          </cell>
          <cell r="W560" t="e">
            <v>#REF!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>
            <v>0</v>
          </cell>
          <cell r="W561" t="e">
            <v>#REF!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>
            <v>0</v>
          </cell>
          <cell r="W562" t="e">
            <v>#REF!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>
            <v>0</v>
          </cell>
          <cell r="W563" t="e">
            <v>#REF!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>
            <v>0</v>
          </cell>
          <cell r="W564" t="e">
            <v>#REF!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>
            <v>0</v>
          </cell>
          <cell r="W565" t="e">
            <v>#REF!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>
            <v>0</v>
          </cell>
          <cell r="W566" t="e">
            <v>#REF!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>
            <v>0</v>
          </cell>
          <cell r="W567" t="e">
            <v>#REF!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>
            <v>0</v>
          </cell>
          <cell r="W568" t="e">
            <v>#REF!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>
            <v>0</v>
          </cell>
          <cell r="W569" t="e">
            <v>#REF!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>
            <v>0</v>
          </cell>
          <cell r="W570" t="e">
            <v>#REF!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>
            <v>0</v>
          </cell>
          <cell r="W571" t="e">
            <v>#REF!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>
            <v>0</v>
          </cell>
          <cell r="W572" t="e">
            <v>#REF!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>
            <v>0</v>
          </cell>
          <cell r="W573" t="e">
            <v>#REF!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>
            <v>0</v>
          </cell>
          <cell r="W574" t="e">
            <v>#REF!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>
            <v>0</v>
          </cell>
          <cell r="W575" t="e">
            <v>#REF!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>
            <v>0</v>
          </cell>
          <cell r="W576" t="e">
            <v>#REF!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>
            <v>0</v>
          </cell>
          <cell r="W577" t="e">
            <v>#REF!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>
            <v>0</v>
          </cell>
          <cell r="W578" t="e">
            <v>#REF!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>
            <v>0</v>
          </cell>
          <cell r="W579" t="e">
            <v>#REF!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>
            <v>0</v>
          </cell>
          <cell r="W580" t="e">
            <v>#REF!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>
            <v>0</v>
          </cell>
          <cell r="W581" t="e">
            <v>#REF!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>
            <v>0</v>
          </cell>
          <cell r="W582" t="e">
            <v>#REF!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>
            <v>0</v>
          </cell>
          <cell r="W583" t="e">
            <v>#REF!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>
            <v>0</v>
          </cell>
          <cell r="W584" t="e">
            <v>#REF!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>
            <v>0</v>
          </cell>
          <cell r="W585" t="e">
            <v>#REF!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>
            <v>0</v>
          </cell>
          <cell r="W586" t="e">
            <v>#REF!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>
            <v>0</v>
          </cell>
          <cell r="W587" t="e">
            <v>#REF!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>
            <v>0</v>
          </cell>
          <cell r="W588" t="e">
            <v>#REF!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>
            <v>0</v>
          </cell>
          <cell r="W589" t="e">
            <v>#REF!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>
            <v>0</v>
          </cell>
          <cell r="W590" t="e">
            <v>#REF!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>
            <v>0</v>
          </cell>
          <cell r="W591" t="e">
            <v>#REF!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>
            <v>0</v>
          </cell>
          <cell r="W592" t="e">
            <v>#REF!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>
            <v>0</v>
          </cell>
          <cell r="W593" t="e">
            <v>#REF!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>
            <v>0</v>
          </cell>
          <cell r="W594" t="e">
            <v>#REF!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>
            <v>0</v>
          </cell>
          <cell r="W595" t="e">
            <v>#REF!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>
            <v>0</v>
          </cell>
          <cell r="W596" t="e">
            <v>#REF!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>
            <v>0</v>
          </cell>
          <cell r="W597" t="e">
            <v>#REF!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>
            <v>0</v>
          </cell>
          <cell r="W598" t="e">
            <v>#REF!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>
            <v>0</v>
          </cell>
          <cell r="W599" t="e">
            <v>#REF!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>
            <v>0</v>
          </cell>
          <cell r="W600" t="e">
            <v>#REF!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>
            <v>0</v>
          </cell>
          <cell r="W601" t="e">
            <v>#REF!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>
            <v>0</v>
          </cell>
          <cell r="W602" t="e">
            <v>#REF!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>
            <v>0</v>
          </cell>
          <cell r="W603" t="e">
            <v>#REF!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>
            <v>0</v>
          </cell>
          <cell r="W604" t="e">
            <v>#REF!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>
            <v>0</v>
          </cell>
          <cell r="W605" t="e">
            <v>#REF!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>
            <v>0.247256</v>
          </cell>
          <cell r="W606" t="e">
            <v>#REF!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>
            <v>0</v>
          </cell>
          <cell r="W607" t="e">
            <v>#REF!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>
            <v>0</v>
          </cell>
          <cell r="W608" t="e">
            <v>#REF!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>
            <v>0</v>
          </cell>
          <cell r="W609" t="e">
            <v>#REF!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>
            <v>0</v>
          </cell>
          <cell r="W610" t="e">
            <v>#REF!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>
            <v>0</v>
          </cell>
          <cell r="W611" t="e">
            <v>#REF!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>
            <v>0</v>
          </cell>
          <cell r="W612" t="e">
            <v>#REF!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>
            <v>0</v>
          </cell>
          <cell r="W613" t="e">
            <v>#REF!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>
            <v>0</v>
          </cell>
          <cell r="W614" t="e">
            <v>#REF!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>
            <v>0</v>
          </cell>
          <cell r="W615" t="e">
            <v>#REF!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>
            <v>0</v>
          </cell>
          <cell r="W616" t="e">
            <v>#REF!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>
            <v>0</v>
          </cell>
          <cell r="W617" t="e">
            <v>#REF!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>
            <v>0</v>
          </cell>
          <cell r="W618" t="e">
            <v>#REF!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>
            <v>0</v>
          </cell>
          <cell r="W619" t="e">
            <v>#REF!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>
            <v>0</v>
          </cell>
          <cell r="W620" t="e">
            <v>#REF!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>
            <v>0</v>
          </cell>
          <cell r="W621" t="e">
            <v>#REF!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>
            <v>0</v>
          </cell>
          <cell r="W622" t="e">
            <v>#REF!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>
            <v>0</v>
          </cell>
          <cell r="W623" t="e">
            <v>#REF!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>
            <v>0</v>
          </cell>
          <cell r="W624" t="e">
            <v>#REF!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>
            <v>0</v>
          </cell>
          <cell r="W625" t="e">
            <v>#REF!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>
            <v>0</v>
          </cell>
          <cell r="W626" t="e">
            <v>#REF!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>
            <v>0</v>
          </cell>
          <cell r="W627" t="e">
            <v>#REF!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>
            <v>0</v>
          </cell>
          <cell r="W628" t="e">
            <v>#REF!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>
            <v>0</v>
          </cell>
          <cell r="W629" t="e">
            <v>#REF!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>
            <v>0</v>
          </cell>
          <cell r="W630" t="e">
            <v>#REF!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>
            <v>0</v>
          </cell>
          <cell r="W631" t="e">
            <v>#REF!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>
            <v>0</v>
          </cell>
          <cell r="W632" t="e">
            <v>#REF!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>
            <v>0</v>
          </cell>
          <cell r="W633" t="e">
            <v>#REF!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>
            <v>0</v>
          </cell>
          <cell r="W634" t="e">
            <v>#REF!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>
            <v>0</v>
          </cell>
          <cell r="W635" t="e">
            <v>#REF!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>
            <v>0</v>
          </cell>
          <cell r="W636" t="e">
            <v>#REF!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>
            <v>0</v>
          </cell>
          <cell r="W637" t="e">
            <v>#REF!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>
            <v>0</v>
          </cell>
          <cell r="W638" t="e">
            <v>#REF!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>
            <v>0</v>
          </cell>
          <cell r="W639" t="e">
            <v>#REF!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>
            <v>0</v>
          </cell>
          <cell r="W640" t="e">
            <v>#REF!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>
            <v>0</v>
          </cell>
          <cell r="W641" t="e">
            <v>#REF!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>
            <v>0</v>
          </cell>
          <cell r="W642" t="e">
            <v>#REF!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>
            <v>0</v>
          </cell>
          <cell r="W643" t="e">
            <v>#REF!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>
            <v>0</v>
          </cell>
          <cell r="W644" t="e">
            <v>#REF!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>
            <v>0</v>
          </cell>
          <cell r="W645" t="e">
            <v>#REF!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>
            <v>0</v>
          </cell>
          <cell r="W646" t="e">
            <v>#REF!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>
            <v>0</v>
          </cell>
          <cell r="W647" t="e">
            <v>#REF!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>
            <v>0</v>
          </cell>
          <cell r="W648" t="e">
            <v>#REF!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>
            <v>0</v>
          </cell>
          <cell r="W649" t="e">
            <v>#REF!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>
            <v>0</v>
          </cell>
          <cell r="W650" t="e">
            <v>#REF!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>
            <v>0</v>
          </cell>
          <cell r="W651" t="e">
            <v>#REF!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>
            <v>0</v>
          </cell>
          <cell r="W652" t="e">
            <v>#REF!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>
            <v>0</v>
          </cell>
          <cell r="W653" t="e">
            <v>#REF!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>
            <v>0</v>
          </cell>
          <cell r="W654" t="e">
            <v>#REF!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>
            <v>0</v>
          </cell>
          <cell r="W655" t="e">
            <v>#REF!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>
            <v>0</v>
          </cell>
          <cell r="W656" t="e">
            <v>#REF!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>
            <v>0</v>
          </cell>
          <cell r="W657" t="e">
            <v>#REF!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>
            <v>0</v>
          </cell>
          <cell r="W658" t="e">
            <v>#REF!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>
            <v>0</v>
          </cell>
          <cell r="W659" t="e">
            <v>#REF!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>
            <v>0</v>
          </cell>
          <cell r="W660" t="e">
            <v>#REF!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>
            <v>0</v>
          </cell>
          <cell r="W661" t="e">
            <v>#REF!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>
            <v>0</v>
          </cell>
          <cell r="W662" t="e">
            <v>#REF!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>
            <v>0</v>
          </cell>
          <cell r="W663" t="e">
            <v>#REF!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>
            <v>0</v>
          </cell>
          <cell r="W664" t="e">
            <v>#REF!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>
            <v>0</v>
          </cell>
          <cell r="W665" t="e">
            <v>#REF!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>
            <v>0</v>
          </cell>
          <cell r="W666" t="e">
            <v>#REF!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>
            <v>0</v>
          </cell>
          <cell r="W667" t="e">
            <v>#REF!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>
            <v>0</v>
          </cell>
          <cell r="W668" t="e">
            <v>#REF!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>
            <v>0</v>
          </cell>
          <cell r="W669" t="e">
            <v>#REF!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>
            <v>0</v>
          </cell>
          <cell r="W670" t="e">
            <v>#REF!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>
            <v>0</v>
          </cell>
          <cell r="W671" t="e">
            <v>#REF!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>
            <v>0</v>
          </cell>
          <cell r="W672" t="e">
            <v>#REF!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>
            <v>0</v>
          </cell>
          <cell r="W673" t="e">
            <v>#REF!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>
            <v>0</v>
          </cell>
          <cell r="W674" t="e">
            <v>#REF!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>
            <v>0</v>
          </cell>
          <cell r="W675" t="e">
            <v>#REF!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>
            <v>0</v>
          </cell>
          <cell r="W676" t="e">
            <v>#REF!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>
            <v>0</v>
          </cell>
          <cell r="W677" t="e">
            <v>#REF!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>
            <v>0</v>
          </cell>
          <cell r="W678" t="e">
            <v>#REF!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>
            <v>0</v>
          </cell>
          <cell r="W679" t="e">
            <v>#REF!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>
            <v>0</v>
          </cell>
          <cell r="W680" t="e">
            <v>#REF!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>
            <v>0</v>
          </cell>
          <cell r="W681" t="e">
            <v>#REF!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>
            <v>0</v>
          </cell>
          <cell r="W682" t="e">
            <v>#REF!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>
            <v>0</v>
          </cell>
          <cell r="W683" t="e">
            <v>#REF!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>
            <v>0</v>
          </cell>
          <cell r="W684" t="e">
            <v>#REF!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>
            <v>0</v>
          </cell>
          <cell r="W685" t="e">
            <v>#REF!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>
            <v>0</v>
          </cell>
          <cell r="W686" t="e">
            <v>#REF!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>
            <v>0</v>
          </cell>
          <cell r="W687" t="e">
            <v>#REF!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>
            <v>0</v>
          </cell>
          <cell r="W688" t="e">
            <v>#REF!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>
            <v>0</v>
          </cell>
          <cell r="W689" t="e">
            <v>#REF!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>
            <v>0</v>
          </cell>
          <cell r="W690" t="e">
            <v>#REF!</v>
          </cell>
        </row>
      </sheetData>
      <sheetData sheetId="5">
        <row r="8">
          <cell r="P8">
            <v>36.200000000000003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I167"/>
  <sheetViews>
    <sheetView tabSelected="1" zoomScale="55" zoomScaleNormal="55" zoomScaleSheetLayoutView="25" workbookViewId="0">
      <selection activeCell="D1" sqref="D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3.5703125" style="238" customWidth="1"/>
    <col min="5" max="5" width="37.140625" style="238" customWidth="1"/>
    <col min="6" max="6" width="30.140625" style="238" customWidth="1"/>
    <col min="7" max="7" width="37.42578125" style="238" customWidth="1"/>
    <col min="8" max="8" width="30.85546875" style="238" customWidth="1"/>
    <col min="9" max="9" width="38.5703125" style="238" bestFit="1" customWidth="1"/>
    <col min="10" max="10" width="38.7109375" style="238" bestFit="1" customWidth="1"/>
    <col min="11" max="11" width="33.140625" style="6" bestFit="1" customWidth="1"/>
    <col min="12" max="12" width="38.5703125" style="7" bestFit="1" customWidth="1"/>
    <col min="13" max="13" width="37.5703125" style="237" bestFit="1" customWidth="1"/>
    <col min="14" max="14" width="32.28515625" style="237" bestFit="1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71.28515625" style="6" customWidth="1"/>
    <col min="19" max="19" width="59.42578125" style="6" bestFit="1" customWidth="1"/>
    <col min="20" max="20" width="69.5703125" style="6" bestFit="1" customWidth="1"/>
    <col min="21" max="21" width="48.42578125" style="6" customWidth="1"/>
    <col min="22" max="22" width="5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7.7109375" style="6" customWidth="1"/>
    <col min="29" max="29" width="3.5703125" style="6" hidden="1" customWidth="1"/>
    <col min="30" max="30" width="23.7109375" style="6" hidden="1" customWidth="1"/>
    <col min="31" max="32" width="9" style="6" hidden="1" customWidth="1"/>
    <col min="33" max="33" width="5.28515625" style="6" hidden="1" customWidth="1"/>
    <col min="34" max="257" width="11.85546875" style="6" customWidth="1"/>
    <col min="258" max="16384" width="12.28515625" style="6"/>
  </cols>
  <sheetData>
    <row r="1" spans="1:35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5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5" ht="16.5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9" t="s">
        <v>0</v>
      </c>
      <c r="R3" s="5"/>
      <c r="S3" s="5"/>
      <c r="T3" s="5"/>
      <c r="U3" s="5"/>
      <c r="V3" s="5"/>
      <c r="W3" s="5"/>
      <c r="X3" s="5"/>
      <c r="Y3" s="5"/>
      <c r="AI3" s="7"/>
    </row>
    <row r="4" spans="1:35" ht="17.100000000000001" customHeight="1">
      <c r="A4" s="1"/>
      <c r="B4" s="1"/>
      <c r="C4" s="266" t="s">
        <v>1</v>
      </c>
      <c r="D4" s="266"/>
      <c r="E4" s="266"/>
      <c r="F4" s="266"/>
      <c r="G4" s="266"/>
      <c r="H4" s="266"/>
      <c r="I4" s="266"/>
      <c r="J4" s="266"/>
      <c r="K4" s="266"/>
      <c r="L4" s="266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5" ht="23.25">
      <c r="A5" s="1"/>
      <c r="B5" s="1"/>
      <c r="C5" s="266" t="s">
        <v>2</v>
      </c>
      <c r="D5" s="266"/>
      <c r="E5" s="266"/>
      <c r="F5" s="266"/>
      <c r="G5" s="266"/>
      <c r="H5" s="266"/>
      <c r="I5" s="266"/>
      <c r="J5" s="266"/>
      <c r="K5" s="266"/>
      <c r="L5" s="266"/>
      <c r="M5" s="8"/>
      <c r="N5" s="4"/>
      <c r="O5" s="1"/>
      <c r="P5" s="5"/>
      <c r="Q5" s="5"/>
      <c r="R5" s="10" t="s">
        <v>3</v>
      </c>
      <c r="S5" s="5"/>
      <c r="T5" s="5"/>
      <c r="U5" s="5"/>
      <c r="V5" s="5"/>
      <c r="W5" s="5"/>
      <c r="X5" s="5"/>
      <c r="Y5" s="5"/>
      <c r="AI5" s="7"/>
    </row>
    <row r="6" spans="1:35" ht="24.75" customHeight="1">
      <c r="A6" s="1"/>
      <c r="B6" s="1"/>
      <c r="C6" s="11"/>
      <c r="D6" s="11"/>
      <c r="E6" s="11"/>
      <c r="F6" s="11"/>
      <c r="G6" s="11"/>
      <c r="H6" s="11"/>
      <c r="I6" s="11"/>
      <c r="J6" s="11"/>
      <c r="K6" s="12"/>
      <c r="L6" s="13"/>
      <c r="M6" s="8"/>
      <c r="N6" s="4"/>
      <c r="O6" s="1"/>
      <c r="P6" s="5"/>
      <c r="Q6" s="14" t="s">
        <v>4</v>
      </c>
      <c r="R6" s="306" t="s">
        <v>3</v>
      </c>
      <c r="S6" s="307"/>
      <c r="T6" s="5"/>
      <c r="U6" s="5"/>
      <c r="V6" s="5"/>
      <c r="W6" s="5"/>
      <c r="X6" s="5"/>
      <c r="Y6" s="5"/>
      <c r="AI6" s="7"/>
    </row>
    <row r="7" spans="1:35" ht="23.25">
      <c r="A7" s="1"/>
      <c r="B7" s="1"/>
      <c r="C7" s="15"/>
      <c r="D7" s="16" t="s">
        <v>6</v>
      </c>
      <c r="E7" s="16" t="str">
        <f>[1]MENU!C8</f>
        <v>0009297-97.2016.8.18.0000</v>
      </c>
      <c r="F7" s="17"/>
      <c r="G7" s="17"/>
      <c r="H7" s="17"/>
      <c r="I7" s="18"/>
      <c r="J7" s="17"/>
      <c r="K7" s="15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5" ht="23.25">
      <c r="A8" s="1"/>
      <c r="B8" s="1"/>
      <c r="C8" s="15"/>
      <c r="D8" s="16" t="s">
        <v>7</v>
      </c>
      <c r="E8" s="16">
        <f>[1]MENU!C10</f>
        <v>2018</v>
      </c>
      <c r="F8" s="17"/>
      <c r="G8" s="17"/>
      <c r="H8" s="17"/>
      <c r="I8" s="18"/>
      <c r="J8" s="17"/>
      <c r="K8" s="15"/>
      <c r="L8" s="3"/>
      <c r="M8" s="4"/>
      <c r="N8" s="4"/>
      <c r="O8" s="1"/>
      <c r="P8" s="5"/>
      <c r="Q8" s="14" t="s">
        <v>8</v>
      </c>
      <c r="R8" s="305" t="s">
        <v>5</v>
      </c>
      <c r="S8" s="305"/>
      <c r="T8" s="5"/>
      <c r="U8" s="5"/>
      <c r="V8" s="5"/>
      <c r="W8" s="5"/>
      <c r="X8" s="5"/>
      <c r="Y8" s="5"/>
      <c r="AI8" s="7"/>
    </row>
    <row r="9" spans="1:35" ht="48.75" customHeight="1">
      <c r="A9" s="1"/>
      <c r="B9" s="1"/>
      <c r="C9" s="15"/>
      <c r="D9" s="16" t="s">
        <v>9</v>
      </c>
      <c r="E9" s="19">
        <f>[1]MENU!C12</f>
        <v>42607</v>
      </c>
      <c r="F9" s="17"/>
      <c r="G9" s="17"/>
      <c r="H9" s="20"/>
      <c r="I9" s="21" t="s">
        <v>10</v>
      </c>
      <c r="J9" s="22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2"/>
      <c r="L9" s="3"/>
      <c r="M9" s="4"/>
      <c r="N9" s="23"/>
      <c r="O9" s="1"/>
      <c r="P9" s="5"/>
      <c r="Q9" s="24" t="s">
        <v>11</v>
      </c>
      <c r="R9" s="289">
        <v>0.26</v>
      </c>
      <c r="S9" s="289"/>
      <c r="T9" s="5"/>
      <c r="U9" s="5"/>
      <c r="V9" s="5"/>
      <c r="W9" s="5"/>
      <c r="X9" s="5"/>
      <c r="Y9" s="5"/>
      <c r="AI9" s="7"/>
    </row>
    <row r="10" spans="1:35" ht="23.25">
      <c r="A10" s="1"/>
      <c r="B10" s="1"/>
      <c r="C10" s="15"/>
      <c r="D10" s="16" t="s">
        <v>12</v>
      </c>
      <c r="E10" s="16" t="str">
        <f>[1]MENU!C14</f>
        <v>MARIA FATIMA DE MACEDO SILVA LOPES</v>
      </c>
      <c r="F10" s="17"/>
      <c r="G10" s="17"/>
      <c r="H10" s="17"/>
      <c r="I10" s="17"/>
      <c r="J10" s="17"/>
      <c r="K10" s="12"/>
      <c r="L10" s="3"/>
      <c r="M10" s="4"/>
      <c r="N10" s="4"/>
      <c r="O10" s="1"/>
      <c r="P10" s="5"/>
      <c r="Q10" s="14" t="s">
        <v>13</v>
      </c>
      <c r="R10" s="305" t="s">
        <v>5</v>
      </c>
      <c r="S10" s="305"/>
      <c r="T10" s="5"/>
      <c r="U10" s="5"/>
      <c r="V10" s="5"/>
      <c r="W10" s="5"/>
      <c r="X10" s="5"/>
      <c r="Y10" s="5"/>
      <c r="AC10" s="25"/>
      <c r="AD10" s="25"/>
      <c r="AE10" s="25"/>
      <c r="AF10" s="25"/>
      <c r="AG10" s="25"/>
      <c r="AI10" s="7"/>
    </row>
    <row r="11" spans="1:35" ht="27" customHeight="1">
      <c r="A11" s="1"/>
      <c r="B11" s="1"/>
      <c r="C11" s="15"/>
      <c r="D11" s="16" t="s">
        <v>14</v>
      </c>
      <c r="E11" s="16" t="str">
        <f>[1]MENU!C16</f>
        <v>ESTADO DO PIAUÍ</v>
      </c>
      <c r="F11" s="17"/>
      <c r="G11" s="17"/>
      <c r="H11" s="17"/>
      <c r="I11" s="17"/>
      <c r="J11" s="17"/>
      <c r="K11" s="12"/>
      <c r="L11" s="3"/>
      <c r="M11" s="4"/>
      <c r="N11" s="4"/>
      <c r="O11" s="1"/>
      <c r="P11" s="5"/>
      <c r="Q11" s="24" t="s">
        <v>15</v>
      </c>
      <c r="R11" s="289">
        <v>0.01</v>
      </c>
      <c r="S11" s="289"/>
      <c r="T11" s="5"/>
      <c r="U11" s="5"/>
      <c r="V11" s="5"/>
      <c r="W11" s="5"/>
      <c r="X11" s="5"/>
      <c r="Y11" s="5"/>
      <c r="AC11" s="25"/>
      <c r="AD11" s="25"/>
      <c r="AE11" s="25"/>
      <c r="AF11" s="25"/>
      <c r="AG11" s="25"/>
      <c r="AI11" s="7"/>
    </row>
    <row r="12" spans="1:35" ht="27" customHeight="1">
      <c r="A12" s="1"/>
      <c r="B12" s="1"/>
      <c r="C12" s="15"/>
      <c r="D12" s="17"/>
      <c r="E12" s="17"/>
      <c r="F12" s="17"/>
      <c r="G12" s="17"/>
      <c r="H12" s="17"/>
      <c r="I12" s="17"/>
      <c r="J12" s="17"/>
      <c r="K12" s="12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6"/>
      <c r="X12" s="5"/>
      <c r="Y12" s="5"/>
      <c r="AC12" s="25"/>
      <c r="AD12" s="25"/>
      <c r="AE12" s="25"/>
      <c r="AF12" s="25"/>
      <c r="AG12" s="25"/>
      <c r="AI12" s="7"/>
    </row>
    <row r="13" spans="1:35" ht="27.75" customHeight="1">
      <c r="A13" s="1"/>
      <c r="B13" s="1"/>
      <c r="C13" s="266" t="s">
        <v>16</v>
      </c>
      <c r="D13" s="266"/>
      <c r="E13" s="266"/>
      <c r="F13" s="266"/>
      <c r="G13" s="266"/>
      <c r="H13" s="266"/>
      <c r="I13" s="266"/>
      <c r="J13" s="266"/>
      <c r="K13" s="266"/>
      <c r="L13" s="266"/>
      <c r="M13" s="4"/>
      <c r="N13" s="4"/>
      <c r="O13" s="1"/>
      <c r="P13" s="5"/>
      <c r="Q13" s="27" t="s">
        <v>17</v>
      </c>
      <c r="R13" s="290" t="s">
        <v>18</v>
      </c>
      <c r="S13" s="290"/>
      <c r="T13" s="5"/>
      <c r="U13" s="5"/>
      <c r="V13" s="5"/>
      <c r="W13" s="5"/>
      <c r="X13" s="5"/>
      <c r="Y13" s="5"/>
      <c r="AD13" s="28"/>
      <c r="AI13" s="7"/>
    </row>
    <row r="14" spans="1:35" ht="80.25" customHeight="1">
      <c r="A14" s="1"/>
      <c r="B14" s="1"/>
      <c r="C14" s="11"/>
      <c r="D14" s="29" t="s">
        <v>19</v>
      </c>
      <c r="E14" s="29" t="str">
        <f>"Valor Devido Atualizado com juros até " &amp; PROPER(TEXT([1]MENU!AD18, "mmmm")) &amp; "/" &amp; [1]MENU!AE18</f>
        <v>Valor Devido Atualizado com juros até Novembro/2014</v>
      </c>
      <c r="F14" s="29" t="s">
        <v>20</v>
      </c>
      <c r="G14" s="29" t="s">
        <v>21</v>
      </c>
      <c r="H14" s="29" t="s">
        <v>22</v>
      </c>
      <c r="I14" s="29" t="s">
        <v>23</v>
      </c>
      <c r="J14" s="29" t="s">
        <v>24</v>
      </c>
      <c r="K14" s="29" t="s">
        <v>25</v>
      </c>
      <c r="L14" s="29" t="str">
        <f ca="1">"Valor Atualizado com Juros "&amp;UPPER(TEXT(TODAY(),"mmmm"))&amp;"/"&amp;YEAR(TODAY())</f>
        <v>Valor Atualizado com Juros FEVEREIRO/2025</v>
      </c>
      <c r="M14" s="4"/>
      <c r="N14" s="4"/>
      <c r="O14" s="1"/>
      <c r="P14" s="5"/>
      <c r="Q14" s="30" t="s">
        <v>5</v>
      </c>
      <c r="R14" s="291" t="s">
        <v>26</v>
      </c>
      <c r="S14" s="292"/>
      <c r="T14" s="5"/>
      <c r="U14" s="5"/>
      <c r="V14" s="5"/>
      <c r="W14" s="5"/>
      <c r="X14" s="5"/>
      <c r="Y14" s="5"/>
      <c r="AI14" s="7"/>
    </row>
    <row r="15" spans="1:35" ht="47.25" customHeight="1">
      <c r="A15" s="1"/>
      <c r="B15" s="1"/>
      <c r="C15" s="11"/>
      <c r="D15" s="31" t="s">
        <v>27</v>
      </c>
      <c r="E15" s="32">
        <f>[1]MENU!C20</f>
        <v>21212112</v>
      </c>
      <c r="F15" s="33">
        <f>IFERROR(VLOOKUP([1]MENU!$AC$19,[1]GILBERTO!$A:$BK,[1]MENU!$AF$18), 1)</f>
        <v>1.5145731</v>
      </c>
      <c r="G15" s="32">
        <f>ROUND(E15*F15,2)</f>
        <v>32127294.23</v>
      </c>
      <c r="H15" s="34" t="s">
        <v>28</v>
      </c>
      <c r="I15" s="32">
        <v>0</v>
      </c>
      <c r="J15" s="32">
        <f>ROUND(G15+I15,2)</f>
        <v>32127294.23</v>
      </c>
      <c r="K15" s="35">
        <v>1</v>
      </c>
      <c r="L15" s="32">
        <f>ROUND(J15*K15,2)</f>
        <v>32127294.23</v>
      </c>
      <c r="M15" s="4"/>
      <c r="N15" s="4"/>
      <c r="O15" s="1"/>
      <c r="P15" s="5"/>
      <c r="Q15" s="30" t="s">
        <v>5</v>
      </c>
      <c r="R15" s="293" t="s">
        <v>29</v>
      </c>
      <c r="S15" s="294"/>
      <c r="T15" s="5"/>
      <c r="U15" s="5"/>
      <c r="V15" s="5"/>
      <c r="W15" s="5"/>
      <c r="X15" s="5"/>
      <c r="Y15" s="5"/>
    </row>
    <row r="16" spans="1:35" ht="32.65" customHeight="1">
      <c r="A16" s="1"/>
      <c r="B16" s="1"/>
      <c r="C16" s="11"/>
      <c r="D16" s="31" t="s">
        <v>30</v>
      </c>
      <c r="E16" s="32">
        <f>[1]MENU!C22</f>
        <v>28888.21</v>
      </c>
      <c r="F16" s="33">
        <f>IFERROR(VLOOKUP([1]MENU!$AC$19,[1]GILBERTO!$A:$BK,[1]MENU!$AF$18), 1)</f>
        <v>1.5145731</v>
      </c>
      <c r="G16" s="32">
        <f>ROUND(E16*F16,2)</f>
        <v>43753.31</v>
      </c>
      <c r="H16" s="36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0.247256</v>
      </c>
      <c r="I16" s="32">
        <f>ROUND(G15*H16,2)</f>
        <v>7943666.2599999998</v>
      </c>
      <c r="J16" s="32">
        <f>ROUND(G16+I16,2)</f>
        <v>7987419.5700000003</v>
      </c>
      <c r="K16" s="35">
        <v>1</v>
      </c>
      <c r="L16" s="32">
        <f>ROUND(J16*K16,2)</f>
        <v>7987419.5700000003</v>
      </c>
      <c r="M16" s="4"/>
      <c r="N16" s="4"/>
      <c r="O16" s="1"/>
      <c r="P16" s="5"/>
      <c r="Q16" s="5"/>
      <c r="R16" s="5"/>
      <c r="S16" s="5"/>
      <c r="T16" s="5"/>
      <c r="U16" s="5"/>
      <c r="V16" s="5"/>
      <c r="W16" s="5"/>
      <c r="X16" s="5"/>
      <c r="Y16" s="5"/>
    </row>
    <row r="17" spans="1:25" ht="45.75" customHeight="1">
      <c r="A17" s="1"/>
      <c r="B17" s="1"/>
      <c r="C17" s="11"/>
      <c r="D17" s="37" t="s">
        <v>31</v>
      </c>
      <c r="E17" s="38">
        <f>SUM(E15:E16)</f>
        <v>21241000.210000001</v>
      </c>
      <c r="F17" s="39" t="s">
        <v>28</v>
      </c>
      <c r="G17" s="38">
        <f>SUM(G15:G16)</f>
        <v>32171047.539999999</v>
      </c>
      <c r="H17" s="40" t="s">
        <v>28</v>
      </c>
      <c r="I17" s="38">
        <f>SUM(I15:I16)</f>
        <v>7943666.2599999998</v>
      </c>
      <c r="J17" s="38">
        <f>SUM(J15:J16)</f>
        <v>40114713.799999997</v>
      </c>
      <c r="K17" s="39" t="s">
        <v>28</v>
      </c>
      <c r="L17" s="38">
        <f>SUM(L15:L16)</f>
        <v>40114713.799999997</v>
      </c>
      <c r="M17" s="4"/>
      <c r="N17" s="4"/>
      <c r="O17" s="1"/>
      <c r="P17" s="5"/>
      <c r="Q17" s="41"/>
      <c r="R17" s="295" t="str">
        <f ca="1">"DIVISÃO "&amp;UPPER(TEXT(TODAY(),"mmmm"))&amp;"/"&amp;YEAR(TODAY())&amp;""</f>
        <v>DIVISÃO FEVEREIRO/2025</v>
      </c>
      <c r="S17" s="295"/>
      <c r="T17" s="295"/>
      <c r="U17" s="295"/>
      <c r="V17" s="295"/>
      <c r="W17" s="295"/>
      <c r="X17" s="5"/>
      <c r="Y17" s="5"/>
    </row>
    <row r="18" spans="1:25" ht="23.25">
      <c r="A18" s="1"/>
      <c r="B18" s="1"/>
      <c r="C18" s="11"/>
      <c r="D18" s="4"/>
      <c r="E18" s="4"/>
      <c r="F18" s="4"/>
      <c r="G18" s="4"/>
      <c r="H18" s="4"/>
      <c r="I18" s="4"/>
      <c r="J18" s="42" t="s">
        <v>32</v>
      </c>
      <c r="K18" s="296">
        <f>IFERROR('[1]Selic e IPCA'!P8%,0)</f>
        <v>0.36200000000000004</v>
      </c>
      <c r="L18" s="299">
        <f>ROUND(L17*K18,2)</f>
        <v>14521526.4</v>
      </c>
      <c r="M18" s="4"/>
      <c r="N18" s="4"/>
      <c r="O18" s="1"/>
      <c r="P18" s="5"/>
      <c r="Q18" s="41"/>
      <c r="R18" s="302" t="s">
        <v>33</v>
      </c>
      <c r="S18" s="303"/>
      <c r="T18" s="303" t="s">
        <v>34</v>
      </c>
      <c r="U18" s="303"/>
      <c r="V18" s="303" t="s">
        <v>35</v>
      </c>
      <c r="W18" s="304"/>
      <c r="X18" s="5"/>
      <c r="Y18" s="5"/>
    </row>
    <row r="19" spans="1:25" ht="23.25">
      <c r="A19" s="1"/>
      <c r="B19" s="1"/>
      <c r="C19" s="11"/>
      <c r="D19" s="4"/>
      <c r="E19" s="4"/>
      <c r="F19" s="4"/>
      <c r="G19" s="4"/>
      <c r="H19" s="4"/>
      <c r="I19" s="4"/>
      <c r="J19" s="43">
        <v>44531</v>
      </c>
      <c r="K19" s="297"/>
      <c r="L19" s="300"/>
      <c r="M19" s="4"/>
      <c r="N19" s="4"/>
      <c r="O19" s="1"/>
      <c r="P19" s="5"/>
      <c r="Q19" s="41"/>
      <c r="R19" s="44">
        <f>$L$21</f>
        <v>54636240.199999996</v>
      </c>
      <c r="S19" s="45">
        <v>1</v>
      </c>
      <c r="T19" s="46">
        <f>R19</f>
        <v>54636240.199999996</v>
      </c>
      <c r="U19" s="47">
        <f>S19</f>
        <v>1</v>
      </c>
      <c r="V19" s="46">
        <f>T19</f>
        <v>54636240.199999996</v>
      </c>
      <c r="W19" s="48">
        <f>U19</f>
        <v>1</v>
      </c>
      <c r="X19" s="5"/>
      <c r="Y19" s="5"/>
    </row>
    <row r="20" spans="1:25" ht="23.25">
      <c r="A20" s="1"/>
      <c r="B20" s="1"/>
      <c r="C20" s="11"/>
      <c r="D20" s="17"/>
      <c r="E20" s="17"/>
      <c r="F20" s="17"/>
      <c r="G20" s="17"/>
      <c r="H20" s="17"/>
      <c r="I20" s="49"/>
      <c r="J20" s="50">
        <f ca="1">DATE(YEAR(TODAY()), MONTH(1 &amp; TEXT(TODAY(), "mmmm")), 1)</f>
        <v>45689</v>
      </c>
      <c r="K20" s="298"/>
      <c r="L20" s="301"/>
      <c r="M20" s="4"/>
      <c r="N20" s="4"/>
      <c r="O20" s="1"/>
      <c r="P20" s="5"/>
      <c r="Q20" s="41"/>
      <c r="R20" s="51">
        <f>G15+G24</f>
        <v>32127294.23</v>
      </c>
      <c r="S20" s="52">
        <f>R20*S19/R19</f>
        <v>0.58802168876181204</v>
      </c>
      <c r="T20" s="53">
        <f>G16+I16</f>
        <v>7987419.5699999994</v>
      </c>
      <c r="U20" s="52">
        <f>T20*U19/T19</f>
        <v>0.1461927017811156</v>
      </c>
      <c r="V20" s="53">
        <f>L21-L17 + I25-G25</f>
        <v>14521526.399999999</v>
      </c>
      <c r="W20" s="54">
        <f>V20*W19/V19</f>
        <v>0.26578560945707241</v>
      </c>
      <c r="X20" s="5"/>
      <c r="Y20" s="5"/>
    </row>
    <row r="21" spans="1:25" ht="48" customHeight="1">
      <c r="A21" s="1"/>
      <c r="B21" s="1"/>
      <c r="C21" s="11"/>
      <c r="D21" s="17"/>
      <c r="E21" s="17"/>
      <c r="F21" s="17"/>
      <c r="G21" s="17"/>
      <c r="H21" s="17"/>
      <c r="I21" s="49"/>
      <c r="J21" s="288" t="str">
        <f ca="1">"Valor Total Devido em "&amp;UPPER(TEXT(TODAY(),"mmmm"))&amp;"/"&amp;YEAR(TODAY())</f>
        <v>Valor Total Devido em FEVEREIRO/2025</v>
      </c>
      <c r="K21" s="288"/>
      <c r="L21" s="55">
        <f>L17+L18</f>
        <v>54636240.199999996</v>
      </c>
      <c r="M21" s="4"/>
      <c r="N21" s="4"/>
      <c r="O21" s="1"/>
      <c r="P21" s="5"/>
      <c r="Q21" s="41"/>
      <c r="R21" s="5"/>
      <c r="S21" s="5"/>
      <c r="T21" s="5"/>
      <c r="U21" s="5"/>
      <c r="V21" s="5"/>
      <c r="W21" s="5"/>
      <c r="X21" s="5"/>
      <c r="Y21" s="5"/>
    </row>
    <row r="22" spans="1:25" ht="55.5" customHeight="1">
      <c r="A22" s="1"/>
      <c r="B22" s="1"/>
      <c r="C22" s="11"/>
      <c r="D22" s="56"/>
      <c r="E22" s="17"/>
      <c r="F22" s="17"/>
      <c r="G22" s="17"/>
      <c r="H22" s="17"/>
      <c r="I22" s="49"/>
      <c r="J22" s="4"/>
      <c r="K22" s="4"/>
      <c r="L22" s="4"/>
      <c r="M22" s="4"/>
      <c r="N22" s="4"/>
      <c r="O22" s="1"/>
      <c r="P22" s="5"/>
      <c r="Q22" s="41"/>
      <c r="R22" s="57"/>
      <c r="S22" s="276" t="s">
        <v>36</v>
      </c>
      <c r="T22" s="58">
        <f>R20+T20+V20</f>
        <v>54636240.199999996</v>
      </c>
      <c r="U22" s="57"/>
      <c r="V22" s="57"/>
      <c r="W22" s="57"/>
      <c r="X22" s="5"/>
      <c r="Y22" s="5"/>
    </row>
    <row r="23" spans="1:25" ht="38.25" customHeight="1">
      <c r="A23" s="1"/>
      <c r="B23" s="1"/>
      <c r="C23" s="11"/>
      <c r="D23" s="13"/>
      <c r="E23" s="13"/>
      <c r="F23" s="13"/>
      <c r="G23" s="13"/>
      <c r="H23" s="13"/>
      <c r="I23" s="13"/>
      <c r="J23" s="277" t="s">
        <v>37</v>
      </c>
      <c r="K23" s="278"/>
      <c r="L23" s="278"/>
      <c r="M23" s="59">
        <f>L21</f>
        <v>54636240.199999996</v>
      </c>
      <c r="N23" s="60">
        <f>ROUND(L21*$R$11,2)</f>
        <v>546362.4</v>
      </c>
      <c r="O23" s="1"/>
      <c r="P23" s="5"/>
      <c r="Q23" s="41"/>
      <c r="R23" s="57"/>
      <c r="S23" s="276"/>
      <c r="T23" s="61">
        <f>S20+U20+W20</f>
        <v>1</v>
      </c>
      <c r="U23" s="5"/>
      <c r="V23" s="5"/>
      <c r="W23" s="5"/>
      <c r="X23" s="5"/>
      <c r="Y23" s="5"/>
    </row>
    <row r="24" spans="1:25" ht="33.75" customHeight="1">
      <c r="A24" s="1"/>
      <c r="B24" s="1"/>
      <c r="C24" s="11"/>
      <c r="D24" s="13"/>
      <c r="E24" s="13"/>
      <c r="F24" s="13"/>
      <c r="G24" s="13"/>
      <c r="H24" s="13"/>
      <c r="I24" s="13"/>
      <c r="J24" s="13"/>
      <c r="K24" s="13"/>
      <c r="L24" s="13"/>
      <c r="M24" s="4"/>
      <c r="N24" s="4"/>
      <c r="O24" s="1"/>
      <c r="P24" s="5"/>
      <c r="Q24" s="41"/>
      <c r="R24" s="57"/>
      <c r="S24" s="57"/>
      <c r="T24" s="57"/>
      <c r="U24" s="5"/>
      <c r="V24" s="5"/>
      <c r="W24" s="5"/>
      <c r="X24" s="5"/>
      <c r="Y24" s="5"/>
    </row>
    <row r="25" spans="1:25" ht="38.25" customHeight="1">
      <c r="A25" s="1"/>
      <c r="B25" s="1"/>
      <c r="C25" s="11"/>
      <c r="D25" s="13"/>
      <c r="E25" s="13"/>
      <c r="F25" s="13"/>
      <c r="G25" s="13"/>
      <c r="H25" s="13"/>
      <c r="I25" s="13"/>
      <c r="J25" s="279" t="str">
        <f>"(-)Honorários Contratuais- (" &amp; IF(AND(R5="Sim", V8="Não"), "C", IF(AND(R5="Não", V8="Sim"), "C", IF(AND(R5="Não", V8="Não"), "B", "D"))) &amp; ")– " &amp; TEXT(R9, "0%") &amp; " sobre"</f>
        <v>(-)Honorários Contratuais- (D)– 26% sobre</v>
      </c>
      <c r="K25" s="280"/>
      <c r="L25" s="280"/>
      <c r="M25" s="62">
        <f>L21</f>
        <v>54636240.199999996</v>
      </c>
      <c r="N25" s="63">
        <f>ROUND(L21*$R$9,2)</f>
        <v>14205422.449999999</v>
      </c>
      <c r="O25" s="1"/>
      <c r="P25" s="5"/>
      <c r="Q25" s="41"/>
      <c r="R25" s="64"/>
      <c r="S25" s="65"/>
      <c r="T25" s="282" t="s">
        <v>38</v>
      </c>
      <c r="U25" s="282"/>
      <c r="V25" s="282"/>
      <c r="W25" s="5"/>
      <c r="X25" s="5"/>
      <c r="Y25" s="5"/>
    </row>
    <row r="26" spans="1:25" ht="23.25">
      <c r="A26" s="1"/>
      <c r="B26" s="1"/>
      <c r="C26" s="11"/>
      <c r="D26" s="17"/>
      <c r="E26" s="17"/>
      <c r="F26" s="17"/>
      <c r="G26" s="17"/>
      <c r="H26" s="17"/>
      <c r="I26" s="49"/>
      <c r="J26" s="66"/>
      <c r="K26" s="66"/>
      <c r="L26" s="66"/>
      <c r="M26" s="66"/>
      <c r="N26" s="67"/>
      <c r="O26" s="1"/>
      <c r="P26" s="5"/>
      <c r="Q26" s="41"/>
      <c r="R26" s="68" t="s">
        <v>39</v>
      </c>
      <c r="S26" s="69">
        <f>R19</f>
        <v>54636240.199999996</v>
      </c>
      <c r="T26" s="64"/>
      <c r="U26" s="70"/>
      <c r="V26" s="70"/>
      <c r="W26" s="5"/>
      <c r="X26" s="5"/>
      <c r="Y26" s="5"/>
    </row>
    <row r="27" spans="1:25" ht="25.5" customHeight="1">
      <c r="A27" s="1"/>
      <c r="B27" s="1"/>
      <c r="C27" s="11"/>
      <c r="D27" s="17"/>
      <c r="E27" s="17"/>
      <c r="F27" s="17"/>
      <c r="G27" s="17"/>
      <c r="H27" s="17"/>
      <c r="I27" s="49"/>
      <c r="J27" s="66"/>
      <c r="K27" s="283" t="str">
        <f>IF(AND(R5="Sim",R8="Sim",V8="Sim"),"TOTAL DEVIDO AO EXEQUENTE – (E) = (A + B – C - D)",
IF(AND(R5="Sim",R8="Sim"),"TOTAL DEVIDO AO EXEQUENTE – (D) = (A + "&amp;IF(R5="Sim","B","-B")&amp;" – C)",
IF(AND(R5="Sim",V8="Sim"),"TOTAL DEVIDO AO EXEQUENTE – (D) = (A + "&amp;IF(R5="Sim","B","-B")&amp;" – C)",
IF(AND(R8="Sim",V8="Sim"),"TOTAL DEVIDO AO EXEQUENTE – (D) = (A - "&amp;IF(R5="Sim","B","-B")&amp;" – C)",
IF(AND(R5="Sim",NOT(AND(R8="Sim",V8="Sim"))),"TOTAL DEVIDO AO EXEQUENTE – (C) = (A + "&amp;IF(R5="Sim","B","-B")&amp;")",
IF(AND(R8="Sim",NOT(AND(R5="Sim",V8="Sim"))),"TOTAL DEVIDO AO EXEQUENTE – (C) = (A - "&amp;IF(R5="Sim","B","-B")&amp;")",
IF(AND(V8="Sim",NOT(AND(R5="Sim",R8="Sim"))),"TOTAL DEVIDO AO EXEQUENTE – (C) = (A - "&amp;IF(R5="Sim","B","-B")&amp;")",
"TOTAL DEVIDO AO EXEQUENTE – (A) = (A)")))))))</f>
        <v>TOTAL DEVIDO AO EXEQUENTE – (C) = (A - -B)</v>
      </c>
      <c r="L27" s="284"/>
      <c r="M27" s="285"/>
      <c r="N27" s="71">
        <f>L21+I25 - N23 - N25</f>
        <v>39884455.349999994</v>
      </c>
      <c r="O27" s="1"/>
      <c r="P27" s="5"/>
      <c r="Q27" s="41"/>
      <c r="R27" s="72" t="s">
        <v>40</v>
      </c>
      <c r="S27" s="73">
        <f>ROUND(S26*S20,2)</f>
        <v>32127294.23</v>
      </c>
      <c r="T27" s="64">
        <f>ROUND($F$59*S27,2)</f>
        <v>11630080.51</v>
      </c>
      <c r="U27" s="74">
        <f>SUM(S27:T27)</f>
        <v>43757374.740000002</v>
      </c>
      <c r="V27" s="75" t="s">
        <v>41</v>
      </c>
      <c r="W27" s="57"/>
      <c r="X27" s="5"/>
      <c r="Y27" s="5"/>
    </row>
    <row r="28" spans="1:25" ht="26.25" customHeight="1">
      <c r="A28" s="1"/>
      <c r="B28" s="1"/>
      <c r="C28" s="11"/>
      <c r="D28" s="17"/>
      <c r="E28" s="17"/>
      <c r="F28" s="17"/>
      <c r="G28" s="17"/>
      <c r="H28" s="17"/>
      <c r="I28" s="49"/>
      <c r="J28" s="13"/>
      <c r="K28" s="13"/>
      <c r="L28" s="13"/>
      <c r="M28" s="13"/>
      <c r="N28" s="13"/>
      <c r="O28" s="1"/>
      <c r="P28" s="5"/>
      <c r="Q28" s="41"/>
      <c r="R28" s="72" t="s">
        <v>42</v>
      </c>
      <c r="S28" s="73">
        <f>ROUND(U20*S26,2)</f>
        <v>7987419.5700000003</v>
      </c>
      <c r="T28" s="64">
        <f>ROUND($F$59*S28,2)</f>
        <v>2891445.88</v>
      </c>
      <c r="U28" s="76">
        <f>SUM(S28:T28)</f>
        <v>10878865.449999999</v>
      </c>
      <c r="V28" s="77" t="s">
        <v>43</v>
      </c>
      <c r="W28" s="57"/>
      <c r="X28" s="5"/>
      <c r="Y28" s="5"/>
    </row>
    <row r="29" spans="1:25" ht="26.25" customHeight="1">
      <c r="A29" s="1"/>
      <c r="B29" s="1"/>
      <c r="C29" s="11"/>
      <c r="D29" s="17"/>
      <c r="E29" s="17"/>
      <c r="F29" s="17"/>
      <c r="G29" s="17"/>
      <c r="H29" s="2"/>
      <c r="I29" s="49"/>
      <c r="J29" s="13"/>
      <c r="K29" s="13"/>
      <c r="L29" s="13"/>
      <c r="M29" s="13"/>
      <c r="N29" s="13"/>
      <c r="O29" s="78"/>
      <c r="P29" s="57"/>
      <c r="Q29" s="41"/>
      <c r="R29" s="72" t="s">
        <v>44</v>
      </c>
      <c r="S29" s="73">
        <f>ROUND(S26*W20,2)</f>
        <v>14521526.4</v>
      </c>
      <c r="T29" s="79">
        <f>SUM(T27:T28)</f>
        <v>14521526.390000001</v>
      </c>
      <c r="U29" s="80">
        <f>SUM(U27:U28)</f>
        <v>54636240.189999998</v>
      </c>
      <c r="V29" s="81" t="s">
        <v>45</v>
      </c>
      <c r="W29" s="5"/>
      <c r="X29" s="5"/>
      <c r="Y29" s="5"/>
    </row>
    <row r="30" spans="1:25" ht="18.600000000000001" customHeight="1">
      <c r="A30" s="1"/>
      <c r="B30" s="1"/>
      <c r="C30" s="11"/>
      <c r="D30" s="2"/>
      <c r="E30" s="2"/>
      <c r="F30" s="2"/>
      <c r="G30" s="2"/>
      <c r="H30" s="17"/>
      <c r="I30" s="49"/>
      <c r="J30" s="13"/>
      <c r="K30" s="13"/>
      <c r="L30" s="13"/>
      <c r="M30" s="13"/>
      <c r="N30" s="13"/>
      <c r="O30" s="1"/>
      <c r="P30" s="5"/>
      <c r="Q30" s="5"/>
      <c r="R30" s="57"/>
      <c r="S30" s="57"/>
      <c r="T30" s="57"/>
      <c r="U30" s="57"/>
      <c r="V30" s="5"/>
      <c r="W30" s="82"/>
      <c r="X30" s="5"/>
      <c r="Y30" s="5"/>
    </row>
    <row r="31" spans="1:25" ht="26.25" customHeight="1">
      <c r="A31" s="1"/>
      <c r="B31" s="1"/>
      <c r="C31" s="11"/>
      <c r="D31" s="2"/>
      <c r="E31" s="2"/>
      <c r="F31" s="2"/>
      <c r="G31" s="2"/>
      <c r="H31" s="2"/>
      <c r="I31" s="49"/>
      <c r="J31" s="13"/>
      <c r="K31" s="13"/>
      <c r="L31" s="13"/>
      <c r="M31" s="13"/>
      <c r="N31" s="13"/>
      <c r="O31" s="1"/>
      <c r="P31" s="57"/>
      <c r="Q31" s="83" t="s">
        <v>46</v>
      </c>
      <c r="R31" s="5"/>
      <c r="S31" s="5"/>
      <c r="T31" s="5"/>
      <c r="U31" s="5"/>
      <c r="V31" s="5"/>
      <c r="W31" s="82"/>
      <c r="X31" s="82"/>
      <c r="Y31" s="5"/>
    </row>
    <row r="32" spans="1:25" ht="18.600000000000001" customHeight="1">
      <c r="A32" s="1"/>
      <c r="B32" s="1"/>
      <c r="C32" s="11"/>
      <c r="D32" s="17"/>
      <c r="E32" s="17"/>
      <c r="F32" s="49"/>
      <c r="G32" s="2"/>
      <c r="H32" s="49"/>
      <c r="I32" s="17"/>
      <c r="J32" s="13"/>
      <c r="K32" s="13"/>
      <c r="L32" s="13"/>
      <c r="M32" s="13"/>
      <c r="N32" s="13"/>
      <c r="O32" s="1"/>
      <c r="P32" s="5"/>
      <c r="Q32" s="5"/>
      <c r="R32" s="5"/>
      <c r="S32" s="5"/>
      <c r="T32" s="5"/>
      <c r="U32" s="5"/>
      <c r="V32" s="5"/>
      <c r="W32" s="82"/>
      <c r="X32" s="82"/>
      <c r="Y32" s="5"/>
    </row>
    <row r="33" spans="1:33" ht="36.75" hidden="1" customHeight="1" outlineLevel="1">
      <c r="A33" s="1"/>
      <c r="B33" s="1"/>
      <c r="C33" s="11"/>
      <c r="D33" s="286" t="s">
        <v>47</v>
      </c>
      <c r="E33" s="286"/>
      <c r="F33" s="286"/>
      <c r="G33" s="286"/>
      <c r="H33" s="286"/>
      <c r="I33" s="286"/>
      <c r="J33" s="286"/>
      <c r="K33" s="286"/>
      <c r="L33" s="286"/>
      <c r="M33" s="286"/>
      <c r="N33" s="286"/>
      <c r="O33" s="1"/>
      <c r="P33" s="5"/>
      <c r="Q33" s="5"/>
      <c r="R33" s="5"/>
      <c r="S33" s="5"/>
      <c r="T33" s="5"/>
      <c r="U33" s="5"/>
      <c r="V33" s="5"/>
      <c r="W33" s="82"/>
      <c r="X33" s="82"/>
      <c r="Y33" s="85"/>
      <c r="AD33" s="6" t="s">
        <v>48</v>
      </c>
    </row>
    <row r="34" spans="1:33" ht="64.5" hidden="1" customHeight="1" outlineLevel="1">
      <c r="A34" s="1"/>
      <c r="B34" s="1"/>
      <c r="C34" s="11"/>
      <c r="D34" s="273" t="s">
        <v>49</v>
      </c>
      <c r="E34" s="273"/>
      <c r="F34" s="273"/>
      <c r="G34" s="1"/>
      <c r="H34" s="1"/>
      <c r="I34" s="1"/>
      <c r="J34" s="1"/>
      <c r="K34" s="4"/>
      <c r="L34" s="4"/>
      <c r="M34" s="4"/>
      <c r="N34" s="4"/>
      <c r="O34" s="1"/>
      <c r="P34" s="5"/>
      <c r="Q34" s="5"/>
      <c r="R34" s="5"/>
      <c r="S34" s="5"/>
      <c r="T34" s="5"/>
      <c r="U34" s="5"/>
      <c r="V34" s="5"/>
      <c r="W34" s="82"/>
      <c r="X34" s="82"/>
      <c r="Y34" s="5"/>
      <c r="AC34" s="6" t="str">
        <f>INDEX([1]GILBERTO!A3:A14,MATCH(AD35,[1]GILBERTO!$B$3:$B$14,0))</f>
        <v>f</v>
      </c>
      <c r="AD34" s="6" t="str">
        <f>LEFT(MID(D43,FIND("Data: ",D43)+6,50),FIND("/",MID(D43,FIND("Data: ",D43)+6,50))-1)</f>
        <v>Junho</v>
      </c>
      <c r="AE34" s="6" t="str">
        <f>RIGHT(D43,LEN(D43)-FIND("/",D43))</f>
        <v>2020</v>
      </c>
      <c r="AG34" s="6">
        <f>HLOOKUP(AF35,[1]GILBERTO!$D$1:$BK$2,2,0)</f>
        <v>60</v>
      </c>
    </row>
    <row r="35" spans="1:33" ht="48.75" hidden="1" customHeight="1" outlineLevel="1">
      <c r="A35" s="1"/>
      <c r="B35" s="1"/>
      <c r="C35" s="11"/>
      <c r="D35" s="287" t="s">
        <v>50</v>
      </c>
      <c r="E35" s="287"/>
      <c r="F35" s="87" t="s">
        <v>51</v>
      </c>
      <c r="G35" s="87" t="s">
        <v>52</v>
      </c>
      <c r="H35" s="87" t="s">
        <v>53</v>
      </c>
      <c r="I35" s="87" t="s">
        <v>54</v>
      </c>
      <c r="J35" s="87" t="s">
        <v>55</v>
      </c>
      <c r="K35" s="4"/>
      <c r="L35" s="4"/>
      <c r="M35" s="4"/>
      <c r="N35" s="4"/>
      <c r="O35" s="1"/>
      <c r="P35" s="5"/>
      <c r="Q35" s="5"/>
      <c r="R35" s="5"/>
      <c r="S35" s="5"/>
      <c r="T35" s="5"/>
      <c r="U35" s="5"/>
      <c r="V35" s="5"/>
      <c r="W35" s="82"/>
      <c r="X35" s="82"/>
      <c r="Y35" s="5"/>
      <c r="AC35" s="6" t="str">
        <f>TEXT(AC34,"")</f>
        <v>f</v>
      </c>
      <c r="AD35" s="6" t="str">
        <f>MID(D43, FIND("Data: ", D43) + 6, FIND("/", D43) - (FIND("Data: ", D43) + 6))</f>
        <v>Junho</v>
      </c>
      <c r="AF35" s="6">
        <f>VALUE(AE34)</f>
        <v>2020</v>
      </c>
    </row>
    <row r="36" spans="1:33" ht="23.25" hidden="1" outlineLevel="1">
      <c r="A36" s="1"/>
      <c r="B36" s="1"/>
      <c r="C36" s="11"/>
      <c r="D36" s="263" t="s">
        <v>56</v>
      </c>
      <c r="E36" s="263"/>
      <c r="F36" s="88">
        <v>159295.76999999999</v>
      </c>
      <c r="G36" s="89">
        <v>1.0851789000000001</v>
      </c>
      <c r="H36" s="90">
        <f>F36*G36-0.12</f>
        <v>172864.288463253</v>
      </c>
      <c r="I36" s="90">
        <v>216241.28</v>
      </c>
      <c r="J36" s="91">
        <v>0</v>
      </c>
      <c r="K36" s="1"/>
      <c r="L36" s="13"/>
      <c r="M36" s="4"/>
      <c r="N36" s="4"/>
      <c r="O36" s="1"/>
      <c r="P36" s="5"/>
      <c r="Q36" s="5"/>
      <c r="R36" s="5"/>
      <c r="S36" s="5"/>
      <c r="T36" s="5"/>
      <c r="U36" s="5"/>
      <c r="V36" s="5"/>
      <c r="W36" s="82"/>
      <c r="X36" s="82"/>
      <c r="Y36" s="5"/>
    </row>
    <row r="37" spans="1:33" ht="23.25" hidden="1" outlineLevel="1">
      <c r="A37" s="1"/>
      <c r="B37" s="1"/>
      <c r="C37" s="11"/>
      <c r="D37" s="272" t="s">
        <v>57</v>
      </c>
      <c r="E37" s="272"/>
      <c r="F37" s="92">
        <f>H36</f>
        <v>172864.288463253</v>
      </c>
      <c r="G37" s="1"/>
      <c r="H37" s="1"/>
      <c r="I37" s="1"/>
      <c r="J37" s="1"/>
      <c r="K37" s="1"/>
      <c r="L37" s="13"/>
      <c r="M37" s="4"/>
      <c r="N37" s="4"/>
      <c r="O37" s="1"/>
      <c r="P37" s="5"/>
      <c r="Q37" s="5"/>
      <c r="R37" s="5"/>
      <c r="S37" s="5"/>
      <c r="T37" s="5"/>
      <c r="U37" s="5"/>
      <c r="V37" s="5"/>
      <c r="W37" s="82"/>
      <c r="X37" s="82"/>
      <c r="Y37" s="5"/>
    </row>
    <row r="38" spans="1:33" ht="23.25" hidden="1" outlineLevel="1">
      <c r="A38" s="1"/>
      <c r="B38" s="1"/>
      <c r="C38" s="11"/>
      <c r="D38" s="272" t="s">
        <v>58</v>
      </c>
      <c r="E38" s="272"/>
      <c r="F38" s="92">
        <f>I36</f>
        <v>216241.28</v>
      </c>
      <c r="G38" s="93"/>
      <c r="H38" s="1"/>
      <c r="I38" s="1"/>
      <c r="J38" s="1"/>
      <c r="K38" s="1"/>
      <c r="L38" s="13"/>
      <c r="M38" s="4"/>
      <c r="N38" s="4"/>
      <c r="O38" s="1"/>
      <c r="P38" s="5"/>
      <c r="Q38" s="5"/>
      <c r="R38" s="5"/>
      <c r="S38" s="5"/>
      <c r="T38" s="5"/>
      <c r="U38" s="5"/>
      <c r="V38" s="5"/>
      <c r="W38" s="82"/>
      <c r="X38" s="82"/>
      <c r="Y38" s="5"/>
    </row>
    <row r="39" spans="1:33" ht="23.25" hidden="1" outlineLevel="1">
      <c r="A39" s="1"/>
      <c r="B39" s="1"/>
      <c r="C39" s="11"/>
      <c r="D39" s="272" t="s">
        <v>59</v>
      </c>
      <c r="E39" s="272"/>
      <c r="F39" s="92">
        <f>H36*J36+I36*J36</f>
        <v>0</v>
      </c>
      <c r="G39" s="93"/>
      <c r="H39" s="1"/>
      <c r="I39" s="1"/>
      <c r="J39" s="1"/>
      <c r="K39" s="1"/>
      <c r="L39" s="13"/>
      <c r="M39" s="4"/>
      <c r="N39" s="4"/>
      <c r="O39" s="1"/>
      <c r="P39" s="5"/>
      <c r="Q39" s="5"/>
      <c r="R39" s="94"/>
      <c r="S39" s="95"/>
      <c r="T39" s="94"/>
      <c r="U39" s="95"/>
      <c r="V39" s="82"/>
      <c r="W39" s="82"/>
      <c r="X39" s="82"/>
      <c r="Y39" s="5"/>
    </row>
    <row r="40" spans="1:33" ht="23.25" hidden="1" outlineLevel="1">
      <c r="A40" s="1"/>
      <c r="B40" s="1"/>
      <c r="C40" s="11"/>
      <c r="D40" s="272" t="s">
        <v>60</v>
      </c>
      <c r="E40" s="272"/>
      <c r="F40" s="92">
        <f>SUM(F37:F39)</f>
        <v>389105.56846325297</v>
      </c>
      <c r="G40" s="1"/>
      <c r="H40" s="1"/>
      <c r="I40" s="1"/>
      <c r="J40" s="1"/>
      <c r="K40" s="1"/>
      <c r="L40" s="13"/>
      <c r="M40" s="4"/>
      <c r="N40" s="4"/>
      <c r="O40" s="1"/>
      <c r="P40" s="5"/>
      <c r="Q40" s="5"/>
      <c r="R40" s="82"/>
      <c r="S40" s="82"/>
      <c r="T40" s="82"/>
      <c r="U40" s="82"/>
      <c r="V40" s="82"/>
      <c r="W40" s="82"/>
      <c r="X40" s="82"/>
      <c r="Y40" s="5"/>
    </row>
    <row r="41" spans="1:33" ht="30.75" hidden="1" customHeight="1" outlineLevel="1">
      <c r="A41" s="1"/>
      <c r="B41" s="1"/>
      <c r="C41" s="11"/>
      <c r="D41" s="84"/>
      <c r="E41" s="84"/>
      <c r="F41" s="84"/>
      <c r="G41" s="84"/>
      <c r="H41" s="84"/>
      <c r="I41" s="84"/>
      <c r="J41" s="84"/>
      <c r="K41" s="1"/>
      <c r="L41" s="13"/>
      <c r="M41" s="4"/>
      <c r="N41" s="4"/>
      <c r="O41" s="1"/>
      <c r="P41" s="5"/>
      <c r="Q41" s="5"/>
      <c r="R41" s="82"/>
      <c r="S41" s="82"/>
      <c r="T41" s="82"/>
      <c r="U41" s="82"/>
      <c r="V41" s="82"/>
      <c r="W41" s="82"/>
      <c r="X41" s="82"/>
      <c r="Y41" s="5"/>
    </row>
    <row r="42" spans="1:33" ht="30.75" hidden="1" customHeight="1" outlineLevel="1">
      <c r="A42" s="1"/>
      <c r="B42" s="1"/>
      <c r="C42" s="11"/>
      <c r="D42" s="273" t="s">
        <v>61</v>
      </c>
      <c r="E42" s="273"/>
      <c r="F42" s="273"/>
      <c r="G42" s="1"/>
      <c r="H42" s="1"/>
      <c r="I42" s="1"/>
      <c r="J42" s="1"/>
      <c r="K42" s="1"/>
      <c r="L42" s="13"/>
      <c r="M42" s="4"/>
      <c r="N42" s="4"/>
      <c r="O42" s="1"/>
      <c r="P42" s="5"/>
      <c r="Q42" s="5"/>
      <c r="R42" s="82"/>
      <c r="S42" s="82"/>
      <c r="T42" s="82"/>
      <c r="U42" s="82"/>
      <c r="V42" s="82"/>
      <c r="W42" s="82"/>
      <c r="X42" s="82"/>
      <c r="Y42" s="5"/>
    </row>
    <row r="43" spans="1:33" ht="68.25" hidden="1" customHeight="1" outlineLevel="1">
      <c r="A43" s="1"/>
      <c r="B43" s="1"/>
      <c r="C43" s="11"/>
      <c r="D43" s="281" t="s">
        <v>62</v>
      </c>
      <c r="E43" s="281"/>
      <c r="F43" s="86" t="s">
        <v>63</v>
      </c>
      <c r="G43" s="1"/>
      <c r="H43" s="1"/>
      <c r="I43" s="1"/>
      <c r="J43" s="1"/>
      <c r="K43" s="1"/>
      <c r="L43" s="13"/>
      <c r="M43" s="4"/>
      <c r="N43" s="4"/>
      <c r="O43" s="1"/>
      <c r="P43" s="5"/>
      <c r="Q43" s="5"/>
      <c r="R43" s="82"/>
      <c r="S43" s="82"/>
      <c r="T43" s="82"/>
      <c r="U43" s="82"/>
      <c r="V43" s="82"/>
      <c r="W43" s="82"/>
      <c r="X43" s="82"/>
      <c r="Y43" s="5"/>
    </row>
    <row r="44" spans="1:33" ht="23.25" hidden="1" outlineLevel="1">
      <c r="A44" s="1"/>
      <c r="B44" s="1"/>
      <c r="C44" s="11"/>
      <c r="D44" s="263" t="s">
        <v>27</v>
      </c>
      <c r="E44" s="263"/>
      <c r="F44" s="96">
        <f>IF($R$6="Não",0,F37*G47)</f>
        <v>0</v>
      </c>
      <c r="G44" s="93"/>
      <c r="H44" s="1"/>
      <c r="I44" s="1"/>
      <c r="J44" s="1"/>
      <c r="K44" s="1"/>
      <c r="L44" s="13"/>
      <c r="M44" s="4"/>
      <c r="N44" s="4"/>
      <c r="O44" s="1"/>
      <c r="P44" s="5"/>
      <c r="Q44" s="5"/>
      <c r="R44" s="82"/>
      <c r="S44" s="82"/>
      <c r="T44" s="82"/>
      <c r="U44" s="82"/>
      <c r="V44" s="82"/>
      <c r="W44" s="82"/>
      <c r="X44" s="82"/>
      <c r="Y44" s="5"/>
    </row>
    <row r="45" spans="1:33" ht="23.25" hidden="1" outlineLevel="1">
      <c r="A45" s="1"/>
      <c r="B45" s="1"/>
      <c r="C45" s="11"/>
      <c r="D45" s="263" t="s">
        <v>30</v>
      </c>
      <c r="E45" s="263"/>
      <c r="F45" s="96">
        <f>IF($R$6="Não",0,F38*G47)</f>
        <v>0</v>
      </c>
      <c r="G45" s="1"/>
      <c r="H45" s="1"/>
      <c r="I45" s="1"/>
      <c r="J45" s="1"/>
      <c r="K45" s="1"/>
      <c r="L45" s="13"/>
      <c r="M45" s="4"/>
      <c r="N45" s="4"/>
      <c r="O45" s="1"/>
      <c r="P45" s="5"/>
      <c r="Q45" s="5"/>
      <c r="R45" s="82"/>
      <c r="S45" s="82"/>
      <c r="T45" s="82"/>
      <c r="U45" s="82"/>
      <c r="V45" s="82"/>
      <c r="W45" s="82"/>
      <c r="X45" s="82"/>
      <c r="Y45" s="5"/>
    </row>
    <row r="46" spans="1:33" ht="23.25" hidden="1" outlineLevel="1">
      <c r="A46" s="1"/>
      <c r="B46" s="1"/>
      <c r="C46" s="11"/>
      <c r="D46" s="263" t="s">
        <v>35</v>
      </c>
      <c r="E46" s="263"/>
      <c r="F46" s="96">
        <f>IF($R$6="Não",0,F39*G47)</f>
        <v>0</v>
      </c>
      <c r="G46" s="1"/>
      <c r="H46" s="1"/>
      <c r="I46" s="1"/>
      <c r="J46" s="1"/>
      <c r="K46" s="1"/>
      <c r="L46" s="13"/>
      <c r="M46" s="4"/>
      <c r="N46" s="4"/>
      <c r="O46" s="1"/>
      <c r="P46" s="5"/>
      <c r="Q46" s="5"/>
      <c r="R46" s="82"/>
      <c r="S46" s="82"/>
      <c r="T46" s="82"/>
      <c r="U46" s="82"/>
      <c r="V46" s="82"/>
      <c r="W46" s="82"/>
      <c r="X46" s="82"/>
      <c r="Y46" s="5"/>
    </row>
    <row r="47" spans="1:33" ht="23.25" hidden="1" outlineLevel="1">
      <c r="A47" s="1"/>
      <c r="B47" s="1"/>
      <c r="C47" s="11"/>
      <c r="D47" s="272" t="s">
        <v>60</v>
      </c>
      <c r="E47" s="272"/>
      <c r="F47" s="97">
        <v>0</v>
      </c>
      <c r="G47" s="98">
        <f>F47/F40</f>
        <v>0</v>
      </c>
      <c r="H47" s="1"/>
      <c r="I47" s="1"/>
      <c r="J47" s="1"/>
      <c r="K47" s="1"/>
      <c r="L47" s="13"/>
      <c r="M47" s="4"/>
      <c r="N47" s="4"/>
      <c r="O47" s="1"/>
      <c r="P47" s="5"/>
      <c r="Q47" s="5"/>
      <c r="R47" s="82"/>
      <c r="S47" s="82"/>
      <c r="T47" s="82"/>
      <c r="U47" s="82"/>
      <c r="V47" s="82"/>
      <c r="W47" s="82"/>
      <c r="X47" s="82"/>
      <c r="Y47" s="5"/>
    </row>
    <row r="48" spans="1:33" ht="40.5" hidden="1" customHeight="1" outlineLevel="1">
      <c r="A48" s="1"/>
      <c r="B48" s="1"/>
      <c r="C48" s="11"/>
      <c r="D48" s="1"/>
      <c r="E48" s="1"/>
      <c r="F48" s="1"/>
      <c r="G48" s="1"/>
      <c r="H48" s="1"/>
      <c r="I48" s="1"/>
      <c r="J48" s="1"/>
      <c r="K48" s="1"/>
      <c r="L48" s="13"/>
      <c r="M48" s="4"/>
      <c r="N48" s="4"/>
      <c r="O48" s="1"/>
      <c r="P48" s="5"/>
      <c r="Q48" s="5"/>
      <c r="R48" s="82"/>
      <c r="S48" s="82"/>
      <c r="T48" s="82"/>
      <c r="U48" s="82"/>
      <c r="V48" s="82"/>
      <c r="W48" s="82"/>
      <c r="X48" s="82"/>
      <c r="Y48" s="5"/>
    </row>
    <row r="49" spans="1:25" ht="23.25" hidden="1" outlineLevel="1">
      <c r="A49" s="1"/>
      <c r="B49" s="1"/>
      <c r="C49" s="11"/>
      <c r="D49" s="273" t="s">
        <v>64</v>
      </c>
      <c r="E49" s="273"/>
      <c r="F49" s="273"/>
      <c r="G49" s="1"/>
      <c r="H49" s="1"/>
      <c r="I49" s="1"/>
      <c r="J49" s="1"/>
      <c r="K49" s="1"/>
      <c r="L49" s="13"/>
      <c r="M49" s="4"/>
      <c r="N49" s="4"/>
      <c r="O49" s="1"/>
      <c r="P49" s="5"/>
      <c r="Q49" s="5"/>
      <c r="R49" s="82"/>
      <c r="S49" s="82"/>
      <c r="T49" s="82"/>
      <c r="U49" s="82"/>
      <c r="V49" s="82"/>
      <c r="W49" s="82"/>
      <c r="X49" s="82"/>
      <c r="Y49" s="5"/>
    </row>
    <row r="50" spans="1:25" ht="46.5" hidden="1" outlineLevel="1">
      <c r="A50" s="1"/>
      <c r="B50" s="1"/>
      <c r="C50" s="11"/>
      <c r="D50" s="274"/>
      <c r="E50" s="275"/>
      <c r="F50" s="99" t="s">
        <v>65</v>
      </c>
      <c r="G50" s="100" t="s">
        <v>66</v>
      </c>
      <c r="H50" s="87" t="s">
        <v>53</v>
      </c>
      <c r="I50" s="1"/>
      <c r="J50" s="1"/>
      <c r="K50" s="1"/>
      <c r="L50" s="13"/>
      <c r="M50" s="4"/>
      <c r="N50" s="4"/>
      <c r="O50" s="1"/>
      <c r="P50" s="5"/>
      <c r="Q50" s="5"/>
      <c r="R50" s="82"/>
      <c r="S50" s="82"/>
      <c r="T50" s="82"/>
      <c r="U50" s="82"/>
      <c r="V50" s="82"/>
      <c r="W50" s="82"/>
      <c r="X50" s="82"/>
      <c r="Y50" s="5"/>
    </row>
    <row r="51" spans="1:25" ht="23.25" hidden="1" outlineLevel="1">
      <c r="A51" s="1"/>
      <c r="B51" s="1"/>
      <c r="C51" s="11"/>
      <c r="D51" s="263" t="s">
        <v>27</v>
      </c>
      <c r="E51" s="263"/>
      <c r="F51" s="96">
        <f>F44</f>
        <v>0</v>
      </c>
      <c r="G51" s="101">
        <f>IFERROR(VLOOKUP($AC$35,[1]GILBERTO!$A:$BK,$AG$34), 1)</f>
        <v>1.1380711999999999</v>
      </c>
      <c r="H51" s="102">
        <f>F51*G51</f>
        <v>0</v>
      </c>
      <c r="I51" s="1"/>
      <c r="J51" s="1"/>
      <c r="K51" s="1"/>
      <c r="L51" s="13"/>
      <c r="M51" s="4"/>
      <c r="N51" s="4"/>
      <c r="O51" s="1"/>
      <c r="P51" s="5"/>
      <c r="Q51" s="5"/>
      <c r="R51" s="82"/>
      <c r="S51" s="82"/>
      <c r="T51" s="82"/>
      <c r="U51" s="82"/>
      <c r="V51" s="82"/>
      <c r="W51" s="82"/>
      <c r="X51" s="82"/>
      <c r="Y51" s="5"/>
    </row>
    <row r="52" spans="1:25" ht="23.25" hidden="1" outlineLevel="1">
      <c r="A52" s="1"/>
      <c r="B52" s="1"/>
      <c r="C52" s="11"/>
      <c r="D52" s="263" t="s">
        <v>30</v>
      </c>
      <c r="E52" s="263"/>
      <c r="F52" s="96">
        <f>F45</f>
        <v>0</v>
      </c>
      <c r="G52" s="101">
        <f>IFERROR(VLOOKUP($AC$35,[1]GILBERTO!$A:$BK,$AG$34), 1)</f>
        <v>1.1380711999999999</v>
      </c>
      <c r="H52" s="102">
        <f>F52*G52</f>
        <v>0</v>
      </c>
      <c r="I52" s="1"/>
      <c r="J52" s="1"/>
      <c r="K52" s="1"/>
      <c r="L52" s="13"/>
      <c r="M52" s="4"/>
      <c r="N52" s="4"/>
      <c r="O52" s="1"/>
      <c r="P52" s="5"/>
      <c r="Q52" s="5"/>
      <c r="R52" s="82"/>
      <c r="S52" s="82"/>
      <c r="T52" s="82"/>
      <c r="U52" s="82"/>
      <c r="V52" s="82"/>
      <c r="W52" s="82"/>
      <c r="X52" s="82"/>
      <c r="Y52" s="5"/>
    </row>
    <row r="53" spans="1:25" ht="23.25" hidden="1" outlineLevel="1">
      <c r="A53" s="1"/>
      <c r="B53" s="1"/>
      <c r="C53" s="11"/>
      <c r="D53" s="262" t="s">
        <v>67</v>
      </c>
      <c r="E53" s="262"/>
      <c r="F53" s="92">
        <f>SUM(F51:F52)</f>
        <v>0</v>
      </c>
      <c r="G53" s="92" t="s">
        <v>28</v>
      </c>
      <c r="H53" s="92">
        <f>SUM(H51:H52)</f>
        <v>0</v>
      </c>
      <c r="I53" s="1"/>
      <c r="J53" s="1"/>
      <c r="K53" s="1"/>
      <c r="L53" s="13"/>
      <c r="M53" s="4"/>
      <c r="N53" s="4"/>
      <c r="O53" s="1"/>
      <c r="P53" s="5"/>
      <c r="Q53" s="5"/>
      <c r="R53" s="82"/>
      <c r="S53" s="82"/>
      <c r="T53" s="82"/>
      <c r="U53" s="82"/>
      <c r="V53" s="82"/>
      <c r="W53" s="82"/>
      <c r="X53" s="82"/>
      <c r="Y53" s="5"/>
    </row>
    <row r="54" spans="1:25" ht="23.25" hidden="1" outlineLevel="1">
      <c r="A54" s="1"/>
      <c r="B54" s="1"/>
      <c r="C54" s="11"/>
      <c r="D54" s="263" t="s">
        <v>68</v>
      </c>
      <c r="E54" s="263"/>
      <c r="F54" s="103" t="e">
        <f>SUM('[1]Juros '!W5:W690)</f>
        <v>#REF!</v>
      </c>
      <c r="G54" s="1"/>
      <c r="H54" s="1"/>
      <c r="I54" s="1"/>
      <c r="J54" s="1"/>
      <c r="K54" s="1"/>
      <c r="L54" s="13"/>
      <c r="M54" s="4"/>
      <c r="N54" s="4"/>
      <c r="O54" s="1"/>
      <c r="P54" s="5"/>
      <c r="Q54" s="5"/>
      <c r="R54" s="82"/>
      <c r="S54" s="82"/>
      <c r="T54" s="82"/>
      <c r="U54" s="82"/>
      <c r="V54" s="82"/>
      <c r="W54" s="82"/>
      <c r="X54" s="82"/>
      <c r="Y54" s="5"/>
    </row>
    <row r="55" spans="1:25" ht="30.75" hidden="1" customHeight="1" outlineLevel="1">
      <c r="A55" s="1"/>
      <c r="B55" s="1"/>
      <c r="C55" s="11"/>
      <c r="D55" s="262" t="s">
        <v>69</v>
      </c>
      <c r="E55" s="262"/>
      <c r="F55" s="92">
        <f>H51</f>
        <v>0</v>
      </c>
      <c r="G55" s="1"/>
      <c r="H55" s="1"/>
      <c r="I55" s="1"/>
      <c r="J55" s="1"/>
      <c r="K55" s="1"/>
      <c r="L55" s="13"/>
      <c r="M55" s="4"/>
      <c r="N55" s="4"/>
      <c r="O55" s="1"/>
      <c r="P55" s="5"/>
      <c r="Q55" s="5"/>
      <c r="R55" s="94"/>
      <c r="S55" s="82"/>
      <c r="T55" s="82"/>
      <c r="U55" s="82"/>
      <c r="V55" s="82"/>
      <c r="W55" s="82"/>
      <c r="X55" s="82"/>
      <c r="Y55" s="5"/>
    </row>
    <row r="56" spans="1:25" ht="33" hidden="1" customHeight="1" outlineLevel="1">
      <c r="A56" s="1"/>
      <c r="B56" s="1"/>
      <c r="C56" s="11"/>
      <c r="D56" s="262" t="s">
        <v>70</v>
      </c>
      <c r="E56" s="262"/>
      <c r="F56" s="92" t="e">
        <f>H52+H51*F54</f>
        <v>#REF!</v>
      </c>
      <c r="G56" s="1"/>
      <c r="H56" s="1"/>
      <c r="I56" s="1"/>
      <c r="J56" s="1"/>
      <c r="K56" s="1"/>
      <c r="L56" s="13"/>
      <c r="M56" s="4"/>
      <c r="N56" s="4"/>
      <c r="O56" s="1"/>
      <c r="P56" s="5"/>
      <c r="Q56" s="5"/>
      <c r="R56" s="94"/>
      <c r="S56" s="82"/>
      <c r="T56" s="82"/>
      <c r="U56" s="82"/>
      <c r="V56" s="82"/>
      <c r="W56" s="82"/>
      <c r="X56" s="82"/>
      <c r="Y56" s="5"/>
    </row>
    <row r="57" spans="1:25" ht="33.75" hidden="1" customHeight="1" outlineLevel="1">
      <c r="A57" s="1"/>
      <c r="B57" s="1"/>
      <c r="C57" s="11"/>
      <c r="D57" s="263" t="s">
        <v>71</v>
      </c>
      <c r="E57" s="263"/>
      <c r="F57" s="104">
        <f>J36</f>
        <v>0</v>
      </c>
      <c r="G57" s="105"/>
      <c r="H57" s="93"/>
      <c r="I57" s="1"/>
      <c r="J57" s="1"/>
      <c r="K57" s="1"/>
      <c r="L57" s="13"/>
      <c r="M57" s="4"/>
      <c r="N57" s="4"/>
      <c r="O57" s="1"/>
      <c r="P57" s="5"/>
      <c r="Q57" s="5"/>
      <c r="R57" s="94"/>
      <c r="S57" s="82"/>
      <c r="T57" s="82"/>
      <c r="U57" s="82"/>
      <c r="V57" s="82"/>
      <c r="W57" s="82"/>
      <c r="X57" s="82"/>
      <c r="Y57" s="5"/>
    </row>
    <row r="58" spans="1:25" ht="23.25" hidden="1" outlineLevel="1">
      <c r="A58" s="1"/>
      <c r="B58" s="1"/>
      <c r="C58" s="11"/>
      <c r="D58" s="263" t="s">
        <v>72</v>
      </c>
      <c r="E58" s="263"/>
      <c r="F58" s="91">
        <f>K18</f>
        <v>0.36200000000000004</v>
      </c>
      <c r="G58" s="105"/>
      <c r="H58" s="1"/>
      <c r="I58" s="1"/>
      <c r="J58" s="1"/>
      <c r="K58" s="1"/>
      <c r="L58" s="13"/>
      <c r="M58" s="4"/>
      <c r="N58" s="4"/>
      <c r="O58" s="1"/>
      <c r="P58" s="5"/>
      <c r="Q58" s="5"/>
      <c r="R58" s="94"/>
      <c r="S58" s="82"/>
      <c r="T58" s="82"/>
      <c r="U58" s="82"/>
      <c r="V58" s="82"/>
      <c r="W58" s="82"/>
      <c r="X58" s="82"/>
      <c r="Y58" s="5"/>
    </row>
    <row r="59" spans="1:25" ht="26.25" hidden="1" customHeight="1" outlineLevel="1">
      <c r="A59" s="1"/>
      <c r="B59" s="1"/>
      <c r="C59" s="11"/>
      <c r="D59" s="267" t="s">
        <v>73</v>
      </c>
      <c r="E59" s="268"/>
      <c r="F59" s="106">
        <f>SUM(F57:F58)</f>
        <v>0.36200000000000004</v>
      </c>
      <c r="G59" s="107" t="e">
        <f>F55*F59+(F56*F59)</f>
        <v>#REF!</v>
      </c>
      <c r="H59" s="1"/>
      <c r="I59" s="1"/>
      <c r="J59" s="1"/>
      <c r="K59" s="1"/>
      <c r="L59" s="13"/>
      <c r="M59" s="4"/>
      <c r="N59" s="4"/>
      <c r="O59" s="1"/>
      <c r="P59" s="5"/>
      <c r="Q59" s="5"/>
      <c r="R59" s="94"/>
      <c r="S59" s="82"/>
      <c r="T59" s="82"/>
      <c r="U59" s="82"/>
      <c r="V59" s="82"/>
      <c r="W59" s="82"/>
      <c r="X59" s="82"/>
      <c r="Y59" s="5"/>
    </row>
    <row r="60" spans="1:25" ht="33" hidden="1" customHeight="1" outlineLevel="1">
      <c r="A60" s="1"/>
      <c r="B60" s="1"/>
      <c r="C60" s="11"/>
      <c r="D60" s="269" t="str">
        <f ca="1">"TOTAL ATUALIZADO EM "&amp;UPPER(TEXT(TODAY(),"mmmm"))&amp;"/"&amp;YEAR(TODAY())&amp;""</f>
        <v>TOTAL ATUALIZADO EM FEVEREIRO/2025</v>
      </c>
      <c r="E60" s="270"/>
      <c r="F60" s="271"/>
      <c r="G60" s="108">
        <f>IF(R6="Não",0,G59+F56+F55)</f>
        <v>0</v>
      </c>
      <c r="H60" s="1"/>
      <c r="I60" s="1"/>
      <c r="J60" s="1"/>
      <c r="K60" s="1"/>
      <c r="L60" s="13"/>
      <c r="M60" s="4"/>
      <c r="N60" s="4"/>
      <c r="O60" s="1"/>
      <c r="P60" s="5"/>
      <c r="Q60" s="5"/>
      <c r="R60" s="94"/>
      <c r="S60" s="82"/>
      <c r="T60" s="82"/>
      <c r="U60" s="82"/>
      <c r="V60" s="82"/>
      <c r="W60" s="82"/>
      <c r="X60" s="82"/>
      <c r="Y60" s="5"/>
    </row>
    <row r="61" spans="1:25" ht="24.75" hidden="1" customHeight="1" outlineLevel="1">
      <c r="A61" s="1"/>
      <c r="B61" s="1"/>
      <c r="C61" s="11"/>
      <c r="D61" s="1"/>
      <c r="E61" s="1"/>
      <c r="F61" s="1"/>
      <c r="G61" s="1"/>
      <c r="H61" s="1"/>
      <c r="I61" s="1"/>
      <c r="J61" s="1"/>
      <c r="K61" s="1"/>
      <c r="L61" s="13"/>
      <c r="M61" s="4"/>
      <c r="N61" s="4"/>
      <c r="O61" s="1"/>
      <c r="P61" s="5"/>
      <c r="Q61" s="5"/>
      <c r="R61" s="94"/>
      <c r="S61" s="82"/>
      <c r="T61" s="82"/>
      <c r="U61" s="82"/>
      <c r="V61" s="82"/>
      <c r="W61" s="82"/>
      <c r="X61" s="82"/>
      <c r="Y61" s="5"/>
    </row>
    <row r="62" spans="1:25" ht="18.600000000000001" hidden="1" customHeight="1" outlineLevel="1">
      <c r="A62" s="1"/>
      <c r="B62" s="1"/>
      <c r="C62" s="11"/>
      <c r="D62" s="1"/>
      <c r="E62" s="1"/>
      <c r="F62" s="1"/>
      <c r="G62" s="1"/>
      <c r="H62" s="1"/>
      <c r="I62" s="1"/>
      <c r="J62" s="1"/>
      <c r="K62" s="1"/>
      <c r="L62" s="13"/>
      <c r="M62" s="4"/>
      <c r="N62" s="4"/>
      <c r="O62" s="1"/>
      <c r="P62" s="5"/>
      <c r="Q62" s="5"/>
      <c r="R62" s="82"/>
      <c r="S62" s="82"/>
      <c r="T62" s="82"/>
      <c r="U62" s="82"/>
      <c r="V62" s="82"/>
      <c r="W62" s="82"/>
      <c r="X62" s="82"/>
      <c r="Y62" s="5"/>
    </row>
    <row r="63" spans="1:25" ht="28.5" hidden="1" customHeight="1" outlineLevel="1">
      <c r="A63" s="1"/>
      <c r="B63" s="1"/>
      <c r="C63" s="11"/>
      <c r="D63" s="109"/>
      <c r="E63" s="110"/>
      <c r="F63" s="111"/>
      <c r="G63" s="111"/>
      <c r="H63" s="111"/>
      <c r="I63" s="111"/>
      <c r="J63" s="264" t="s">
        <v>74</v>
      </c>
      <c r="K63" s="265"/>
      <c r="L63" s="265"/>
      <c r="M63" s="112" t="str">
        <f ca="1">UPPER(CONCATENATE(TEXT(TODAY(),"mmmm"),"/",TEXT(TODAY(),"aaaa")))</f>
        <v>FEVEREIRO/2025</v>
      </c>
      <c r="N63" s="113">
        <f>N27-G60</f>
        <v>39884455.349999994</v>
      </c>
      <c r="O63" s="1"/>
      <c r="P63" s="5"/>
      <c r="Q63" s="5"/>
      <c r="R63" s="82"/>
      <c r="S63" s="82"/>
      <c r="T63" s="82"/>
      <c r="U63" s="82"/>
      <c r="V63" s="82"/>
      <c r="W63" s="82"/>
      <c r="X63" s="82"/>
      <c r="Y63" s="5"/>
    </row>
    <row r="64" spans="1:25" ht="18.600000000000001" customHeight="1" collapsed="1">
      <c r="A64" s="1"/>
      <c r="B64" s="1"/>
      <c r="C64" s="11"/>
      <c r="D64" s="17"/>
      <c r="E64" s="17"/>
      <c r="F64" s="49"/>
      <c r="G64" s="2"/>
      <c r="H64" s="49"/>
      <c r="I64" s="17"/>
      <c r="J64" s="17"/>
      <c r="K64" s="1"/>
      <c r="L64" s="13"/>
      <c r="M64" s="4"/>
      <c r="N64" s="4"/>
      <c r="O64" s="1"/>
      <c r="P64" s="5"/>
      <c r="Q64" s="5"/>
      <c r="R64" s="5"/>
      <c r="S64" s="82"/>
      <c r="T64" s="82"/>
      <c r="U64" s="82"/>
      <c r="V64" s="82"/>
      <c r="W64" s="82"/>
      <c r="X64" s="82"/>
      <c r="Y64" s="5"/>
    </row>
    <row r="65" spans="1:25" ht="18.600000000000001" customHeight="1">
      <c r="A65" s="1"/>
      <c r="B65" s="1"/>
      <c r="C65" s="11"/>
      <c r="D65" s="17"/>
      <c r="E65" s="17"/>
      <c r="F65" s="49"/>
      <c r="G65" s="2"/>
      <c r="H65" s="49"/>
      <c r="I65" s="17"/>
      <c r="J65" s="17"/>
      <c r="K65" s="1"/>
      <c r="L65" s="13"/>
      <c r="M65" s="4"/>
      <c r="N65" s="4"/>
      <c r="O65" s="1"/>
      <c r="P65" s="5"/>
      <c r="Q65" s="5"/>
      <c r="R65" s="5"/>
      <c r="S65" s="82"/>
      <c r="T65" s="82"/>
      <c r="U65" s="82"/>
      <c r="V65" s="82"/>
      <c r="W65" s="82"/>
      <c r="X65" s="82"/>
      <c r="Y65" s="5"/>
    </row>
    <row r="66" spans="1:25" ht="23.25" hidden="1" outlineLevel="1">
      <c r="A66" s="1"/>
      <c r="B66" s="1"/>
      <c r="C66" s="266" t="s">
        <v>75</v>
      </c>
      <c r="D66" s="266"/>
      <c r="E66" s="266"/>
      <c r="F66" s="266"/>
      <c r="G66" s="266"/>
      <c r="H66" s="266"/>
      <c r="I66" s="266"/>
      <c r="J66" s="266"/>
      <c r="K66" s="266"/>
      <c r="L66" s="266"/>
      <c r="M66" s="266"/>
      <c r="N66" s="266"/>
      <c r="O66" s="1"/>
      <c r="P66" s="5"/>
      <c r="Q66" s="5"/>
      <c r="R66" s="5"/>
      <c r="S66" s="82"/>
      <c r="T66" s="82"/>
      <c r="U66" s="82"/>
      <c r="V66" s="82"/>
      <c r="W66" s="82"/>
      <c r="X66" s="82"/>
      <c r="Y66" s="5"/>
    </row>
    <row r="67" spans="1:25" ht="67.5" hidden="1" outlineLevel="1">
      <c r="A67" s="1"/>
      <c r="B67" s="1"/>
      <c r="C67" s="11"/>
      <c r="D67" s="251" t="s">
        <v>76</v>
      </c>
      <c r="E67" s="252"/>
      <c r="F67" s="114" t="s">
        <v>77</v>
      </c>
      <c r="G67" s="115" t="s">
        <v>78</v>
      </c>
      <c r="H67" s="115" t="s">
        <v>79</v>
      </c>
      <c r="I67" s="115" t="s">
        <v>80</v>
      </c>
      <c r="J67" s="115" t="s">
        <v>81</v>
      </c>
      <c r="K67" s="115" t="s">
        <v>82</v>
      </c>
      <c r="L67" s="115" t="s">
        <v>83</v>
      </c>
      <c r="M67" s="115" t="s">
        <v>84</v>
      </c>
      <c r="N67" s="115" t="s">
        <v>85</v>
      </c>
      <c r="O67" s="1"/>
      <c r="P67" s="5"/>
      <c r="Q67" s="5"/>
      <c r="R67" s="5"/>
      <c r="S67" s="82"/>
      <c r="T67" s="82"/>
      <c r="U67" s="82"/>
      <c r="V67" s="82"/>
      <c r="W67" s="82"/>
      <c r="X67" s="82"/>
      <c r="Y67" s="5"/>
    </row>
    <row r="68" spans="1:25" ht="23.25" hidden="1" outlineLevel="1">
      <c r="A68" s="1"/>
      <c r="B68" s="1"/>
      <c r="C68" s="11"/>
      <c r="D68" s="253"/>
      <c r="E68" s="254"/>
      <c r="F68" s="116"/>
      <c r="G68" s="117">
        <f t="shared" ref="G68:G70" si="0">$L$21*F68</f>
        <v>0</v>
      </c>
      <c r="H68" s="117">
        <f t="shared" ref="H68:H70" si="1">G68*0.26</f>
        <v>0</v>
      </c>
      <c r="I68" s="117">
        <f t="shared" ref="I68:I70" si="2">G68*0.01</f>
        <v>0</v>
      </c>
      <c r="J68" s="117">
        <f t="shared" ref="J68:J70" si="3">$G$60</f>
        <v>0</v>
      </c>
      <c r="K68" s="117">
        <f t="shared" ref="K68:K70" si="4">G68-H68-I68-J68</f>
        <v>0</v>
      </c>
      <c r="L68" s="117">
        <f>F68*$U$95</f>
        <v>0</v>
      </c>
      <c r="M68" s="117">
        <f>F68*$V$111</f>
        <v>0</v>
      </c>
      <c r="N68" s="118">
        <f>$V$107*F68</f>
        <v>0</v>
      </c>
      <c r="O68" s="1"/>
      <c r="P68" s="5"/>
      <c r="Q68" s="5"/>
      <c r="R68" s="5"/>
      <c r="S68" s="82"/>
      <c r="T68" s="82"/>
      <c r="U68" s="82"/>
      <c r="V68" s="82"/>
      <c r="W68" s="82"/>
      <c r="X68" s="82"/>
      <c r="Y68" s="5"/>
    </row>
    <row r="69" spans="1:25" ht="23.25" hidden="1" outlineLevel="1">
      <c r="A69" s="1"/>
      <c r="B69" s="1"/>
      <c r="C69" s="11"/>
      <c r="D69" s="253"/>
      <c r="E69" s="254"/>
      <c r="F69" s="116"/>
      <c r="G69" s="117">
        <f t="shared" si="0"/>
        <v>0</v>
      </c>
      <c r="H69" s="117">
        <f t="shared" si="1"/>
        <v>0</v>
      </c>
      <c r="I69" s="117">
        <f t="shared" si="2"/>
        <v>0</v>
      </c>
      <c r="J69" s="117">
        <f t="shared" si="3"/>
        <v>0</v>
      </c>
      <c r="K69" s="117">
        <f t="shared" si="4"/>
        <v>0</v>
      </c>
      <c r="L69" s="117">
        <f>F69*$U$95</f>
        <v>0</v>
      </c>
      <c r="M69" s="117">
        <f>F69*$V$111</f>
        <v>0</v>
      </c>
      <c r="N69" s="118">
        <f>$V$107*F69</f>
        <v>0</v>
      </c>
      <c r="O69" s="1"/>
      <c r="P69" s="5"/>
      <c r="Q69" s="5"/>
      <c r="R69" s="5"/>
      <c r="S69" s="82"/>
      <c r="T69" s="82"/>
      <c r="U69" s="82"/>
      <c r="V69" s="82"/>
      <c r="W69" s="82"/>
      <c r="X69" s="82"/>
      <c r="Y69" s="5"/>
    </row>
    <row r="70" spans="1:25" ht="23.25" hidden="1" outlineLevel="1">
      <c r="A70" s="1"/>
      <c r="B70" s="1"/>
      <c r="C70" s="11"/>
      <c r="D70" s="253"/>
      <c r="E70" s="254"/>
      <c r="F70" s="116"/>
      <c r="G70" s="117">
        <f t="shared" si="0"/>
        <v>0</v>
      </c>
      <c r="H70" s="117">
        <f t="shared" si="1"/>
        <v>0</v>
      </c>
      <c r="I70" s="117">
        <f t="shared" si="2"/>
        <v>0</v>
      </c>
      <c r="J70" s="117">
        <f t="shared" si="3"/>
        <v>0</v>
      </c>
      <c r="K70" s="117">
        <f t="shared" si="4"/>
        <v>0</v>
      </c>
      <c r="L70" s="117">
        <f>F70*$U$95</f>
        <v>0</v>
      </c>
      <c r="M70" s="117">
        <f>F70*$V$111</f>
        <v>0</v>
      </c>
      <c r="N70" s="118">
        <f>$V$107*F70</f>
        <v>0</v>
      </c>
      <c r="O70" s="1"/>
      <c r="P70" s="5"/>
      <c r="Q70" s="5"/>
      <c r="R70" s="5"/>
      <c r="S70" s="82"/>
      <c r="T70" s="82"/>
      <c r="U70" s="82"/>
      <c r="V70" s="82"/>
      <c r="W70" s="82"/>
      <c r="X70" s="82"/>
      <c r="Y70" s="5"/>
    </row>
    <row r="71" spans="1:25" ht="23.25" hidden="1" outlineLevel="1">
      <c r="A71" s="1"/>
      <c r="B71" s="1"/>
      <c r="C71" s="11"/>
      <c r="D71" s="256" t="s">
        <v>60</v>
      </c>
      <c r="E71" s="257"/>
      <c r="F71" s="119">
        <f t="shared" ref="F71:N71" si="5">SUM(F68:F70)</f>
        <v>0</v>
      </c>
      <c r="G71" s="120">
        <f t="shared" si="5"/>
        <v>0</v>
      </c>
      <c r="H71" s="120">
        <f t="shared" si="5"/>
        <v>0</v>
      </c>
      <c r="I71" s="120">
        <f t="shared" si="5"/>
        <v>0</v>
      </c>
      <c r="J71" s="120">
        <f t="shared" si="5"/>
        <v>0</v>
      </c>
      <c r="K71" s="120">
        <f t="shared" si="5"/>
        <v>0</v>
      </c>
      <c r="L71" s="120">
        <f t="shared" si="5"/>
        <v>0</v>
      </c>
      <c r="M71" s="120">
        <f t="shared" si="5"/>
        <v>0</v>
      </c>
      <c r="N71" s="121">
        <f t="shared" si="5"/>
        <v>0</v>
      </c>
      <c r="O71" s="1"/>
      <c r="P71" s="5"/>
      <c r="Q71" s="5"/>
      <c r="R71" s="5"/>
      <c r="S71" s="82"/>
      <c r="T71" s="82"/>
      <c r="U71" s="82"/>
      <c r="V71" s="82"/>
      <c r="W71" s="82"/>
      <c r="X71" s="82"/>
      <c r="Y71" s="5"/>
    </row>
    <row r="72" spans="1:25" ht="18.600000000000001" hidden="1" customHeight="1" outlineLevel="1">
      <c r="A72" s="1"/>
      <c r="B72" s="1"/>
      <c r="C72" s="11"/>
      <c r="D72" s="17"/>
      <c r="E72" s="17"/>
      <c r="F72" s="49"/>
      <c r="G72" s="2"/>
      <c r="H72" s="49"/>
      <c r="I72" s="17"/>
      <c r="J72" s="17"/>
      <c r="K72" s="1"/>
      <c r="L72" s="13"/>
      <c r="M72" s="4"/>
      <c r="N72" s="4"/>
      <c r="O72" s="1"/>
      <c r="P72" s="5"/>
      <c r="Q72" s="5"/>
      <c r="R72" s="5"/>
      <c r="S72" s="82"/>
      <c r="T72" s="82"/>
      <c r="U72" s="82"/>
      <c r="V72" s="82"/>
      <c r="W72" s="82"/>
      <c r="X72" s="82"/>
      <c r="Y72" s="5"/>
    </row>
    <row r="73" spans="1:25" ht="23.25" collapsed="1">
      <c r="A73" s="1"/>
      <c r="B73" s="1"/>
      <c r="C73" s="11"/>
      <c r="D73" s="17"/>
      <c r="E73" s="17"/>
      <c r="F73" s="49"/>
      <c r="G73" s="2"/>
      <c r="H73" s="49"/>
      <c r="I73" s="17"/>
      <c r="J73" s="17"/>
      <c r="K73" s="1"/>
      <c r="L73" s="13"/>
      <c r="M73" s="4"/>
      <c r="N73" s="4"/>
      <c r="O73" s="1"/>
      <c r="P73" s="5"/>
      <c r="Q73" s="5"/>
      <c r="R73" s="5"/>
      <c r="S73" s="82"/>
      <c r="T73" s="82"/>
      <c r="U73" s="82"/>
      <c r="V73" s="82"/>
      <c r="W73" s="82"/>
      <c r="X73" s="82"/>
      <c r="Y73" s="5"/>
    </row>
    <row r="74" spans="1:25" ht="23.25">
      <c r="A74" s="1"/>
      <c r="B74" s="1"/>
      <c r="C74" s="11"/>
      <c r="D74" s="17"/>
      <c r="E74" s="17"/>
      <c r="F74" s="49"/>
      <c r="G74" s="2"/>
      <c r="H74" s="49"/>
      <c r="I74" s="17"/>
      <c r="J74" s="17"/>
      <c r="K74" s="1"/>
      <c r="L74" s="13"/>
      <c r="M74" s="4"/>
      <c r="N74" s="4"/>
      <c r="O74" s="1"/>
      <c r="P74" s="5"/>
      <c r="Q74" s="5"/>
      <c r="R74" s="258" t="s">
        <v>86</v>
      </c>
      <c r="S74" s="259"/>
      <c r="T74" s="82"/>
      <c r="U74" s="247" t="s">
        <v>87</v>
      </c>
      <c r="V74" s="247"/>
      <c r="W74" s="82"/>
      <c r="X74" s="82"/>
      <c r="Y74" s="5"/>
    </row>
    <row r="75" spans="1:25" ht="23.25">
      <c r="A75" s="1"/>
      <c r="B75" s="1"/>
      <c r="C75" s="11"/>
      <c r="D75" s="17"/>
      <c r="E75" s="17"/>
      <c r="F75" s="49"/>
      <c r="G75" s="2"/>
      <c r="H75" s="49"/>
      <c r="I75" s="17"/>
      <c r="J75" s="17"/>
      <c r="K75" s="1"/>
      <c r="L75" s="13"/>
      <c r="M75" s="4"/>
      <c r="N75" s="4"/>
      <c r="O75" s="1"/>
      <c r="P75" s="5"/>
      <c r="Q75" s="5"/>
      <c r="R75" s="122" t="s">
        <v>88</v>
      </c>
      <c r="S75" s="123">
        <f>S26</f>
        <v>54636240.199999996</v>
      </c>
      <c r="T75" s="82"/>
      <c r="U75" s="124" t="s">
        <v>26</v>
      </c>
      <c r="V75" s="125">
        <v>0.73</v>
      </c>
      <c r="W75" s="82"/>
      <c r="X75" s="82"/>
      <c r="Y75" s="5"/>
    </row>
    <row r="76" spans="1:25" ht="46.5">
      <c r="A76" s="1"/>
      <c r="B76" s="1"/>
      <c r="C76" s="11"/>
      <c r="D76" s="17"/>
      <c r="E76" s="17"/>
      <c r="F76" s="49"/>
      <c r="G76" s="2"/>
      <c r="H76" s="49"/>
      <c r="I76" s="17"/>
      <c r="J76" s="17"/>
      <c r="K76" s="1"/>
      <c r="L76" s="13"/>
      <c r="M76" s="4"/>
      <c r="N76" s="4"/>
      <c r="O76" s="1"/>
      <c r="P76" s="5"/>
      <c r="Q76" s="5"/>
      <c r="R76" s="126" t="s">
        <v>89</v>
      </c>
      <c r="S76" s="127">
        <f>ROUND($S$75*V76,2)</f>
        <v>7649073.6299999999</v>
      </c>
      <c r="T76" s="82"/>
      <c r="U76" s="126" t="s">
        <v>90</v>
      </c>
      <c r="V76" s="128">
        <v>0.14000000000000001</v>
      </c>
      <c r="W76" s="82"/>
      <c r="X76" s="82"/>
      <c r="Y76" s="5"/>
    </row>
    <row r="77" spans="1:25" ht="39.75" customHeight="1">
      <c r="A77" s="1"/>
      <c r="B77" s="1"/>
      <c r="C77" s="11"/>
      <c r="D77" s="17"/>
      <c r="E77" s="17"/>
      <c r="F77" s="49"/>
      <c r="G77" s="2"/>
      <c r="H77" s="49"/>
      <c r="I77" s="17"/>
      <c r="J77" s="17"/>
      <c r="K77" s="1"/>
      <c r="L77" s="13"/>
      <c r="M77" s="4"/>
      <c r="N77" s="4"/>
      <c r="O77" s="1"/>
      <c r="P77" s="5"/>
      <c r="Q77" s="5"/>
      <c r="R77" s="129" t="s">
        <v>91</v>
      </c>
      <c r="S77" s="130">
        <f>ROUND(S75*V77,2)</f>
        <v>1092724.8</v>
      </c>
      <c r="T77" s="82"/>
      <c r="U77" s="129" t="s">
        <v>92</v>
      </c>
      <c r="V77" s="131">
        <v>0.02</v>
      </c>
      <c r="W77" s="82"/>
      <c r="X77" s="82"/>
      <c r="Y77" s="5"/>
    </row>
    <row r="78" spans="1:25" ht="46.5">
      <c r="A78" s="1"/>
      <c r="B78" s="1"/>
      <c r="C78" s="11"/>
      <c r="D78" s="17"/>
      <c r="E78" s="17"/>
      <c r="F78" s="49"/>
      <c r="G78" s="2"/>
      <c r="H78" s="49"/>
      <c r="I78" s="17"/>
      <c r="J78" s="17"/>
      <c r="K78" s="1"/>
      <c r="L78" s="13"/>
      <c r="M78" s="4"/>
      <c r="N78" s="4"/>
      <c r="O78" s="1"/>
      <c r="P78" s="5"/>
      <c r="Q78" s="5"/>
      <c r="R78" s="132" t="s">
        <v>93</v>
      </c>
      <c r="S78" s="133">
        <f>ROUND($S$75*V78,2)</f>
        <v>728483.2</v>
      </c>
      <c r="T78" s="82"/>
      <c r="U78" s="132" t="s">
        <v>94</v>
      </c>
      <c r="V78" s="134">
        <f>1/3*4%</f>
        <v>1.3333333333333332E-2</v>
      </c>
      <c r="W78" s="82"/>
      <c r="X78" s="82"/>
      <c r="Y78" s="5"/>
    </row>
    <row r="79" spans="1:25" ht="46.5">
      <c r="A79" s="1"/>
      <c r="B79" s="1"/>
      <c r="C79" s="11"/>
      <c r="D79" s="17"/>
      <c r="E79" s="17"/>
      <c r="F79" s="49"/>
      <c r="G79" s="2"/>
      <c r="H79" s="49"/>
      <c r="I79" s="17"/>
      <c r="J79" s="17"/>
      <c r="K79" s="1"/>
      <c r="L79" s="13"/>
      <c r="M79" s="4"/>
      <c r="N79" s="4"/>
      <c r="O79" s="1"/>
      <c r="P79" s="5"/>
      <c r="Q79" s="5"/>
      <c r="R79" s="135" t="s">
        <v>95</v>
      </c>
      <c r="S79" s="136">
        <f>ROUND($S$75*V79,2)</f>
        <v>1112758.0900000001</v>
      </c>
      <c r="T79" s="82"/>
      <c r="U79" s="137" t="s">
        <v>95</v>
      </c>
      <c r="V79" s="138">
        <f>2/3*4%-0.63%</f>
        <v>2.0366666666666665E-2</v>
      </c>
      <c r="W79" s="82"/>
      <c r="X79" s="82"/>
      <c r="Y79" s="5"/>
    </row>
    <row r="80" spans="1:25" ht="23.25">
      <c r="A80" s="1"/>
      <c r="B80" s="1"/>
      <c r="C80" s="11"/>
      <c r="D80" s="17"/>
      <c r="E80" s="17"/>
      <c r="F80" s="49"/>
      <c r="G80" s="2"/>
      <c r="H80" s="49"/>
      <c r="I80" s="17"/>
      <c r="J80" s="17"/>
      <c r="K80" s="1"/>
      <c r="L80" s="13"/>
      <c r="M80" s="4"/>
      <c r="N80" s="4"/>
      <c r="O80" s="1"/>
      <c r="P80" s="5"/>
      <c r="Q80" s="5"/>
      <c r="R80" s="139" t="s">
        <v>92</v>
      </c>
      <c r="S80" s="140">
        <f>ROUND(S75*V80,2)</f>
        <v>344208.31</v>
      </c>
      <c r="T80" s="82"/>
      <c r="U80" s="137" t="s">
        <v>92</v>
      </c>
      <c r="V80" s="138">
        <v>6.3E-3</v>
      </c>
      <c r="W80" s="82"/>
      <c r="X80" s="82"/>
      <c r="Y80" s="5"/>
    </row>
    <row r="81" spans="1:25" ht="43.5" customHeight="1">
      <c r="A81" s="1"/>
      <c r="B81" s="1"/>
      <c r="C81" s="11"/>
      <c r="D81" s="17"/>
      <c r="E81" s="17"/>
      <c r="F81" s="49"/>
      <c r="G81" s="2"/>
      <c r="H81" s="49"/>
      <c r="I81" s="17"/>
      <c r="J81" s="17"/>
      <c r="K81" s="1"/>
      <c r="L81" s="13"/>
      <c r="M81" s="4"/>
      <c r="N81" s="4"/>
      <c r="O81" s="1"/>
      <c r="P81" s="5"/>
      <c r="Q81" s="5"/>
      <c r="R81" s="141" t="s">
        <v>96</v>
      </c>
      <c r="S81" s="142">
        <f>ROUND(S75*V81,2)</f>
        <v>2185449.61</v>
      </c>
      <c r="T81" s="82"/>
      <c r="U81" s="141" t="s">
        <v>96</v>
      </c>
      <c r="V81" s="143">
        <v>0.04</v>
      </c>
      <c r="W81" s="82"/>
      <c r="X81" s="82"/>
      <c r="Y81" s="5"/>
    </row>
    <row r="82" spans="1:25" ht="26.25" customHeight="1">
      <c r="A82" s="1"/>
      <c r="B82" s="1"/>
      <c r="C82" s="15"/>
      <c r="D82" s="109"/>
      <c r="E82" s="110"/>
      <c r="F82" s="111"/>
      <c r="G82" s="111"/>
      <c r="H82" s="111"/>
      <c r="I82" s="111"/>
      <c r="J82" s="111"/>
      <c r="K82" s="110"/>
      <c r="L82" s="3"/>
      <c r="M82" s="4"/>
      <c r="N82" s="4"/>
      <c r="O82" s="1"/>
      <c r="P82" s="5"/>
      <c r="Q82" s="5"/>
      <c r="R82" s="144" t="s">
        <v>97</v>
      </c>
      <c r="S82" s="145">
        <f>ROUND(S75*V82,2)</f>
        <v>546362.4</v>
      </c>
      <c r="T82" s="82"/>
      <c r="U82" s="144" t="s">
        <v>92</v>
      </c>
      <c r="V82" s="146">
        <v>0.01</v>
      </c>
      <c r="W82" s="82"/>
      <c r="X82" s="82"/>
      <c r="Y82" s="5"/>
    </row>
    <row r="83" spans="1:25" ht="26.25" customHeight="1">
      <c r="A83" s="1"/>
      <c r="B83" s="1"/>
      <c r="C83" s="15"/>
      <c r="D83" s="248" t="s">
        <v>98</v>
      </c>
      <c r="E83" s="248"/>
      <c r="F83" s="248"/>
      <c r="G83" s="248"/>
      <c r="H83" s="248"/>
      <c r="I83" s="248"/>
      <c r="J83" s="248"/>
      <c r="K83" s="248"/>
      <c r="L83" s="248"/>
      <c r="M83" s="4"/>
      <c r="N83" s="4"/>
      <c r="O83" s="1"/>
      <c r="P83" s="5"/>
      <c r="Q83" s="41"/>
      <c r="R83" s="147" t="s">
        <v>99</v>
      </c>
      <c r="S83" s="148">
        <f>ROUND(S75*V83,2)</f>
        <v>546362.4</v>
      </c>
      <c r="T83" s="82"/>
      <c r="U83" s="147" t="s">
        <v>100</v>
      </c>
      <c r="V83" s="149">
        <v>0.01</v>
      </c>
      <c r="W83" s="82"/>
      <c r="X83" s="82"/>
      <c r="Y83" s="5"/>
    </row>
    <row r="84" spans="1:25" ht="70.5" customHeight="1">
      <c r="A84" s="1"/>
      <c r="B84" s="1"/>
      <c r="C84" s="11"/>
      <c r="D84" s="249" t="s">
        <v>101</v>
      </c>
      <c r="E84" s="249"/>
      <c r="F84" s="150" t="s">
        <v>102</v>
      </c>
      <c r="G84" s="150" t="s">
        <v>103</v>
      </c>
      <c r="H84" s="150" t="s">
        <v>104</v>
      </c>
      <c r="I84" s="151" t="s">
        <v>105</v>
      </c>
      <c r="J84" s="152" t="s">
        <v>106</v>
      </c>
      <c r="K84" s="151" t="s">
        <v>107</v>
      </c>
      <c r="L84" s="151" t="s">
        <v>108</v>
      </c>
      <c r="M84" s="4"/>
      <c r="N84" s="4"/>
      <c r="O84" s="1"/>
      <c r="P84" s="5"/>
      <c r="Q84" s="153"/>
      <c r="R84" s="154" t="s">
        <v>109</v>
      </c>
      <c r="S84" s="155">
        <f>ROUND(S75*V84,2)</f>
        <v>546362.4</v>
      </c>
      <c r="T84" s="5"/>
      <c r="U84" s="154" t="s">
        <v>109</v>
      </c>
      <c r="V84" s="156">
        <v>0.01</v>
      </c>
      <c r="W84" s="82"/>
      <c r="X84" s="82"/>
      <c r="Y84" s="82"/>
    </row>
    <row r="85" spans="1:25" ht="79.5" customHeight="1">
      <c r="A85" s="1"/>
      <c r="B85" s="1"/>
      <c r="C85" s="157"/>
      <c r="D85" s="250" t="str">
        <f>E10</f>
        <v>MARIA FATIMA DE MACEDO SILVA LOPES</v>
      </c>
      <c r="E85" s="250"/>
      <c r="F85" s="158">
        <f>IF($Q$14="Sim",S86,0)</f>
        <v>39884455.359999999</v>
      </c>
      <c r="G85" s="158">
        <f>ROUND(F85*0.4,2)</f>
        <v>15953782.140000001</v>
      </c>
      <c r="H85" s="158">
        <f>ROUND(F85-G85,2)</f>
        <v>23930673.219999999</v>
      </c>
      <c r="I85" s="159">
        <f>IF(Q14="Sim",U95,0)</f>
        <v>0</v>
      </c>
      <c r="J85" s="159">
        <f>IF(Q14="Sim",V111,0)</f>
        <v>5233839.79</v>
      </c>
      <c r="K85" s="159">
        <f>H85-I85-J85</f>
        <v>18696833.43</v>
      </c>
      <c r="L85" s="160">
        <f>IF(Q14="Sim",IF(W98="sim", V107, "-"),"-")</f>
        <v>41</v>
      </c>
      <c r="M85" s="4"/>
      <c r="N85" s="4"/>
      <c r="O85" s="1"/>
      <c r="P85" s="5"/>
      <c r="Q85" s="5"/>
      <c r="R85" s="161" t="s">
        <v>48</v>
      </c>
      <c r="S85" s="162">
        <f>G60</f>
        <v>0</v>
      </c>
      <c r="T85" s="5"/>
      <c r="U85" s="163" t="s">
        <v>60</v>
      </c>
      <c r="V85" s="164">
        <f>SUM(V75:V84)</f>
        <v>1</v>
      </c>
      <c r="W85" s="82"/>
      <c r="X85" s="82"/>
      <c r="Y85" s="82"/>
    </row>
    <row r="86" spans="1:25" ht="51.2" customHeight="1">
      <c r="A86" s="1"/>
      <c r="B86" s="1"/>
      <c r="C86" s="157"/>
      <c r="D86" s="250" t="s">
        <v>110</v>
      </c>
      <c r="E86" s="250"/>
      <c r="F86" s="158">
        <f>IF($Q$15="Sim",S77,0)</f>
        <v>1092724.8</v>
      </c>
      <c r="G86" s="158">
        <f>ROUND(F86*0.4,2)</f>
        <v>437089.92</v>
      </c>
      <c r="H86" s="158">
        <f>F86-G86</f>
        <v>655634.88000000012</v>
      </c>
      <c r="I86" s="159">
        <v>0</v>
      </c>
      <c r="J86" s="159">
        <f>ROUND(H86*[1]IR!$C$10,2)</f>
        <v>9834.52</v>
      </c>
      <c r="K86" s="159">
        <f>H86-I86-J86</f>
        <v>645800.3600000001</v>
      </c>
      <c r="L86" s="160" t="s">
        <v>28</v>
      </c>
      <c r="M86" s="4"/>
      <c r="N86" s="4"/>
      <c r="O86" s="1"/>
      <c r="P86" s="5"/>
      <c r="Q86" s="5"/>
      <c r="R86" s="165" t="s">
        <v>111</v>
      </c>
      <c r="S86" s="166">
        <f>S75-SUM(S76:S85)</f>
        <v>39884455.359999999</v>
      </c>
      <c r="T86" s="5"/>
      <c r="U86" s="5"/>
      <c r="V86" s="5"/>
      <c r="W86" s="82"/>
      <c r="X86" s="82"/>
      <c r="Y86" s="82"/>
    </row>
    <row r="87" spans="1:25" ht="51.2" customHeight="1">
      <c r="A87" s="1"/>
      <c r="B87" s="1"/>
      <c r="C87" s="157"/>
      <c r="D87" s="250" t="s">
        <v>112</v>
      </c>
      <c r="E87" s="250"/>
      <c r="F87" s="158">
        <f>IF($Q$15="Sim",S82,0)</f>
        <v>546362.4</v>
      </c>
      <c r="G87" s="158">
        <f>ROUND(F87*0.4,2)</f>
        <v>218544.96</v>
      </c>
      <c r="H87" s="158">
        <f>F87-G87</f>
        <v>327817.44000000006</v>
      </c>
      <c r="I87" s="159">
        <v>0</v>
      </c>
      <c r="J87" s="159">
        <f>ROUND(IF(H87&gt;=[1]IR!$B$4, H87*[1]IR!$C$4-[1]IR!$D$4, IF(H87&gt;=[1]IR!$B$5, H87*[1]IR!$C$5-[1]IR!$D$5, IF(H87&gt;=[1]IR!$B$6, H87*[1]IR!$C$6-[1]IR!$D$6, IF(H87&gt;=[1]IR!$B$7, H87*[1]IR!$C$7-[1]IR!$D$7, 0)))),2)</f>
        <v>89253.8</v>
      </c>
      <c r="K87" s="159">
        <f>H87-I87-J87</f>
        <v>238563.64000000007</v>
      </c>
      <c r="L87" s="160" t="s">
        <v>28</v>
      </c>
      <c r="M87" s="4"/>
      <c r="N87" s="4"/>
      <c r="O87" s="1"/>
      <c r="P87" s="5"/>
      <c r="Q87" s="5"/>
      <c r="R87" s="167" t="s">
        <v>113</v>
      </c>
      <c r="S87" s="168">
        <f>ROUND(S86*0.6,2)</f>
        <v>23930673.219999999</v>
      </c>
      <c r="T87" s="5"/>
      <c r="U87" s="5"/>
      <c r="V87" s="5"/>
      <c r="W87" s="82"/>
      <c r="X87" s="82"/>
      <c r="Y87" s="82"/>
    </row>
    <row r="88" spans="1:25" ht="81" customHeight="1">
      <c r="A88" s="1"/>
      <c r="B88" s="1"/>
      <c r="C88" s="157"/>
      <c r="D88" s="260" t="s">
        <v>114</v>
      </c>
      <c r="E88" s="260"/>
      <c r="F88" s="120">
        <f t="shared" ref="F88:K88" si="6">SUM(F85:F87)</f>
        <v>41523542.559999995</v>
      </c>
      <c r="G88" s="120">
        <f t="shared" si="6"/>
        <v>16609417.020000001</v>
      </c>
      <c r="H88" s="120">
        <f t="shared" si="6"/>
        <v>24914125.539999999</v>
      </c>
      <c r="I88" s="120">
        <f t="shared" si="6"/>
        <v>0</v>
      </c>
      <c r="J88" s="120">
        <f>SUM(J85:J87)</f>
        <v>5332928.1099999994</v>
      </c>
      <c r="K88" s="120">
        <f t="shared" si="6"/>
        <v>19581197.43</v>
      </c>
      <c r="L88" s="120" t="s">
        <v>28</v>
      </c>
      <c r="M88" s="4"/>
      <c r="N88" s="4"/>
      <c r="O88" s="1"/>
      <c r="P88" s="5"/>
      <c r="Q88" s="5"/>
      <c r="R88" s="5"/>
      <c r="S88" s="5"/>
      <c r="T88" s="5"/>
      <c r="U88" s="5"/>
      <c r="V88" s="5"/>
      <c r="W88" s="82"/>
      <c r="X88" s="82"/>
      <c r="Y88" s="82"/>
    </row>
    <row r="89" spans="1:25" ht="23.25">
      <c r="A89" s="1"/>
      <c r="B89" s="1"/>
      <c r="C89" s="157"/>
      <c r="D89" s="111"/>
      <c r="E89" s="111"/>
      <c r="F89" s="169"/>
      <c r="G89" s="111"/>
      <c r="H89" s="111"/>
      <c r="I89" s="111"/>
      <c r="J89" s="111"/>
      <c r="K89" s="12"/>
      <c r="L89" s="3"/>
      <c r="M89" s="4"/>
      <c r="N89" s="4"/>
      <c r="O89" s="1"/>
      <c r="P89" s="5"/>
      <c r="Q89" s="5"/>
      <c r="R89" s="5"/>
      <c r="S89" s="5"/>
      <c r="T89" s="170" t="s">
        <v>115</v>
      </c>
      <c r="U89" s="171" t="s">
        <v>3</v>
      </c>
      <c r="V89" s="172">
        <v>0.08</v>
      </c>
      <c r="W89" s="173" t="s">
        <v>116</v>
      </c>
      <c r="X89" s="82"/>
      <c r="Y89" s="82"/>
    </row>
    <row r="90" spans="1:25" ht="26.25" customHeight="1">
      <c r="A90" s="1"/>
      <c r="B90" s="1"/>
      <c r="C90" s="15"/>
      <c r="D90" s="15" t="str" cm="1">
        <f t="array" ref="D90">"Importa a presente conta o valor bruto de R$ " &amp; TEXT(ROUND($H$88,2), "#.##0,00") &amp; " (" &amp; PROPER(Converter_numero(ROUND($H$88,2))) &amp; ")"</f>
        <v>Importa a presente conta o valor bruto de R$ 24.914.125,54 (Vinte E Quatro Milhões, Novecentos E Quatorze Mil, Cento E Vinte E Cinco Reais E Cinquenta E Quatro Centavos)</v>
      </c>
      <c r="E90" s="15"/>
      <c r="F90" s="174"/>
      <c r="G90" s="15"/>
      <c r="H90" s="15"/>
      <c r="I90" s="15"/>
      <c r="J90" s="17"/>
      <c r="K90" s="17"/>
      <c r="L90" s="3"/>
      <c r="M90" s="175"/>
      <c r="N90" s="4"/>
      <c r="O90" s="1"/>
      <c r="P90" s="5"/>
      <c r="Q90" s="5"/>
      <c r="R90" s="5"/>
      <c r="S90" s="5"/>
      <c r="T90" s="176" t="s">
        <v>117</v>
      </c>
      <c r="U90" s="177">
        <f>U27</f>
        <v>43757374.740000002</v>
      </c>
      <c r="V90" s="5"/>
      <c r="W90" s="5"/>
      <c r="X90" s="82"/>
      <c r="Y90" s="82"/>
    </row>
    <row r="91" spans="1:25" ht="26.25" customHeight="1">
      <c r="A91" s="1"/>
      <c r="B91" s="1"/>
      <c r="C91" s="15"/>
      <c r="D91" s="15"/>
      <c r="E91" s="15"/>
      <c r="F91" s="174"/>
      <c r="G91" s="15"/>
      <c r="H91" s="15"/>
      <c r="I91" s="15"/>
      <c r="J91" s="17"/>
      <c r="K91" s="17"/>
      <c r="L91" s="3"/>
      <c r="M91" s="175"/>
      <c r="N91" s="4"/>
      <c r="O91" s="1"/>
      <c r="P91" s="5"/>
      <c r="Q91" s="5"/>
      <c r="R91" s="5"/>
      <c r="S91" s="5"/>
      <c r="T91" s="176" t="str">
        <f>CONCATENATE("Aliquota ", TEXT(V89, "0%"))</f>
        <v>Aliquota 8%</v>
      </c>
      <c r="U91" s="177">
        <f>ROUND(Nome_U*Nome_V,2)</f>
        <v>3500589.98</v>
      </c>
      <c r="V91" s="5"/>
      <c r="W91" s="5"/>
      <c r="X91" s="82"/>
      <c r="Y91" s="82"/>
    </row>
    <row r="92" spans="1:25" ht="27" customHeight="1">
      <c r="A92" s="1"/>
      <c r="B92" s="1"/>
      <c r="C92" s="15"/>
      <c r="D92" s="15"/>
      <c r="E92" s="15"/>
      <c r="F92" s="15"/>
      <c r="G92" s="15"/>
      <c r="H92" s="15"/>
      <c r="I92" s="15"/>
      <c r="J92" s="15"/>
      <c r="K92" s="12"/>
      <c r="L92" s="3"/>
      <c r="M92" s="3"/>
      <c r="N92" s="4"/>
      <c r="O92" s="1"/>
      <c r="P92" s="5"/>
      <c r="Q92" s="5"/>
      <c r="R92" s="5"/>
      <c r="S92" s="5"/>
      <c r="T92" s="178" t="s">
        <v>118</v>
      </c>
      <c r="U92" s="179">
        <f>IF(R6="Sim",V92*G51*(1+F59),0)</f>
        <v>0</v>
      </c>
      <c r="V92" s="180">
        <v>0</v>
      </c>
      <c r="W92" s="173" t="s">
        <v>119</v>
      </c>
      <c r="X92" s="82"/>
      <c r="Y92" s="82"/>
    </row>
    <row r="93" spans="1:25" ht="30.75" customHeight="1">
      <c r="A93" s="1"/>
      <c r="B93" s="1"/>
      <c r="C93" s="181" t="s">
        <v>120</v>
      </c>
      <c r="D93" s="15"/>
      <c r="E93" s="15"/>
      <c r="F93" s="15"/>
      <c r="G93" s="15"/>
      <c r="H93" s="15"/>
      <c r="I93" s="17"/>
      <c r="J93" s="17"/>
      <c r="K93" s="12"/>
      <c r="L93" s="3"/>
      <c r="M93" s="3"/>
      <c r="N93" s="4"/>
      <c r="O93" s="1"/>
      <c r="P93" s="5"/>
      <c r="Q93" s="5"/>
      <c r="R93" s="5"/>
      <c r="S93" s="5"/>
      <c r="T93" s="182" t="s">
        <v>121</v>
      </c>
      <c r="U93" s="177" t="str">
        <f>IF(U89="Sim",U91-U92,"R$ 0,00")</f>
        <v>R$ 0,00</v>
      </c>
      <c r="V93" s="183"/>
      <c r="W93" s="184"/>
      <c r="X93" s="82"/>
      <c r="Y93" s="82"/>
    </row>
    <row r="94" spans="1:25" ht="27" customHeight="1">
      <c r="A94" s="1"/>
      <c r="B94" s="1"/>
      <c r="C94" s="185"/>
      <c r="D94" s="261" t="s">
        <v>122</v>
      </c>
      <c r="E94" s="261"/>
      <c r="F94" s="186" t="s">
        <v>123</v>
      </c>
      <c r="G94" s="67"/>
      <c r="H94" s="67"/>
      <c r="I94" s="15"/>
      <c r="J94" s="187"/>
      <c r="K94" s="12"/>
      <c r="L94" s="3"/>
      <c r="M94" s="4"/>
      <c r="N94" s="4"/>
      <c r="O94" s="1"/>
      <c r="P94" s="5"/>
      <c r="Q94" s="188"/>
      <c r="R94" s="5"/>
      <c r="S94" s="5"/>
      <c r="T94" s="178" t="s">
        <v>124</v>
      </c>
      <c r="U94" s="177">
        <f>ROUND(U93*0.4,2)</f>
        <v>0</v>
      </c>
      <c r="V94" s="5"/>
      <c r="W94" s="5"/>
      <c r="X94" s="82"/>
      <c r="Y94" s="82"/>
    </row>
    <row r="95" spans="1:25" ht="94.5" customHeight="1">
      <c r="A95" s="1"/>
      <c r="B95" s="1"/>
      <c r="C95" s="185"/>
      <c r="D95" s="189" t="s">
        <v>125</v>
      </c>
      <c r="E95" s="186">
        <f>V104</f>
        <v>19165730.136119999</v>
      </c>
      <c r="F95" s="190">
        <f>L85</f>
        <v>41</v>
      </c>
      <c r="G95" s="67"/>
      <c r="H95" s="185"/>
      <c r="I95" s="191"/>
      <c r="J95" s="187"/>
      <c r="K95" s="12"/>
      <c r="L95" s="3"/>
      <c r="M95" s="4"/>
      <c r="N95" s="4"/>
      <c r="O95" s="1"/>
      <c r="P95" s="5"/>
      <c r="Q95" s="188"/>
      <c r="R95" s="5"/>
      <c r="S95" s="5"/>
      <c r="T95" s="192" t="s">
        <v>102</v>
      </c>
      <c r="U95" s="193">
        <f>U93-U94</f>
        <v>0</v>
      </c>
      <c r="V95" s="82"/>
      <c r="W95" s="82"/>
      <c r="X95" s="82"/>
      <c r="Y95" s="82"/>
    </row>
    <row r="96" spans="1:25" ht="59.25" customHeight="1">
      <c r="A96" s="1"/>
      <c r="B96" s="1"/>
      <c r="C96" s="185"/>
      <c r="D96" s="189" t="s">
        <v>126</v>
      </c>
      <c r="E96" s="186">
        <f>S87-V104</f>
        <v>4764943.0838799998</v>
      </c>
      <c r="F96" s="67"/>
      <c r="G96" s="67"/>
      <c r="H96" s="67"/>
      <c r="I96" s="15"/>
      <c r="J96" s="15"/>
      <c r="K96" s="12"/>
      <c r="L96" s="3"/>
      <c r="M96" s="4"/>
      <c r="N96" s="4"/>
      <c r="O96" s="1"/>
      <c r="P96" s="5"/>
      <c r="Q96" s="255" t="s">
        <v>108</v>
      </c>
      <c r="R96" s="255"/>
      <c r="S96" s="5"/>
      <c r="T96" s="5"/>
      <c r="U96" s="5"/>
      <c r="V96" s="5"/>
      <c r="W96" s="82"/>
      <c r="X96" s="82"/>
      <c r="Y96" s="82"/>
    </row>
    <row r="97" spans="1:26" ht="64.5" customHeight="1">
      <c r="A97" s="1"/>
      <c r="B97" s="1"/>
      <c r="C97" s="185"/>
      <c r="D97" s="189" t="s">
        <v>127</v>
      </c>
      <c r="E97" s="186">
        <v>0</v>
      </c>
      <c r="F97" s="67"/>
      <c r="G97" s="67"/>
      <c r="H97" s="67"/>
      <c r="I97" s="15"/>
      <c r="J97" s="15"/>
      <c r="K97" s="12"/>
      <c r="L97" s="3"/>
      <c r="M97" s="4"/>
      <c r="N97" s="4"/>
      <c r="O97" s="1"/>
      <c r="P97" s="5"/>
      <c r="Q97" s="255"/>
      <c r="R97" s="255"/>
      <c r="S97" s="5"/>
      <c r="T97" s="5"/>
      <c r="U97" s="5"/>
      <c r="V97" s="5"/>
      <c r="W97" s="82"/>
      <c r="X97" s="82"/>
      <c r="Y97" s="82"/>
    </row>
    <row r="98" spans="1:26" ht="28.5" customHeight="1">
      <c r="A98" s="1"/>
      <c r="B98" s="1"/>
      <c r="C98" s="67"/>
      <c r="D98" s="6"/>
      <c r="E98" s="67"/>
      <c r="F98" s="67"/>
      <c r="G98" s="67"/>
      <c r="H98" s="67"/>
      <c r="I98" s="15"/>
      <c r="J98" s="15"/>
      <c r="K98" s="12"/>
      <c r="L98" s="3"/>
      <c r="M98" s="4"/>
      <c r="N98" s="4"/>
      <c r="O98" s="1"/>
      <c r="P98" s="5"/>
      <c r="Q98" s="194">
        <f>(IF(W98="Sim",R19,0))</f>
        <v>54636240.199999996</v>
      </c>
      <c r="R98" s="195">
        <v>94</v>
      </c>
      <c r="S98" s="196"/>
      <c r="T98" s="240" t="s">
        <v>128</v>
      </c>
      <c r="U98" s="197" t="s">
        <v>129</v>
      </c>
      <c r="V98" s="198">
        <f>U27</f>
        <v>43757374.740000002</v>
      </c>
      <c r="W98" s="242" t="s">
        <v>5</v>
      </c>
      <c r="X98" s="82"/>
      <c r="Y98" s="82"/>
    </row>
    <row r="99" spans="1:26" ht="46.5">
      <c r="A99" s="1"/>
      <c r="B99" s="1"/>
      <c r="C99" s="67"/>
      <c r="D99" s="67" t="s">
        <v>130</v>
      </c>
      <c r="E99" s="67"/>
      <c r="F99" s="199"/>
      <c r="G99" s="67"/>
      <c r="H99" s="67"/>
      <c r="I99" s="15"/>
      <c r="J99" s="15"/>
      <c r="K99" s="12"/>
      <c r="L99" s="3"/>
      <c r="M99" s="4"/>
      <c r="N99" s="4"/>
      <c r="O99" s="1"/>
      <c r="P99" s="5"/>
      <c r="Q99" s="194">
        <f>S87</f>
        <v>23930673.219999999</v>
      </c>
      <c r="R99" s="200" t="s">
        <v>131</v>
      </c>
      <c r="S99" s="5"/>
      <c r="T99" s="241"/>
      <c r="U99" s="201" t="s">
        <v>118</v>
      </c>
      <c r="V99" s="202">
        <f>F55*(1+F59)</f>
        <v>0</v>
      </c>
      <c r="W99" s="243"/>
      <c r="X99" s="203"/>
      <c r="Y99" s="82"/>
    </row>
    <row r="100" spans="1:26" ht="27" customHeight="1">
      <c r="A100" s="1"/>
      <c r="B100" s="1"/>
      <c r="C100" s="67"/>
      <c r="D100" s="204" t="s">
        <v>132</v>
      </c>
      <c r="E100" s="67"/>
      <c r="F100" s="199"/>
      <c r="G100" s="67"/>
      <c r="H100" s="67"/>
      <c r="I100" s="15"/>
      <c r="J100" s="15"/>
      <c r="K100" s="12"/>
      <c r="L100" s="3"/>
      <c r="M100" s="4"/>
      <c r="N100" s="4"/>
      <c r="O100" s="1"/>
      <c r="P100" s="5"/>
      <c r="Q100" s="200"/>
      <c r="R100" s="200">
        <f>ROUND((Q99*R98)/Q98,0)</f>
        <v>41</v>
      </c>
      <c r="S100" s="5"/>
      <c r="T100" s="205" t="s">
        <v>133</v>
      </c>
      <c r="U100" s="206"/>
      <c r="V100" s="207">
        <f>R9*(V98+V99)</f>
        <v>11376917.432400001</v>
      </c>
      <c r="W100" s="203"/>
      <c r="X100" s="203"/>
      <c r="Y100" s="82"/>
    </row>
    <row r="101" spans="1:26" ht="21" customHeight="1">
      <c r="A101" s="1"/>
      <c r="B101" s="1"/>
      <c r="C101" s="67"/>
      <c r="D101" s="204" t="s">
        <v>134</v>
      </c>
      <c r="E101" s="67"/>
      <c r="F101" s="199"/>
      <c r="G101" s="67"/>
      <c r="H101" s="67"/>
      <c r="I101" s="111"/>
      <c r="J101" s="111"/>
      <c r="K101" s="111"/>
      <c r="L101" s="111"/>
      <c r="M101" s="4"/>
      <c r="N101" s="4"/>
      <c r="O101" s="1"/>
      <c r="P101" s="5"/>
      <c r="Q101" s="5"/>
      <c r="R101" s="203"/>
      <c r="S101" s="5"/>
      <c r="T101" s="208" t="s">
        <v>135</v>
      </c>
      <c r="U101" s="184"/>
      <c r="V101" s="209">
        <f>R11*(V98+V99)</f>
        <v>437573.74740000005</v>
      </c>
      <c r="W101" s="203"/>
      <c r="X101" s="203"/>
      <c r="Y101" s="82"/>
    </row>
    <row r="102" spans="1:26" ht="26.25">
      <c r="A102" s="1"/>
      <c r="B102" s="1"/>
      <c r="C102" s="67"/>
      <c r="D102" s="67" t="s">
        <v>136</v>
      </c>
      <c r="E102" s="67"/>
      <c r="F102" s="199"/>
      <c r="G102" s="67"/>
      <c r="H102" s="67"/>
      <c r="I102" s="111"/>
      <c r="J102" s="111"/>
      <c r="K102" s="111"/>
      <c r="L102" s="111"/>
      <c r="M102" s="4"/>
      <c r="N102" s="4"/>
      <c r="O102" s="1"/>
      <c r="P102" s="5"/>
      <c r="Q102" s="5"/>
      <c r="R102" s="5"/>
      <c r="S102" s="5"/>
      <c r="T102" s="210" t="s">
        <v>117</v>
      </c>
      <c r="U102" s="82"/>
      <c r="V102" s="211">
        <f>V98-V99-V100-V101</f>
        <v>31942883.560199998</v>
      </c>
      <c r="W102" s="203"/>
      <c r="X102" s="203"/>
      <c r="Y102" s="82"/>
    </row>
    <row r="103" spans="1:26" ht="23.25">
      <c r="A103" s="1"/>
      <c r="B103" s="1"/>
      <c r="C103" s="67"/>
      <c r="D103" s="67" t="s">
        <v>137</v>
      </c>
      <c r="E103" s="67"/>
      <c r="F103" s="199"/>
      <c r="G103" s="67"/>
      <c r="H103" s="67"/>
      <c r="I103" s="111"/>
      <c r="J103" s="111"/>
      <c r="K103" s="111"/>
      <c r="L103" s="111"/>
      <c r="M103" s="4"/>
      <c r="N103" s="4"/>
      <c r="O103" s="1"/>
      <c r="P103" s="5"/>
      <c r="Q103" s="5"/>
      <c r="R103" s="5"/>
      <c r="S103" s="5"/>
      <c r="T103" s="208" t="s">
        <v>138</v>
      </c>
      <c r="U103" s="82"/>
      <c r="V103" s="211">
        <f>V102*0.4</f>
        <v>12777153.424079999</v>
      </c>
      <c r="W103" s="212"/>
      <c r="X103" s="203"/>
      <c r="Y103" s="82"/>
    </row>
    <row r="104" spans="1:26" ht="23.25">
      <c r="A104" s="1"/>
      <c r="B104" s="1"/>
      <c r="C104" s="67"/>
      <c r="D104" s="67" t="s">
        <v>139</v>
      </c>
      <c r="E104" s="67"/>
      <c r="F104" s="199"/>
      <c r="G104" s="67"/>
      <c r="H104" s="67"/>
      <c r="I104" s="111"/>
      <c r="J104" s="111"/>
      <c r="K104" s="111"/>
      <c r="L104" s="111"/>
      <c r="M104" s="4"/>
      <c r="N104" s="4"/>
      <c r="O104" s="1"/>
      <c r="P104" s="5"/>
      <c r="Q104" s="5"/>
      <c r="R104" s="5"/>
      <c r="S104" s="5"/>
      <c r="T104" s="210" t="s">
        <v>117</v>
      </c>
      <c r="U104" s="82"/>
      <c r="V104" s="211">
        <f>V102-V103</f>
        <v>19165730.136119999</v>
      </c>
      <c r="W104" s="183"/>
      <c r="X104" s="203"/>
      <c r="Y104" s="5"/>
    </row>
    <row r="105" spans="1:26" ht="23.25">
      <c r="A105" s="1"/>
      <c r="B105" s="1"/>
      <c r="C105" s="213"/>
      <c r="D105" s="67" t="s">
        <v>140</v>
      </c>
      <c r="E105" s="67"/>
      <c r="F105" s="67"/>
      <c r="G105" s="67"/>
      <c r="H105" s="15"/>
      <c r="I105" s="15"/>
      <c r="J105" s="15"/>
      <c r="K105" s="12"/>
      <c r="L105" s="3"/>
      <c r="M105" s="4"/>
      <c r="N105" s="4"/>
      <c r="O105" s="1"/>
      <c r="P105" s="5"/>
      <c r="Q105" s="5"/>
      <c r="R105" s="5"/>
      <c r="S105" s="5"/>
      <c r="T105" s="214" t="s">
        <v>141</v>
      </c>
      <c r="U105" s="82"/>
      <c r="V105" s="211">
        <f>U95</f>
        <v>0</v>
      </c>
      <c r="W105" s="203"/>
      <c r="X105" s="203"/>
      <c r="Y105" s="5"/>
    </row>
    <row r="106" spans="1:26" ht="23.25">
      <c r="A106" s="1"/>
      <c r="B106" s="1"/>
      <c r="C106" s="213"/>
      <c r="D106" s="67" t="s">
        <v>142</v>
      </c>
      <c r="E106" s="67"/>
      <c r="F106" s="67"/>
      <c r="G106" s="67"/>
      <c r="H106" s="15"/>
      <c r="I106" s="15"/>
      <c r="J106" s="15"/>
      <c r="K106" s="12"/>
      <c r="L106" s="3"/>
      <c r="M106" s="4"/>
      <c r="N106" s="4"/>
      <c r="O106" s="1"/>
      <c r="P106" s="5"/>
      <c r="Q106" s="5"/>
      <c r="R106" s="5"/>
      <c r="S106" s="5"/>
      <c r="T106" s="215" t="s">
        <v>117</v>
      </c>
      <c r="U106" s="216"/>
      <c r="V106" s="217">
        <f>V104-V105</f>
        <v>19165730.136119999</v>
      </c>
      <c r="W106" s="218"/>
      <c r="X106" s="203"/>
      <c r="Y106" s="5"/>
    </row>
    <row r="107" spans="1:26" ht="23.25">
      <c r="A107" s="1"/>
      <c r="B107" s="1"/>
      <c r="C107" s="213"/>
      <c r="D107" s="67" t="s">
        <v>143</v>
      </c>
      <c r="E107" s="67"/>
      <c r="F107" s="67"/>
      <c r="G107" s="67"/>
      <c r="H107" s="15"/>
      <c r="I107" s="15"/>
      <c r="J107" s="15"/>
      <c r="K107" s="15"/>
      <c r="L107" s="3"/>
      <c r="M107" s="4"/>
      <c r="N107" s="4"/>
      <c r="O107" s="1"/>
      <c r="P107" s="5"/>
      <c r="Q107" s="5"/>
      <c r="R107" s="203"/>
      <c r="S107" s="5"/>
      <c r="T107" s="208" t="s">
        <v>108</v>
      </c>
      <c r="U107" s="184"/>
      <c r="V107" s="219">
        <f>Z111</f>
        <v>41</v>
      </c>
      <c r="W107" s="203"/>
      <c r="X107" s="203"/>
      <c r="Y107" s="5"/>
    </row>
    <row r="108" spans="1:26" ht="23.25">
      <c r="A108" s="1"/>
      <c r="B108" s="1"/>
      <c r="C108" s="213"/>
      <c r="D108" s="220" t="s">
        <v>144</v>
      </c>
      <c r="E108" s="67"/>
      <c r="F108" s="67"/>
      <c r="G108" s="67"/>
      <c r="H108" s="15"/>
      <c r="I108" s="15"/>
      <c r="J108" s="15"/>
      <c r="K108" s="15"/>
      <c r="L108" s="3"/>
      <c r="M108" s="4"/>
      <c r="N108" s="4"/>
      <c r="O108" s="1"/>
      <c r="P108" s="5"/>
      <c r="Q108" s="5"/>
      <c r="R108" s="203"/>
      <c r="S108" s="5"/>
      <c r="T108" s="208" t="s">
        <v>145</v>
      </c>
      <c r="U108" s="184"/>
      <c r="V108" s="221">
        <f>V106/V107</f>
        <v>467456.83258829266</v>
      </c>
      <c r="W108" s="203"/>
      <c r="X108" s="203"/>
      <c r="Y108" s="5"/>
    </row>
    <row r="109" spans="1:26" ht="23.25">
      <c r="A109" s="1"/>
      <c r="B109" s="1"/>
      <c r="C109" s="213"/>
      <c r="D109" s="220" t="s">
        <v>146</v>
      </c>
      <c r="E109" s="67"/>
      <c r="F109" s="67"/>
      <c r="G109" s="67"/>
      <c r="H109" s="15"/>
      <c r="I109" s="15"/>
      <c r="J109" s="15"/>
      <c r="K109" s="15"/>
      <c r="L109" s="3"/>
      <c r="M109" s="4"/>
      <c r="N109" s="4"/>
      <c r="O109" s="1"/>
      <c r="P109" s="5"/>
      <c r="Q109" s="5"/>
      <c r="R109" s="203"/>
      <c r="S109" s="5"/>
      <c r="T109" s="208" t="s">
        <v>147</v>
      </c>
      <c r="U109" s="184"/>
      <c r="V109" s="222">
        <f>IF(V108&gt;=[1]IR!$B$4, [1]IR!$C$4, IF(V108&gt;=[1]IR!$B$5, [1]IR!$C$5, IF(V108&gt;=[1]IR!$B$6, [1]IR!$C$6, IF(V108&gt;=[1]IR!$B$7, [1]IR!$C$7, [1]IR!$C$8))))</f>
        <v>0.27500000000000002</v>
      </c>
      <c r="W109" s="203"/>
      <c r="X109" s="203"/>
      <c r="Y109" s="5"/>
    </row>
    <row r="110" spans="1:26" ht="23.25">
      <c r="A110" s="1"/>
      <c r="B110" s="1"/>
      <c r="C110" s="213"/>
      <c r="D110" s="220" t="s">
        <v>148</v>
      </c>
      <c r="E110" s="67"/>
      <c r="F110" s="67"/>
      <c r="G110" s="67"/>
      <c r="H110" s="15"/>
      <c r="I110" s="15"/>
      <c r="J110" s="15"/>
      <c r="K110" s="15"/>
      <c r="L110" s="3"/>
      <c r="M110" s="4"/>
      <c r="N110" s="4"/>
      <c r="O110" s="1"/>
      <c r="P110" s="5"/>
      <c r="Q110" s="5"/>
      <c r="R110" s="203"/>
      <c r="S110" s="203"/>
      <c r="T110" s="208" t="s">
        <v>149</v>
      </c>
      <c r="U110" s="184"/>
      <c r="V110" s="221">
        <f>IF(V109=[1]IR!$C$7, V108*V109-[1]IR!$D$7, IF(V109=[1]IR!$C$6, V108*V109-[1]IR!$D$6, IF(V109=[1]IR!$C$5, V108*V109-[1]IR!$D$5, IF(V109=[1]IR!$C$4, V108*V109-[1]IR!$D$4, 0))))</f>
        <v>127654.62896178049</v>
      </c>
      <c r="W110" s="203"/>
      <c r="X110" s="203"/>
      <c r="Y110" s="5"/>
    </row>
    <row r="111" spans="1:26" ht="23.25">
      <c r="A111" s="1"/>
      <c r="B111" s="1"/>
      <c r="C111" s="220"/>
      <c r="D111" s="220" t="s">
        <v>150</v>
      </c>
      <c r="E111" s="67"/>
      <c r="F111" s="67"/>
      <c r="G111" s="199"/>
      <c r="H111" s="15"/>
      <c r="I111" s="15"/>
      <c r="J111" s="15"/>
      <c r="K111" s="15"/>
      <c r="L111" s="213"/>
      <c r="M111" s="4"/>
      <c r="N111" s="4"/>
      <c r="O111" s="1"/>
      <c r="P111" s="5"/>
      <c r="Q111" s="5"/>
      <c r="R111" s="203"/>
      <c r="S111" s="203"/>
      <c r="T111" s="223" t="s">
        <v>151</v>
      </c>
      <c r="U111" s="224" t="str">
        <f>"(" &amp; V107 &amp; " meses)"</f>
        <v>(41 meses)</v>
      </c>
      <c r="V111" s="225">
        <f>IF(W98="sim", ROUND(V110*V107,2), 0)</f>
        <v>5233839.79</v>
      </c>
      <c r="W111" s="203"/>
      <c r="X111" s="203"/>
      <c r="Y111" s="5"/>
      <c r="Z111" s="6">
        <f>ROUND(R100,0)</f>
        <v>41</v>
      </c>
    </row>
    <row r="112" spans="1:26" ht="23.25">
      <c r="A112" s="1"/>
      <c r="B112" s="1"/>
      <c r="C112" s="15"/>
      <c r="D112" s="220" t="s">
        <v>152</v>
      </c>
      <c r="E112" s="67"/>
      <c r="F112" s="67"/>
      <c r="G112" s="199"/>
      <c r="H112" s="15"/>
      <c r="I112" s="15"/>
      <c r="J112" s="15"/>
      <c r="K112" s="15"/>
      <c r="L112" s="213"/>
      <c r="M112" s="4"/>
      <c r="N112" s="4"/>
      <c r="O112" s="1"/>
      <c r="P112" s="5"/>
      <c r="Q112" s="5"/>
      <c r="R112" s="203"/>
      <c r="S112" s="203"/>
      <c r="T112" s="203"/>
      <c r="U112" s="203"/>
      <c r="V112" s="203"/>
      <c r="W112" s="203"/>
      <c r="X112" s="203"/>
      <c r="Y112" s="5"/>
    </row>
    <row r="113" spans="1:25" ht="23.25">
      <c r="A113" s="1"/>
      <c r="B113" s="1"/>
      <c r="C113" s="15"/>
      <c r="D113" s="220" t="s">
        <v>153</v>
      </c>
      <c r="E113" s="67"/>
      <c r="F113" s="67"/>
      <c r="G113" s="199"/>
      <c r="H113" s="15"/>
      <c r="I113" s="15"/>
      <c r="J113" s="15"/>
      <c r="K113" s="15"/>
      <c r="L113" s="213"/>
      <c r="M113" s="4"/>
      <c r="N113" s="4"/>
      <c r="O113" s="1"/>
      <c r="P113" s="5"/>
      <c r="Q113" s="5"/>
      <c r="R113" s="203"/>
      <c r="S113" s="203"/>
      <c r="T113" s="203"/>
      <c r="U113" s="203"/>
      <c r="V113" s="203"/>
      <c r="W113" s="203"/>
      <c r="X113" s="203"/>
      <c r="Y113" s="5"/>
    </row>
    <row r="114" spans="1:25" ht="18.95" customHeight="1">
      <c r="A114" s="1"/>
      <c r="B114" s="1"/>
      <c r="C114" s="1"/>
      <c r="D114" s="220" t="str">
        <f>CONCATENATE("Faixa ", IF(V111=0, "Isenta", V109*100), ". RRA Total: ", R98,". RRA do pagamento: ", Z111)</f>
        <v>Faixa 27,5. RRA Total: 94. RRA do pagamento: 41</v>
      </c>
      <c r="E114" s="2"/>
      <c r="F114" s="2"/>
      <c r="G114" s="2"/>
      <c r="H114" s="2"/>
      <c r="I114" s="2"/>
      <c r="J114" s="2"/>
      <c r="K114" s="1"/>
      <c r="L114" s="3"/>
      <c r="M114" s="4"/>
      <c r="N114" s="4"/>
      <c r="O114" s="1"/>
      <c r="P114" s="5"/>
      <c r="Q114" s="5"/>
      <c r="R114" s="244" t="s">
        <v>154</v>
      </c>
      <c r="S114" s="245"/>
      <c r="T114" s="245"/>
      <c r="U114" s="245"/>
      <c r="V114" s="245"/>
      <c r="W114" s="245"/>
      <c r="X114" s="246"/>
      <c r="Y114" s="5"/>
    </row>
    <row r="115" spans="1:25" ht="23.25">
      <c r="A115" s="1"/>
      <c r="B115" s="1"/>
      <c r="C115" s="1"/>
      <c r="D115" s="220" t="s">
        <v>155</v>
      </c>
      <c r="E115" s="2"/>
      <c r="F115" s="2"/>
      <c r="G115" s="2"/>
      <c r="H115" s="2"/>
      <c r="I115" s="2"/>
      <c r="J115" s="2"/>
      <c r="K115" s="1"/>
      <c r="L115" s="3"/>
      <c r="M115" s="4"/>
      <c r="N115" s="4"/>
      <c r="O115" s="1"/>
      <c r="P115" s="5"/>
      <c r="Q115" s="5"/>
      <c r="R115" s="226">
        <f t="shared" ref="R115:W117" si="7">ROUND(F85,2)</f>
        <v>39884455.359999999</v>
      </c>
      <c r="S115" s="227">
        <f t="shared" si="7"/>
        <v>15953782.140000001</v>
      </c>
      <c r="T115" s="227">
        <f t="shared" si="7"/>
        <v>23930673.219999999</v>
      </c>
      <c r="U115" s="227">
        <f t="shared" si="7"/>
        <v>0</v>
      </c>
      <c r="V115" s="227">
        <f t="shared" si="7"/>
        <v>5233839.79</v>
      </c>
      <c r="W115" s="227">
        <f t="shared" si="7"/>
        <v>18696833.43</v>
      </c>
      <c r="X115" s="228">
        <f>T115-U115-V115-W115</f>
        <v>0</v>
      </c>
      <c r="Y115" s="5"/>
    </row>
    <row r="116" spans="1:25" ht="23.25">
      <c r="A116" s="1"/>
      <c r="B116" s="1"/>
      <c r="C116" s="1"/>
      <c r="D116" s="220" t="s">
        <v>156</v>
      </c>
      <c r="E116" s="2"/>
      <c r="F116" s="2"/>
      <c r="G116" s="2"/>
      <c r="H116" s="2"/>
      <c r="I116" s="2"/>
      <c r="J116" s="2"/>
      <c r="K116" s="1"/>
      <c r="L116" s="3"/>
      <c r="M116" s="4"/>
      <c r="N116" s="4"/>
      <c r="O116" s="1"/>
      <c r="P116" s="5"/>
      <c r="Q116" s="5"/>
      <c r="R116" s="226">
        <f t="shared" si="7"/>
        <v>1092724.8</v>
      </c>
      <c r="S116" s="227">
        <f t="shared" si="7"/>
        <v>437089.92</v>
      </c>
      <c r="T116" s="227">
        <f t="shared" si="7"/>
        <v>655634.88</v>
      </c>
      <c r="U116" s="227">
        <f t="shared" si="7"/>
        <v>0</v>
      </c>
      <c r="V116" s="227">
        <f t="shared" si="7"/>
        <v>9834.52</v>
      </c>
      <c r="W116" s="227">
        <f t="shared" si="7"/>
        <v>645800.36</v>
      </c>
      <c r="X116" s="228">
        <f t="shared" ref="X116:X117" si="8">T116-U116-V116-W116</f>
        <v>0</v>
      </c>
      <c r="Y116" s="5"/>
    </row>
    <row r="117" spans="1:25" ht="23.25">
      <c r="A117" s="1"/>
      <c r="B117" s="1"/>
      <c r="C117" s="1"/>
      <c r="D117" s="220" t="str">
        <f>IF(H87&gt;=[1]IR!$B$4, CONCATENATE("e MP n° 1171/2023 (LAGUZ - Francinetti Ribeiro do Carmo- Aliquota: " &amp; [1]IR!$C$4*100 &amp;"%"),
  IF(H87&gt;=[1]IR!$B$5, CONCATENATE("e MP n° 1171/2023 (LAGUZ - Francinetti Ribeiro do Carmo- Aliquota: " &amp; [1]IR!$C$5*100 &amp;"%"),
    IF(H87&gt;=[1]IR!$B$6, CONCATENATE("e MP n° 1171/2023 (LAGUZ - Francinetti Ribeiro do Carmo- Aliquota: " &amp; [1]IR!$C$6*100 &amp;"%"),
      IF(H87&gt;=[1]IR!$B$7, CONCATENATE("e MP n° 1171/2023 (LAGUZ - Francinetti Ribeiro do Carmo- Aliquota: " &amp; [1]IR!$C$7*100 &amp;"%"),
        CONCATENATE("e MP n° 1171/2023 (LAGUZ - Francinetti Ribeiro do Carmo- Aliquota Isento)")))))</f>
        <v>e MP n° 1171/2023 (LAGUZ - Francinetti Ribeiro do Carmo- Aliquota: 27,5%</v>
      </c>
      <c r="E117" s="2"/>
      <c r="F117" s="2"/>
      <c r="G117" s="2"/>
      <c r="H117" s="2"/>
      <c r="I117" s="2"/>
      <c r="J117" s="2"/>
      <c r="K117" s="1"/>
      <c r="L117" s="3"/>
      <c r="M117" s="4"/>
      <c r="N117" s="4"/>
      <c r="O117" s="1"/>
      <c r="P117" s="5"/>
      <c r="Q117" s="5"/>
      <c r="R117" s="226">
        <f t="shared" si="7"/>
        <v>546362.4</v>
      </c>
      <c r="S117" s="227">
        <f t="shared" si="7"/>
        <v>218544.96</v>
      </c>
      <c r="T117" s="227">
        <f t="shared" si="7"/>
        <v>327817.44</v>
      </c>
      <c r="U117" s="227">
        <f t="shared" si="7"/>
        <v>0</v>
      </c>
      <c r="V117" s="227">
        <f t="shared" si="7"/>
        <v>89253.8</v>
      </c>
      <c r="W117" s="227">
        <f t="shared" si="7"/>
        <v>238563.64</v>
      </c>
      <c r="X117" s="228">
        <f t="shared" si="8"/>
        <v>0</v>
      </c>
      <c r="Y117" s="5"/>
    </row>
    <row r="118" spans="1:25" ht="23.25">
      <c r="A118" s="1"/>
      <c r="B118" s="1"/>
      <c r="C118" s="15"/>
      <c r="D118" s="229" t="s">
        <v>157</v>
      </c>
      <c r="E118" s="66"/>
      <c r="F118" s="66"/>
      <c r="G118" s="66"/>
      <c r="H118" s="15"/>
      <c r="I118" s="15"/>
      <c r="J118" s="15"/>
      <c r="K118" s="12"/>
      <c r="L118" s="3"/>
      <c r="M118" s="4"/>
      <c r="N118" s="4"/>
      <c r="O118" s="1"/>
      <c r="P118" s="5"/>
      <c r="Q118" s="5"/>
      <c r="R118" s="226">
        <f>SUM(R115:R117)</f>
        <v>41523542.559999995</v>
      </c>
      <c r="S118" s="227">
        <f>SUM(S115:S117)</f>
        <v>16609417.020000001</v>
      </c>
      <c r="T118" s="227">
        <f t="shared" ref="T118:V118" si="9">SUM(T115:T117)</f>
        <v>24914125.539999999</v>
      </c>
      <c r="U118" s="227">
        <f t="shared" si="9"/>
        <v>0</v>
      </c>
      <c r="V118" s="227">
        <f t="shared" si="9"/>
        <v>5332928.1099999994</v>
      </c>
      <c r="W118" s="227">
        <f>SUM(W115:W117)</f>
        <v>19581197.43</v>
      </c>
      <c r="X118" s="228">
        <f>T118-U118-V118-W118</f>
        <v>0</v>
      </c>
      <c r="Y118" s="5"/>
    </row>
    <row r="119" spans="1:25" ht="33.4" customHeight="1">
      <c r="A119" s="1"/>
      <c r="B119" s="1"/>
      <c r="C119" s="1"/>
      <c r="D119" s="229" t="s">
        <v>158</v>
      </c>
      <c r="E119" s="2"/>
      <c r="F119" s="2"/>
      <c r="G119" s="2"/>
      <c r="H119" s="2"/>
      <c r="I119" s="2"/>
      <c r="J119" s="2"/>
      <c r="K119" s="2"/>
      <c r="L119" s="2"/>
      <c r="M119" s="2"/>
      <c r="N119" s="4"/>
      <c r="O119" s="1"/>
      <c r="P119" s="5"/>
      <c r="Q119" s="5"/>
      <c r="R119" s="230">
        <f t="shared" ref="R119:W119" si="10">R118-F88</f>
        <v>0</v>
      </c>
      <c r="S119" s="231">
        <f t="shared" si="10"/>
        <v>0</v>
      </c>
      <c r="T119" s="231">
        <f t="shared" si="10"/>
        <v>0</v>
      </c>
      <c r="U119" s="231">
        <f t="shared" si="10"/>
        <v>0</v>
      </c>
      <c r="V119" s="231">
        <f t="shared" si="10"/>
        <v>0</v>
      </c>
      <c r="W119" s="231">
        <f t="shared" si="10"/>
        <v>0</v>
      </c>
      <c r="X119" s="232"/>
      <c r="Y119" s="5"/>
    </row>
    <row r="120" spans="1:25" ht="23.25">
      <c r="A120" s="1"/>
      <c r="B120" s="1"/>
      <c r="C120" s="111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23.25">
      <c r="A121" s="1"/>
      <c r="B121" s="1"/>
      <c r="C121" s="1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23.45" customHeight="1">
      <c r="A122" s="1"/>
      <c r="B122" s="1"/>
      <c r="C122" s="111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23.25">
      <c r="A123" s="1"/>
      <c r="B123" s="1"/>
      <c r="C123" s="1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11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4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23.25">
      <c r="A126" s="1"/>
      <c r="B126" s="1"/>
      <c r="C126" s="111"/>
      <c r="D126" s="239" t="str">
        <f ca="1">"Teresina, " &amp; TEXT(TODAY(), "dd") &amp; " de " &amp; TEXT(TODAY(), "mmmm") &amp; " de " &amp; TEXT(TODAY(), "aaaa")</f>
        <v>Teresina, 17 de fevereiro de 2025</v>
      </c>
      <c r="E126" s="239"/>
      <c r="F126" s="239"/>
      <c r="G126" s="239"/>
      <c r="H126" s="239"/>
      <c r="I126" s="239"/>
      <c r="J126" s="239"/>
      <c r="K126" s="239"/>
      <c r="L126" s="239"/>
      <c r="M126" s="239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23.25">
      <c r="A127" s="1"/>
      <c r="B127" s="1"/>
      <c r="C127" s="111"/>
      <c r="D127" s="239" t="str">
        <f>[1]MENU!$AD$24</f>
        <v>Gabriel de Jesus Silva</v>
      </c>
      <c r="E127" s="239"/>
      <c r="F127" s="239"/>
      <c r="G127" s="239"/>
      <c r="H127" s="239"/>
      <c r="I127" s="239"/>
      <c r="J127" s="239"/>
      <c r="K127" s="239"/>
      <c r="L127" s="239"/>
      <c r="M127" s="239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23.25">
      <c r="A128" s="1"/>
      <c r="B128" s="1"/>
      <c r="C128" s="111"/>
      <c r="D128" s="239" t="str">
        <f>[1]MENU!$AD$25</f>
        <v>Servidor TJ/PI - Coordenadoria de Precatórios</v>
      </c>
      <c r="E128" s="239"/>
      <c r="F128" s="239"/>
      <c r="G128" s="239"/>
      <c r="H128" s="239"/>
      <c r="I128" s="239"/>
      <c r="J128" s="239"/>
      <c r="K128" s="239"/>
      <c r="L128" s="239"/>
      <c r="M128" s="239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23.25">
      <c r="A129" s="1"/>
      <c r="B129" s="1"/>
      <c r="C129" s="233"/>
      <c r="D129" s="239"/>
      <c r="E129" s="239"/>
      <c r="F129" s="239"/>
      <c r="G129" s="239"/>
      <c r="H129" s="239"/>
      <c r="I129" s="239"/>
      <c r="J129" s="239"/>
      <c r="K129" s="239"/>
      <c r="L129" s="239"/>
      <c r="M129" s="239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233"/>
      <c r="D130" s="111"/>
      <c r="E130" s="111"/>
      <c r="F130" s="111"/>
      <c r="G130" s="111"/>
      <c r="H130" s="111"/>
      <c r="I130" s="111"/>
      <c r="J130" s="111"/>
      <c r="K130" s="111"/>
      <c r="L130" s="111"/>
      <c r="M130" s="4"/>
      <c r="N130" s="3"/>
      <c r="O130" s="3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23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2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234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235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2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2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2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2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A139" s="1"/>
      <c r="B139" s="1"/>
      <c r="C139" s="12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.6" customHeight="1">
      <c r="A140" s="1"/>
      <c r="B140" s="1"/>
      <c r="C140" s="12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5"/>
      <c r="Q140" s="5"/>
      <c r="R140" s="5"/>
      <c r="S140" s="5"/>
      <c r="T140" s="5"/>
      <c r="U140" s="5"/>
      <c r="V140" s="5"/>
      <c r="W140" s="5"/>
      <c r="X140" s="5"/>
      <c r="Y140" s="5"/>
    </row>
    <row r="141" spans="1:25" ht="15.6" customHeight="1">
      <c r="A141" s="1"/>
      <c r="B141" s="1"/>
      <c r="C141" s="12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5"/>
      <c r="Q141" s="5"/>
      <c r="R141" s="5"/>
      <c r="S141" s="5"/>
      <c r="T141" s="5"/>
      <c r="U141" s="5"/>
      <c r="V141" s="5"/>
      <c r="W141" s="5"/>
      <c r="X141" s="5"/>
      <c r="Y141" s="5"/>
    </row>
    <row r="142" spans="1:25" ht="15.6" customHeight="1">
      <c r="A142" s="1"/>
      <c r="B142" s="1"/>
      <c r="C142" s="12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5"/>
      <c r="Q142" s="5"/>
      <c r="R142" s="5"/>
      <c r="S142" s="5"/>
      <c r="T142" s="5"/>
      <c r="U142" s="5"/>
      <c r="V142" s="5"/>
      <c r="W142" s="5"/>
      <c r="X142" s="5"/>
      <c r="Y142" s="5"/>
    </row>
    <row r="143" spans="1:25" ht="15.6" customHeight="1">
      <c r="A143" s="1"/>
      <c r="B143" s="1"/>
      <c r="C143" s="12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5"/>
      <c r="Q143" s="5"/>
      <c r="R143" s="5"/>
      <c r="S143" s="5"/>
      <c r="T143" s="5"/>
      <c r="U143" s="5"/>
      <c r="V143" s="5"/>
      <c r="W143" s="5"/>
      <c r="X143" s="5"/>
      <c r="Y143" s="5"/>
    </row>
    <row r="144" spans="1:25" ht="15.6" customHeight="1">
      <c r="A144" s="1"/>
      <c r="B144" s="1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5"/>
      <c r="Q144" s="5"/>
      <c r="R144" s="5"/>
      <c r="S144" s="5"/>
      <c r="T144" s="5"/>
      <c r="U144" s="5"/>
      <c r="V144" s="5"/>
      <c r="W144" s="5"/>
      <c r="X144" s="5"/>
      <c r="Y144" s="5"/>
    </row>
    <row r="145" spans="1:25" ht="15.6" customHeight="1">
      <c r="A145" s="1"/>
      <c r="B145" s="1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5"/>
      <c r="Q145" s="5"/>
      <c r="R145" s="5"/>
      <c r="S145" s="5"/>
      <c r="T145" s="5"/>
      <c r="U145" s="5"/>
      <c r="V145" s="5"/>
      <c r="W145" s="5"/>
      <c r="X145" s="5"/>
      <c r="Y145" s="5"/>
    </row>
    <row r="146" spans="1:25" ht="15.6" customHeight="1">
      <c r="A146" s="1"/>
      <c r="B146" s="1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5"/>
      <c r="Q146" s="5"/>
      <c r="R146" s="5"/>
      <c r="S146" s="5"/>
      <c r="T146" s="5"/>
      <c r="U146" s="5"/>
      <c r="V146" s="5"/>
      <c r="W146" s="5"/>
      <c r="X146" s="5"/>
      <c r="Y146" s="5"/>
    </row>
    <row r="147" spans="1:25" ht="15.6" customHeight="1">
      <c r="A147" s="1"/>
      <c r="B147" s="1"/>
      <c r="C147" s="3"/>
      <c r="D147" s="25"/>
      <c r="E147" s="25"/>
      <c r="F147" s="25"/>
      <c r="G147" s="25"/>
      <c r="H147" s="25"/>
      <c r="I147" s="25"/>
      <c r="J147" s="25"/>
      <c r="K147" s="236"/>
    </row>
    <row r="148" spans="1:25" ht="15.6" customHeight="1">
      <c r="C148" s="236"/>
      <c r="D148" s="25"/>
      <c r="E148" s="25"/>
      <c r="F148" s="25"/>
      <c r="G148" s="25"/>
      <c r="H148" s="25"/>
      <c r="I148" s="25"/>
      <c r="J148" s="25"/>
      <c r="K148" s="236"/>
    </row>
    <row r="149" spans="1:25" ht="15.6" customHeight="1">
      <c r="C149" s="236"/>
      <c r="D149" s="25"/>
      <c r="E149" s="25"/>
      <c r="F149" s="25"/>
      <c r="G149" s="25"/>
      <c r="H149" s="25"/>
      <c r="I149" s="25"/>
      <c r="J149" s="25"/>
      <c r="K149" s="236"/>
    </row>
    <row r="150" spans="1:25" ht="15.6" customHeight="1">
      <c r="C150" s="236"/>
      <c r="D150" s="25"/>
      <c r="E150" s="25"/>
      <c r="F150" s="25"/>
      <c r="G150" s="25"/>
      <c r="H150" s="25"/>
      <c r="I150" s="25"/>
      <c r="J150" s="25"/>
      <c r="K150" s="236"/>
    </row>
    <row r="151" spans="1:25" ht="15.6" customHeight="1">
      <c r="C151" s="236"/>
      <c r="D151" s="25"/>
      <c r="E151" s="25"/>
      <c r="F151" s="25"/>
      <c r="G151" s="25"/>
      <c r="H151" s="25"/>
      <c r="I151" s="25"/>
      <c r="J151" s="25"/>
      <c r="K151" s="236"/>
    </row>
    <row r="152" spans="1:25" ht="15.6" customHeight="1">
      <c r="C152" s="236"/>
      <c r="D152" s="25"/>
      <c r="E152" s="25"/>
      <c r="F152" s="25"/>
      <c r="G152" s="25"/>
      <c r="H152" s="25"/>
      <c r="I152" s="25"/>
      <c r="J152" s="25"/>
      <c r="K152" s="236"/>
    </row>
    <row r="153" spans="1:25" ht="15.6" customHeight="1">
      <c r="C153" s="236"/>
      <c r="D153" s="25"/>
      <c r="E153" s="25"/>
      <c r="F153" s="25"/>
      <c r="G153" s="25"/>
      <c r="H153" s="25"/>
      <c r="I153" s="25"/>
      <c r="J153" s="25"/>
      <c r="K153" s="236"/>
    </row>
    <row r="154" spans="1:25" ht="15.6" customHeight="1">
      <c r="C154" s="236"/>
      <c r="D154" s="25"/>
      <c r="E154" s="25"/>
      <c r="F154" s="25"/>
      <c r="G154" s="25"/>
      <c r="H154" s="25"/>
      <c r="I154" s="25"/>
      <c r="J154" s="25"/>
      <c r="K154" s="236"/>
    </row>
    <row r="155" spans="1:25" ht="15.6" customHeight="1">
      <c r="C155" s="236"/>
      <c r="D155" s="25"/>
      <c r="E155" s="25"/>
      <c r="F155" s="25"/>
      <c r="G155" s="25"/>
      <c r="H155" s="25"/>
      <c r="I155" s="25"/>
      <c r="J155" s="25"/>
      <c r="K155" s="236"/>
    </row>
    <row r="156" spans="1:25" ht="15.6" customHeight="1">
      <c r="C156" s="236"/>
      <c r="D156" s="25"/>
      <c r="E156" s="25"/>
      <c r="F156" s="25"/>
      <c r="G156" s="25"/>
      <c r="H156" s="25"/>
      <c r="I156" s="25"/>
      <c r="J156" s="25"/>
      <c r="K156" s="236"/>
    </row>
    <row r="157" spans="1:25" ht="15.6" customHeight="1">
      <c r="C157" s="236"/>
      <c r="D157" s="25"/>
      <c r="E157" s="25"/>
      <c r="F157" s="25"/>
      <c r="G157" s="25"/>
      <c r="H157" s="25"/>
      <c r="I157" s="25"/>
      <c r="J157" s="25"/>
      <c r="K157" s="236"/>
    </row>
    <row r="158" spans="1:25" ht="15.6" customHeight="1">
      <c r="C158" s="236"/>
      <c r="D158" s="25"/>
      <c r="E158" s="25"/>
      <c r="F158" s="25"/>
      <c r="G158" s="25"/>
      <c r="H158" s="25"/>
      <c r="I158" s="25"/>
      <c r="J158" s="25"/>
      <c r="K158" s="236"/>
    </row>
    <row r="159" spans="1:25" ht="15.6" customHeight="1">
      <c r="C159" s="236"/>
      <c r="D159" s="25"/>
      <c r="E159" s="25"/>
      <c r="F159" s="25"/>
      <c r="G159" s="25"/>
      <c r="H159" s="25"/>
      <c r="I159" s="25"/>
      <c r="J159" s="25"/>
      <c r="K159" s="236"/>
    </row>
    <row r="160" spans="1:25" ht="15.6" customHeight="1">
      <c r="C160" s="236"/>
      <c r="D160" s="25"/>
      <c r="E160" s="25"/>
      <c r="F160" s="25"/>
      <c r="G160" s="25"/>
      <c r="H160" s="25"/>
      <c r="I160" s="25"/>
      <c r="J160" s="25"/>
      <c r="K160" s="236"/>
    </row>
    <row r="161" spans="3:11" ht="15.6" customHeight="1">
      <c r="C161" s="236"/>
      <c r="D161" s="25"/>
      <c r="E161" s="25"/>
      <c r="F161" s="25"/>
      <c r="G161" s="25"/>
      <c r="H161" s="25"/>
      <c r="I161" s="25"/>
      <c r="J161" s="25"/>
      <c r="K161" s="236"/>
    </row>
    <row r="162" spans="3:11" ht="15.6" customHeight="1">
      <c r="C162" s="236"/>
      <c r="D162" s="25"/>
      <c r="E162" s="25"/>
      <c r="F162" s="25"/>
      <c r="G162" s="25"/>
      <c r="H162" s="25"/>
      <c r="I162" s="25"/>
      <c r="J162" s="25"/>
      <c r="K162" s="236"/>
    </row>
    <row r="163" spans="3:11" ht="15.6" customHeight="1">
      <c r="C163" s="236"/>
      <c r="D163" s="25"/>
      <c r="E163" s="25"/>
      <c r="F163" s="25"/>
      <c r="G163" s="25"/>
      <c r="H163" s="25"/>
      <c r="I163" s="25"/>
      <c r="J163" s="25"/>
      <c r="K163" s="236"/>
    </row>
    <row r="164" spans="3:11" ht="15.6" customHeight="1">
      <c r="C164" s="236"/>
      <c r="D164" s="25"/>
      <c r="E164" s="25"/>
      <c r="F164" s="25"/>
      <c r="G164" s="25"/>
      <c r="H164" s="25"/>
      <c r="I164" s="25"/>
      <c r="J164" s="25"/>
      <c r="K164" s="236"/>
    </row>
    <row r="165" spans="3:11" ht="15.6" customHeight="1">
      <c r="C165" s="236"/>
      <c r="D165" s="25"/>
      <c r="E165" s="25"/>
      <c r="F165" s="25"/>
      <c r="G165" s="25"/>
      <c r="H165" s="25"/>
      <c r="I165" s="25"/>
      <c r="J165" s="25"/>
      <c r="K165" s="236"/>
    </row>
    <row r="166" spans="3:11" ht="15.6" customHeight="1">
      <c r="C166" s="236"/>
      <c r="D166" s="25"/>
      <c r="E166" s="25"/>
      <c r="F166" s="25"/>
      <c r="G166" s="25"/>
      <c r="H166" s="25"/>
      <c r="I166" s="25"/>
      <c r="J166" s="25"/>
      <c r="K166" s="236"/>
    </row>
    <row r="167" spans="3:11" ht="15.6" customHeight="1">
      <c r="C167" s="236"/>
      <c r="D167" s="25"/>
      <c r="E167" s="25"/>
      <c r="F167" s="25"/>
      <c r="G167" s="25"/>
      <c r="H167" s="25"/>
      <c r="I167" s="25"/>
      <c r="J167" s="25"/>
      <c r="K167" s="236"/>
    </row>
  </sheetData>
  <mergeCells count="73">
    <mergeCell ref="R10:S10"/>
    <mergeCell ref="C4:L4"/>
    <mergeCell ref="C5:L5"/>
    <mergeCell ref="R6:S6"/>
    <mergeCell ref="R8:S8"/>
    <mergeCell ref="R9:S9"/>
    <mergeCell ref="J21:K21"/>
    <mergeCell ref="R11:S11"/>
    <mergeCell ref="C13:L13"/>
    <mergeCell ref="R13:S13"/>
    <mergeCell ref="R14:S14"/>
    <mergeCell ref="R15:S15"/>
    <mergeCell ref="R17:W17"/>
    <mergeCell ref="K18:K20"/>
    <mergeCell ref="L18:L20"/>
    <mergeCell ref="R18:S18"/>
    <mergeCell ref="T18:U18"/>
    <mergeCell ref="V18:W18"/>
    <mergeCell ref="T25:V25"/>
    <mergeCell ref="K27:M27"/>
    <mergeCell ref="D33:N33"/>
    <mergeCell ref="D34:F34"/>
    <mergeCell ref="D35:E35"/>
    <mergeCell ref="D54:E54"/>
    <mergeCell ref="D55:E55"/>
    <mergeCell ref="D39:E39"/>
    <mergeCell ref="S22:S23"/>
    <mergeCell ref="J23:L23"/>
    <mergeCell ref="J25:L25"/>
    <mergeCell ref="D36:E36"/>
    <mergeCell ref="D37:E37"/>
    <mergeCell ref="D38:E38"/>
    <mergeCell ref="D53:E53"/>
    <mergeCell ref="D40:E40"/>
    <mergeCell ref="D42:F42"/>
    <mergeCell ref="D43:E43"/>
    <mergeCell ref="D44:E44"/>
    <mergeCell ref="D45:E45"/>
    <mergeCell ref="D46:E46"/>
    <mergeCell ref="D47:E47"/>
    <mergeCell ref="D49:F49"/>
    <mergeCell ref="D50:E50"/>
    <mergeCell ref="D51:E51"/>
    <mergeCell ref="D52:E52"/>
    <mergeCell ref="D56:E56"/>
    <mergeCell ref="D57:E57"/>
    <mergeCell ref="D58:E58"/>
    <mergeCell ref="J63:L63"/>
    <mergeCell ref="C66:N66"/>
    <mergeCell ref="D59:E59"/>
    <mergeCell ref="D60:F60"/>
    <mergeCell ref="D67:E67"/>
    <mergeCell ref="D68:E68"/>
    <mergeCell ref="Q96:R97"/>
    <mergeCell ref="D70:E70"/>
    <mergeCell ref="D71:E71"/>
    <mergeCell ref="R74:S74"/>
    <mergeCell ref="D87:E87"/>
    <mergeCell ref="D88:E88"/>
    <mergeCell ref="D94:E94"/>
    <mergeCell ref="D69:E69"/>
    <mergeCell ref="U74:V74"/>
    <mergeCell ref="D83:L83"/>
    <mergeCell ref="D84:E84"/>
    <mergeCell ref="D85:E85"/>
    <mergeCell ref="D86:E86"/>
    <mergeCell ref="D129:M129"/>
    <mergeCell ref="T98:T99"/>
    <mergeCell ref="W98:W99"/>
    <mergeCell ref="R114:X114"/>
    <mergeCell ref="D126:M126"/>
    <mergeCell ref="D127:M127"/>
    <mergeCell ref="D128:M128"/>
  </mergeCells>
  <conditionalFormatting sqref="D94:F97">
    <cfRule type="expression" dxfId="16" priority="1">
      <formula>$Q$14="Não"</formula>
    </cfRule>
  </conditionalFormatting>
  <conditionalFormatting sqref="D107:H107">
    <cfRule type="expression" dxfId="15" priority="5">
      <formula>$R$6="Não"</formula>
    </cfRule>
  </conditionalFormatting>
  <conditionalFormatting sqref="D119:K119">
    <cfRule type="expression" dxfId="14" priority="7">
      <formula>$Q$14="Sim"</formula>
    </cfRule>
  </conditionalFormatting>
  <conditionalFormatting sqref="D86:L87">
    <cfRule type="expression" dxfId="13" priority="3">
      <formula>$Q$15="Não"</formula>
    </cfRule>
  </conditionalFormatting>
  <conditionalFormatting sqref="D87:L87">
    <cfRule type="expression" dxfId="12" priority="2">
      <formula>$Q$15="Não"</formula>
    </cfRule>
  </conditionalFormatting>
  <conditionalFormatting sqref="D33:N63">
    <cfRule type="expression" dxfId="11" priority="6">
      <formula>$R$6="Não"</formula>
    </cfRule>
  </conditionalFormatting>
  <conditionalFormatting sqref="J23:N23">
    <cfRule type="expression" dxfId="10" priority="13">
      <formula>$R$4="Honorários sucumbenciais"</formula>
    </cfRule>
    <cfRule type="expression" dxfId="9" priority="16">
      <formula>$V$8="Não"</formula>
    </cfRule>
  </conditionalFormatting>
  <conditionalFormatting sqref="J25:N25">
    <cfRule type="expression" dxfId="8" priority="10">
      <formula>$R$4="Honorários contratuais"</formula>
    </cfRule>
  </conditionalFormatting>
  <conditionalFormatting sqref="J25:N27">
    <cfRule type="expression" dxfId="7" priority="17">
      <formula>$R$8="Não"</formula>
    </cfRule>
  </conditionalFormatting>
  <conditionalFormatting sqref="K27:N27">
    <cfRule type="expression" dxfId="6" priority="14">
      <formula>$R$5="Sim"</formula>
    </cfRule>
    <cfRule type="expression" dxfId="5" priority="15">
      <formula>$V$8="Sim"</formula>
    </cfRule>
  </conditionalFormatting>
  <conditionalFormatting sqref="M23">
    <cfRule type="expression" dxfId="4" priority="12">
      <formula>$R$4="Honorários sucumbenciais"</formula>
    </cfRule>
  </conditionalFormatting>
  <conditionalFormatting sqref="M25">
    <cfRule type="expression" dxfId="3" priority="9">
      <formula>$R$4="Honorários contratuais"</formula>
    </cfRule>
  </conditionalFormatting>
  <conditionalFormatting sqref="N23">
    <cfRule type="expression" dxfId="2" priority="11">
      <formula>$R$4="Honorários sucumbenciais"</formula>
    </cfRule>
  </conditionalFormatting>
  <conditionalFormatting sqref="N25">
    <cfRule type="expression" dxfId="1" priority="8">
      <formula>$R$4="Honorários contratuais"</formula>
    </cfRule>
  </conditionalFormatting>
  <conditionalFormatting sqref="D85:L85">
    <cfRule type="expression" dxfId="0" priority="4">
      <formula>$Q$14="Não"</formula>
    </cfRule>
  </conditionalFormatting>
  <dataValidations count="3">
    <dataValidation type="list" allowBlank="1" showInputMessage="1" showErrorMessage="1" sqref="U89 W98" xr:uid="{2976C857-766A-487D-94FA-E620C2B4B154}">
      <formula1>"Sim,Não"</formula1>
    </dataValidation>
    <dataValidation type="list" allowBlank="1" showInputMessage="1" showErrorMessage="1" sqref="V11:W12 R12:S12" xr:uid="{053E5D53-A6E2-4C9A-9BFA-9900B4DD24DB}">
      <formula1>"CNPJ,CPF,NÃO"</formula1>
    </dataValidation>
    <dataValidation type="list" allowBlank="1" showInputMessage="1" showErrorMessage="1" sqref="R8 V8 R5:R6 R10 Q14:Q15" xr:uid="{D79725EE-0652-429C-8ACA-3EB5DF1ED56D}">
      <formula1>"Sim,Não,"</formula1>
    </dataValidation>
  </dataValidations>
  <hyperlinks>
    <hyperlink ref="Q3" location="MENU!A1" display="# MENU" xr:uid="{30844FA2-69DB-4F2E-8839-8CD7164C7FC8}"/>
    <hyperlink ref="Q31" location="'ACORDO SINDIFAZ M.SOCORRO'!A1" display="ACORDO SINDIFAZ M.SOCORRO" xr:uid="{9029AC52-E0AB-4CA3-8397-88A90298DB5A}"/>
  </hyperlinks>
  <pageMargins left="0.7" right="0.7" top="0.75" bottom="0.75" header="0.3" footer="0.3"/>
  <pageSetup paperSize="9" scale="22" orientation="portrait" r:id="rId1"/>
  <rowBreaks count="1" manualBreakCount="1">
    <brk id="79" min="2" max="13" man="1"/>
  </rowBreaks>
  <colBreaks count="1" manualBreakCount="1">
    <brk id="14" max="153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923925</xdr:colOff>
                <xdr:row>0</xdr:row>
                <xdr:rowOff>0</xdr:rowOff>
              </from>
              <to>
                <xdr:col>8</xdr:col>
                <xdr:colOff>57150</xdr:colOff>
                <xdr:row>2</xdr:row>
                <xdr:rowOff>171450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438150</xdr:colOff>
                    <xdr:row>0</xdr:row>
                    <xdr:rowOff>161925</xdr:rowOff>
                  </from>
                  <to>
                    <xdr:col>17</xdr:col>
                    <xdr:colOff>2133600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15</xdr:col>
                    <xdr:colOff>762000</xdr:colOff>
                    <xdr:row>84</xdr:row>
                    <xdr:rowOff>933450</xdr:rowOff>
                  </from>
                  <to>
                    <xdr:col>16</xdr:col>
                    <xdr:colOff>1676400</xdr:colOff>
                    <xdr:row>86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12</vt:i4>
      </vt:variant>
    </vt:vector>
  </HeadingPairs>
  <TitlesOfParts>
    <vt:vector size="13" baseType="lpstr">
      <vt:lpstr>ACORDO SINDIFAZ</vt:lpstr>
      <vt:lpstr>aliquotaprevidencia</vt:lpstr>
      <vt:lpstr>'ACORDO SINDIFAZ'!Area_de_impressao</vt:lpstr>
      <vt:lpstr>formulaprev</vt:lpstr>
      <vt:lpstr>Nome_U</vt:lpstr>
      <vt:lpstr>Nome_V</vt:lpstr>
      <vt:lpstr>NomeContador</vt:lpstr>
      <vt:lpstr>pag</vt:lpstr>
      <vt:lpstr>prevpagapref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2025-02-17T13:23:17Z</dcterms:modified>
</cp:coreProperties>
</file>