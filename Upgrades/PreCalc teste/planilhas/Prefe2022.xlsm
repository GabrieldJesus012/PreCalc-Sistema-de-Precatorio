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2CDE402A-1906-4693-9E31-2038B16D4F87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PREFE 2022" sheetId="1" r:id="rId1"/>
  </sheets>
  <functionGroups builtInGroupCount="19"/>
  <externalReferences>
    <externalReference r:id="rId2"/>
  </externalReferences>
  <definedNames>
    <definedName name="aliquotaprevidencia">'PREFE 2022'!$T$54</definedName>
    <definedName name="_xlnm.Print_Area" localSheetId="0">'PREFE 2022'!$C$1:$N$94</definedName>
    <definedName name="NomeContador">'PREFE 2022'!$D$87</definedName>
    <definedName name="rratotal">'PREFE 2022'!$S$61</definedName>
    <definedName name="selicpercentual">'PREFE 2022'!$F$18</definedName>
    <definedName name="selicvalor">'PREFE 2022'!$G$18</definedName>
    <definedName name="valorbruto">'PREFE 2022'!$F$47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8" i="1" l="1"/>
  <c r="D87" i="1"/>
  <c r="D86" i="1"/>
  <c r="S84" i="1"/>
  <c r="S83" i="1"/>
  <c r="D78" i="1"/>
  <c r="D77" i="1"/>
  <c r="D76" i="1"/>
  <c r="R56" i="1"/>
  <c r="D46" i="1"/>
  <c r="D45" i="1"/>
  <c r="F39" i="1"/>
  <c r="I38" i="1"/>
  <c r="I37" i="1"/>
  <c r="I39" i="1" s="1"/>
  <c r="I36" i="1"/>
  <c r="H36" i="1"/>
  <c r="S33" i="1"/>
  <c r="F27" i="1"/>
  <c r="U24" i="1"/>
  <c r="W24" i="1" s="1"/>
  <c r="F23" i="1"/>
  <c r="R22" i="1"/>
  <c r="E21" i="1"/>
  <c r="E20" i="1"/>
  <c r="R18" i="1"/>
  <c r="R19" i="1" s="1"/>
  <c r="R20" i="1" s="1"/>
  <c r="R17" i="1"/>
  <c r="E16" i="1"/>
  <c r="E15" i="1"/>
  <c r="S17" i="1" s="1"/>
  <c r="E14" i="1"/>
  <c r="AD13" i="1"/>
  <c r="AD12" i="1"/>
  <c r="E11" i="1"/>
  <c r="E10" i="1"/>
  <c r="D44" i="1" s="1"/>
  <c r="E9" i="1"/>
  <c r="J9" i="1" s="1"/>
  <c r="E8" i="1"/>
  <c r="E7" i="1"/>
  <c r="E17" i="1" l="1"/>
  <c r="S18" i="1"/>
  <c r="S19" i="1" s="1"/>
  <c r="S20" i="1" s="1"/>
  <c r="F18" i="1" l="1"/>
  <c r="F16" i="1" l="1"/>
  <c r="G16" i="1" s="1"/>
  <c r="F15" i="1"/>
  <c r="G15" i="1" s="1"/>
  <c r="G17" i="1" l="1"/>
  <c r="R27" i="1"/>
  <c r="T17" i="1"/>
  <c r="T19" i="1" s="1"/>
  <c r="T20" i="1" s="1"/>
  <c r="T18" i="1"/>
  <c r="T27" i="1"/>
  <c r="U17" i="1" l="1"/>
  <c r="G18" i="1"/>
  <c r="U18" i="1" s="1"/>
  <c r="U19" i="1" s="1"/>
  <c r="G21" i="1" l="1"/>
  <c r="V27" i="1" l="1"/>
  <c r="T29" i="1" s="1"/>
  <c r="I23" i="1"/>
  <c r="G37" i="1"/>
  <c r="R24" i="1"/>
  <c r="J23" i="1"/>
  <c r="J25" i="1" s="1"/>
  <c r="J27" i="1"/>
  <c r="J29" i="1" s="1"/>
  <c r="S41" i="1"/>
  <c r="I27" i="1"/>
  <c r="G38" i="1"/>
  <c r="H38" i="1" s="1"/>
  <c r="J38" i="1" s="1"/>
  <c r="U20" i="1"/>
  <c r="W58" i="1" l="1"/>
  <c r="S47" i="1"/>
  <c r="D80" i="1" s="1"/>
  <c r="T24" i="1"/>
  <c r="R61" i="1"/>
  <c r="S27" i="1"/>
  <c r="W57" i="1"/>
  <c r="H37" i="1"/>
  <c r="H39" i="1" s="1"/>
  <c r="G39" i="1"/>
  <c r="J37" i="1" l="1"/>
  <c r="J39" i="1" s="1"/>
  <c r="V24" i="1"/>
  <c r="W27" i="1" s="1"/>
  <c r="S44" i="1" s="1"/>
  <c r="U27" i="1"/>
  <c r="S43" i="1" s="1"/>
  <c r="T43" i="1" s="1"/>
  <c r="U43" i="1" s="1"/>
  <c r="S42" i="1"/>
  <c r="S50" i="1"/>
  <c r="F46" i="1" s="1"/>
  <c r="R62" i="1"/>
  <c r="S63" i="1" s="1"/>
  <c r="S48" i="1"/>
  <c r="F45" i="1" s="1"/>
  <c r="R83" i="1" l="1"/>
  <c r="H45" i="1"/>
  <c r="T83" i="1" s="1"/>
  <c r="T75" i="1"/>
  <c r="Z102" i="1"/>
  <c r="S51" i="1"/>
  <c r="R84" i="1"/>
  <c r="D79" i="1"/>
  <c r="H46" i="1"/>
  <c r="T84" i="1" s="1"/>
  <c r="T42" i="1"/>
  <c r="T44" i="1" s="1"/>
  <c r="T30" i="1"/>
  <c r="U42" i="1" l="1"/>
  <c r="U44" i="1" s="1"/>
  <c r="F44" i="1"/>
  <c r="I46" i="1"/>
  <c r="U84" i="1" s="1"/>
  <c r="V84" i="1" s="1"/>
  <c r="M37" i="1"/>
  <c r="J44" i="1"/>
  <c r="F54" i="1" s="1"/>
  <c r="S79" i="1"/>
  <c r="M38" i="1"/>
  <c r="I45" i="1"/>
  <c r="U83" i="1" s="1"/>
  <c r="V83" i="1" s="1"/>
  <c r="S55" i="1" l="1"/>
  <c r="S56" i="1" s="1"/>
  <c r="S57" i="1" s="1"/>
  <c r="G44" i="1" s="1"/>
  <c r="T68" i="1"/>
  <c r="T70" i="1" s="1"/>
  <c r="T72" i="1" s="1"/>
  <c r="E54" i="1" s="1"/>
  <c r="T73" i="1"/>
  <c r="M39" i="1"/>
  <c r="F47" i="1"/>
  <c r="R82" i="1"/>
  <c r="R85" i="1" s="1"/>
  <c r="R86" i="1" s="1"/>
  <c r="E55" i="1" l="1"/>
  <c r="T74" i="1"/>
  <c r="T76" i="1" s="1"/>
  <c r="T77" i="1" s="1"/>
  <c r="T78" i="1" s="1"/>
  <c r="T79" i="1" s="1"/>
  <c r="L37" i="1" s="1"/>
  <c r="W55" i="1"/>
  <c r="W56" i="1" s="1"/>
  <c r="K38" i="1" s="1"/>
  <c r="K37" i="1"/>
  <c r="W59" i="1"/>
  <c r="S82" i="1"/>
  <c r="G47" i="1"/>
  <c r="D49" i="1" a="1"/>
  <c r="K39" i="1" l="1"/>
  <c r="L38" i="1"/>
  <c r="H44" i="1"/>
  <c r="D75" i="1"/>
  <c r="L39" i="1"/>
  <c r="D49" i="1"/>
  <c r="S85" i="1"/>
  <c r="H47" i="1"/>
  <c r="T82" i="1"/>
  <c r="T85" i="1" s="1"/>
  <c r="I44" i="1"/>
  <c r="T86" i="1" l="1"/>
  <c r="U82" i="1"/>
  <c r="U85" i="1" s="1"/>
  <c r="V85" i="1" s="1"/>
  <c r="I47" i="1"/>
  <c r="S86" i="1"/>
  <c r="V82" i="1" l="1"/>
  <c r="U8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<sst xmlns="http://schemas.openxmlformats.org/spreadsheetml/2006/main" count="141" uniqueCount="130">
  <si>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</si>
  <si>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</si>
  <si>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</si>
  <si>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</si>
  <si>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</si>
  <si>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</si>
  <si>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</si>
  <si>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</si>
  <si>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</si>
  <si>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</si>
  <si>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</si>
  <si>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</si>
  <si>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</si>
  <si>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</si>
  <si>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</si>
  <si>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</si>
  <si>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</si>
  <si>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</si>
  <si>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</si>
  <si>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</si>
  <si>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</si>
  <si>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</si>
  <si>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</si>
  <si>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</si>
  <si>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</si>
  <si>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</si>
  <si>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</si>
  <si>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</si>
  <si>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</si>
  <si>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</si>
  <si>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</si>
  <si>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Atualização IPCA-E</t>
  </si>
  <si>
    <t>Valor Atualizado com Juros em Janeiro/2023</t>
  </si>
  <si>
    <t>Junho</t>
  </si>
  <si>
    <t>PRINCIPAL</t>
  </si>
  <si>
    <t>Julho</t>
  </si>
  <si>
    <t>JUROS</t>
  </si>
  <si>
    <t xml:space="preserve">*verificação </t>
  </si>
  <si>
    <t>Agosto</t>
  </si>
  <si>
    <t>TOTAL (a)</t>
  </si>
  <si>
    <t>-</t>
  </si>
  <si>
    <t>Setembro</t>
  </si>
  <si>
    <t>Selic acumulada -</t>
  </si>
  <si>
    <t>Outubro</t>
  </si>
  <si>
    <t>Novembro</t>
  </si>
  <si>
    <t>Dezembro</t>
  </si>
  <si>
    <t>valor atualizado</t>
  </si>
  <si>
    <t>juros</t>
  </si>
  <si>
    <t>SELIC</t>
  </si>
  <si>
    <t>TOTAL DEVIDO (A+B)</t>
  </si>
  <si>
    <t>TOTAL DEVIDO AO EXEQUENTE
SE(E(R8="Sim");"TOTAL DEVIDO AO EXEQUENTE – (C) = (A - B)";
SE(E(V8="Sim");"TOTAL DEVIDO AO EXEQUENTE – (C) = (A - B)";
"TOTAL DEVIDO AO EXEQUENTE – (A) = (A)")))</t>
  </si>
  <si>
    <t>VERIFICAÇÃO:</t>
  </si>
  <si>
    <t>Valor a pagar para preferencia: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</si>
  <si>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</si>
  <si>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</si>
  <si>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</si>
  <si>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</si>
  <si>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</si>
  <si>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</si>
  <si>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</si>
  <si>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</t>
  </si>
  <si>
    <t>TOTAL</t>
  </si>
  <si>
    <t>Para Preferencia</t>
  </si>
  <si>
    <t>INCORPORANDO A SELIC</t>
  </si>
  <si>
    <t>PAGAMENTO PREFERENCIAL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</si>
  <si>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</si>
  <si>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</si>
  <si>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</si>
  <si>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</si>
  <si>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</si>
  <si>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</si>
  <si>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</si>
  <si>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</si>
  <si>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</si>
  <si>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</si>
  <si>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</si>
  <si>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</si>
  <si>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</si>
  <si>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</si>
  <si>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</si>
  <si>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</si>
  <si>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</si>
  <si>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</si>
  <si>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</si>
  <si>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</si>
  <si>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</si>
  <si>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</si>
  <si>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</si>
  <si>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</si>
  <si>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</si>
  <si>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</si>
  <si>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</si>
  <si>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</si>
  <si>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</si>
  <si>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</si>
  <si>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</si>
  <si>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</si>
  <si>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</si>
  <si>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</si>
  <si>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</si>
  <si>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</si>
  <si>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</si>
  <si>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</si>
  <si>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</si>
  <si>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</si>
  <si>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 xml:space="preserve"> § 12º da CF/88, Art.22 da Resolução 303 do CNJ  e SV nº 17 do STF.</t>
  </si>
  <si>
    <t>4- Atualização do cálculo de ID.9999 - Pág. 12.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</si>
  <si>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</si>
  <si>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da Resolução nº 303/2019 do CNJ, com redação dada pela Resolução 438/2021, a qual determina que a superpreferência a ser paga</t>
  </si>
  <si>
    <t>deve obedecer o valor da obrigação de pequeno valor vigente na data do trânsito em julgado da fase de conhecimento do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</si>
  <si>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</si>
  <si>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Imposto de renda</t>
  </si>
  <si>
    <t>VALOR A PAGAR</t>
  </si>
  <si>
    <t>que fixa o valor da RPV em 05(cinco) salários mínimos.</t>
  </si>
  <si>
    <t>(-) PARCEL. PREF paga atualizada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</si>
  <si>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</si>
  <si>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(-) PARCE. HONORÁRIOS CONTRATUAIS</t>
  </si>
  <si>
    <t>art. 5° da Lei n° 7.311/2019,alíquota de 14% sobre o valor atualizado, excluído os juros, em analogia ao §8°, art. 9°</t>
  </si>
  <si>
    <t>(-) OUTRAS DEDUÇÕES</t>
  </si>
  <si>
    <t>da IN da RFB n° 1332/2013 com redação dada pela IN RFB 1643/2016.</t>
  </si>
  <si>
    <t>BC SEM HONORÁRIOS E OUTRAS DEDUÇÕES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</si>
  <si>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</si>
  <si>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Prev.</t>
  </si>
  <si>
    <t>lei LEI Nº 14.848, DE 1º DE MAIO DE 2024, e em conformidade com a decisão do Recurso Extraordinário n° 855091/RS, com Repercussão Geral, Tema 808.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</si>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</sst>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0"/>
    <numFmt numFmtId="170" formatCode="[$R$-416]&quot; &quot;#,##0.00;[Red]&quot;-&quot;[$R$-416]&quot; &quot;#,##0.00"/>
    <numFmt numFmtId="171" formatCode="0.0000000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44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vertical="center"/>
    </xf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3" borderId="0" xfId="0" applyFont="1" applyFill="1" applyAlignment="1">
      <alignment horizontal="center"/>
    </xf>
    <xf numFmtId="167" fontId="4" fillId="0" borderId="0" xfId="0" applyNumberFormat="1" applyFont="1"/>
    <xf numFmtId="0" fontId="16" fillId="7" borderId="2" xfId="0" applyFont="1" applyFill="1" applyBorder="1" applyAlignment="1">
      <alignment horizontal="center" wrapText="1"/>
    </xf>
    <xf numFmtId="168" fontId="16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9" fontId="11" fillId="2" borderId="2" xfId="0" applyNumberFormat="1" applyFont="1" applyFill="1" applyBorder="1" applyAlignment="1">
      <alignment horizontal="center" wrapText="1"/>
    </xf>
    <xf numFmtId="4" fontId="11" fillId="0" borderId="3" xfId="0" applyNumberFormat="1" applyFont="1" applyBorder="1" applyAlignment="1">
      <alignment horizontal="right"/>
    </xf>
    <xf numFmtId="169" fontId="11" fillId="2" borderId="3" xfId="0" applyNumberFormat="1" applyFont="1" applyFill="1" applyBorder="1" applyAlignment="1">
      <alignment horizontal="center" wrapText="1"/>
    </xf>
    <xf numFmtId="0" fontId="16" fillId="9" borderId="7" xfId="0" applyFont="1" applyFill="1" applyBorder="1" applyAlignment="1">
      <alignment horizontal="center" wrapText="1"/>
    </xf>
    <xf numFmtId="170" fontId="16" fillId="9" borderId="1" xfId="0" applyNumberFormat="1" applyFont="1" applyFill="1" applyBorder="1" applyAlignment="1">
      <alignment horizontal="right"/>
    </xf>
    <xf numFmtId="171" fontId="16" fillId="9" borderId="1" xfId="0" applyNumberFormat="1" applyFont="1" applyFill="1" applyBorder="1" applyAlignment="1">
      <alignment horizontal="center" wrapText="1"/>
    </xf>
    <xf numFmtId="170" fontId="4" fillId="3" borderId="0" xfId="0" applyNumberFormat="1" applyFont="1" applyFill="1"/>
    <xf numFmtId="4" fontId="4" fillId="8" borderId="8" xfId="0" applyNumberFormat="1" applyFont="1" applyFill="1" applyBorder="1" applyAlignment="1">
      <alignment horizontal="center"/>
    </xf>
    <xf numFmtId="4" fontId="4" fillId="8" borderId="0" xfId="0" applyNumberFormat="1" applyFont="1" applyFill="1" applyAlignment="1">
      <alignment horizontal="center"/>
    </xf>
    <xf numFmtId="4" fontId="4" fillId="8" borderId="9" xfId="0" applyNumberFormat="1" applyFont="1" applyFill="1" applyBorder="1" applyAlignment="1">
      <alignment horizontal="center"/>
    </xf>
    <xf numFmtId="4" fontId="4" fillId="8" borderId="10" xfId="0" applyNumberFormat="1" applyFont="1" applyFill="1" applyBorder="1" applyAlignment="1">
      <alignment horizontal="center"/>
    </xf>
    <xf numFmtId="0" fontId="10" fillId="10" borderId="11" xfId="0" applyFont="1" applyFill="1" applyBorder="1" applyAlignment="1">
      <alignment horizontal="center" wrapText="1"/>
    </xf>
    <xf numFmtId="4" fontId="4" fillId="8" borderId="12" xfId="0" applyNumberFormat="1" applyFont="1" applyFill="1" applyBorder="1" applyAlignment="1">
      <alignment horizontal="center"/>
    </xf>
    <xf numFmtId="167" fontId="4" fillId="10" borderId="11" xfId="0" applyNumberFormat="1" applyFont="1" applyFill="1" applyBorder="1" applyAlignment="1">
      <alignment horizontal="center"/>
    </xf>
    <xf numFmtId="4" fontId="4" fillId="8" borderId="13" xfId="0" applyNumberFormat="1" applyFont="1" applyFill="1" applyBorder="1" applyAlignment="1">
      <alignment horizontal="center"/>
    </xf>
    <xf numFmtId="167" fontId="4" fillId="10" borderId="14" xfId="0" applyNumberFormat="1" applyFont="1" applyFill="1" applyBorder="1" applyAlignment="1">
      <alignment horizontal="center"/>
    </xf>
    <xf numFmtId="172" fontId="4" fillId="8" borderId="4" xfId="0" applyNumberFormat="1" applyFont="1" applyFill="1" applyBorder="1" applyAlignment="1">
      <alignment horizontal="center" vertical="center"/>
    </xf>
    <xf numFmtId="172" fontId="4" fillId="8" borderId="5" xfId="0" applyNumberFormat="1" applyFont="1" applyFill="1" applyBorder="1" applyAlignment="1">
      <alignment horizontal="center" vertical="center"/>
    </xf>
    <xf numFmtId="172" fontId="4" fillId="8" borderId="13" xfId="0" applyNumberFormat="1" applyFont="1" applyFill="1" applyBorder="1" applyAlignment="1">
      <alignment horizontal="center" vertical="center"/>
    </xf>
    <xf numFmtId="172" fontId="4" fillId="8" borderId="6" xfId="0" applyNumberFormat="1" applyFont="1" applyFill="1" applyBorder="1" applyAlignment="1">
      <alignment horizontal="center" vertical="center"/>
    </xf>
    <xf numFmtId="173" fontId="9" fillId="11" borderId="1" xfId="0" applyNumberFormat="1" applyFont="1" applyFill="1" applyBorder="1" applyAlignment="1">
      <alignment horizontal="right"/>
    </xf>
    <xf numFmtId="0" fontId="16" fillId="2" borderId="0" xfId="0" applyFont="1" applyFill="1"/>
    <xf numFmtId="170" fontId="18" fillId="2" borderId="6" xfId="0" applyNumberFormat="1" applyFont="1" applyFill="1" applyBorder="1" applyAlignment="1">
      <alignment horizontal="left"/>
    </xf>
    <xf numFmtId="173" fontId="18" fillId="2" borderId="1" xfId="0" applyNumberFormat="1" applyFont="1" applyFill="1" applyBorder="1"/>
    <xf numFmtId="170" fontId="16" fillId="12" borderId="12" xfId="0" applyNumberFormat="1" applyFont="1" applyFill="1" applyBorder="1"/>
    <xf numFmtId="174" fontId="16" fillId="12" borderId="0" xfId="0" applyNumberFormat="1" applyFont="1" applyFill="1"/>
    <xf numFmtId="170" fontId="16" fillId="12" borderId="0" xfId="0" applyNumberFormat="1" applyFont="1" applyFill="1"/>
    <xf numFmtId="10" fontId="16" fillId="12" borderId="0" xfId="0" applyNumberFormat="1" applyFont="1" applyFill="1"/>
    <xf numFmtId="10" fontId="16" fillId="12" borderId="10" xfId="0" applyNumberFormat="1" applyFont="1" applyFill="1" applyBorder="1"/>
    <xf numFmtId="170" fontId="19" fillId="2" borderId="17" xfId="0" applyNumberFormat="1" applyFont="1" applyFill="1" applyBorder="1" applyAlignment="1">
      <alignment horizontal="left"/>
    </xf>
    <xf numFmtId="170" fontId="19" fillId="2" borderId="2" xfId="0" applyNumberFormat="1" applyFont="1" applyFill="1" applyBorder="1" applyAlignment="1">
      <alignment horizontal="right"/>
    </xf>
    <xf numFmtId="170" fontId="16" fillId="3" borderId="18" xfId="0" applyNumberFormat="1" applyFont="1" applyFill="1" applyBorder="1"/>
    <xf numFmtId="10" fontId="16" fillId="3" borderId="13" xfId="0" applyNumberFormat="1" applyFont="1" applyFill="1" applyBorder="1"/>
    <xf numFmtId="170" fontId="16" fillId="3" borderId="13" xfId="0" applyNumberFormat="1" applyFont="1" applyFill="1" applyBorder="1"/>
    <xf numFmtId="10" fontId="16" fillId="3" borderId="19" xfId="0" applyNumberFormat="1" applyFont="1" applyFill="1" applyBorder="1" applyAlignment="1">
      <alignment vertic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72" fontId="4" fillId="3" borderId="0" xfId="0" applyNumberFormat="1" applyFont="1" applyFill="1"/>
    <xf numFmtId="170" fontId="16" fillId="2" borderId="2" xfId="0" applyNumberFormat="1" applyFont="1" applyFill="1" applyBorder="1" applyAlignment="1">
      <alignment horizontal="right"/>
    </xf>
    <xf numFmtId="170" fontId="20" fillId="13" borderId="0" xfId="0" applyNumberFormat="1" applyFont="1" applyFill="1" applyAlignment="1">
      <alignment horizontal="center" vertical="center"/>
    </xf>
    <xf numFmtId="10" fontId="20" fillId="13" borderId="0" xfId="2" applyNumberFormat="1" applyFont="1" applyFill="1" applyAlignment="1">
      <alignment horizontal="center"/>
    </xf>
    <xf numFmtId="172" fontId="4" fillId="2" borderId="0" xfId="0" applyNumberFormat="1" applyFont="1" applyFill="1"/>
    <xf numFmtId="170" fontId="16" fillId="5" borderId="0" xfId="0" applyNumberFormat="1" applyFont="1" applyFill="1" applyAlignment="1">
      <alignment wrapText="1"/>
    </xf>
    <xf numFmtId="170" fontId="17" fillId="14" borderId="0" xfId="0" applyNumberFormat="1" applyFont="1" applyFill="1" applyAlignment="1">
      <alignment horizontal="center"/>
    </xf>
    <xf numFmtId="0" fontId="12" fillId="3" borderId="0" xfId="0" applyFont="1" applyFill="1"/>
    <xf numFmtId="170" fontId="6" fillId="15" borderId="1" xfId="0" applyNumberFormat="1" applyFont="1" applyFill="1" applyBorder="1" applyAlignment="1">
      <alignment horizontal="center" vertical="center"/>
    </xf>
    <xf numFmtId="170" fontId="6" fillId="15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2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70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10" fontId="4" fillId="3" borderId="0" xfId="0" applyNumberFormat="1" applyFont="1" applyFill="1"/>
    <xf numFmtId="0" fontId="17" fillId="16" borderId="0" xfId="0" applyFont="1" applyFill="1"/>
    <xf numFmtId="170" fontId="17" fillId="16" borderId="0" xfId="0" applyNumberFormat="1" applyFont="1" applyFill="1" applyAlignment="1">
      <alignment horizontal="center"/>
    </xf>
    <xf numFmtId="0" fontId="20" fillId="16" borderId="0" xfId="0" applyFont="1" applyFill="1"/>
    <xf numFmtId="170" fontId="20" fillId="16" borderId="0" xfId="0" applyNumberFormat="1" applyFont="1" applyFill="1" applyAlignment="1">
      <alignment horizontal="center"/>
    </xf>
    <xf numFmtId="170" fontId="16" fillId="5" borderId="0" xfId="0" applyNumberFormat="1" applyFont="1" applyFill="1"/>
    <xf numFmtId="170" fontId="22" fillId="5" borderId="8" xfId="0" applyNumberFormat="1" applyFont="1" applyFill="1" applyBorder="1" applyAlignment="1">
      <alignment horizontal="center"/>
    </xf>
    <xf numFmtId="0" fontId="22" fillId="5" borderId="15" xfId="0" applyFont="1" applyFill="1" applyBorder="1"/>
    <xf numFmtId="0" fontId="6" fillId="17" borderId="2" xfId="0" applyFont="1" applyFill="1" applyBorder="1" applyAlignment="1">
      <alignment horizontal="center" wrapText="1"/>
    </xf>
    <xf numFmtId="170" fontId="6" fillId="17" borderId="2" xfId="0" applyNumberFormat="1" applyFont="1" applyFill="1" applyBorder="1" applyAlignment="1">
      <alignment horizontal="center"/>
    </xf>
    <xf numFmtId="170" fontId="6" fillId="17" borderId="2" xfId="0" applyNumberFormat="1" applyFont="1" applyFill="1" applyBorder="1" applyAlignment="1">
      <alignment horizontal="center" wrapText="1"/>
    </xf>
    <xf numFmtId="170" fontId="22" fillId="5" borderId="12" xfId="0" applyNumberFormat="1" applyFont="1" applyFill="1" applyBorder="1" applyAlignment="1">
      <alignment horizontal="center"/>
    </xf>
    <xf numFmtId="0" fontId="22" fillId="5" borderId="10" xfId="0" applyFont="1" applyFill="1" applyBorder="1" applyAlignment="1">
      <alignment horizontal="left"/>
    </xf>
    <xf numFmtId="170" fontId="10" fillId="0" borderId="2" xfId="0" applyNumberFormat="1" applyFont="1" applyBorder="1" applyAlignment="1">
      <alignment horizontal="right"/>
    </xf>
    <xf numFmtId="170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70" fontId="4" fillId="5" borderId="0" xfId="0" applyNumberFormat="1" applyFont="1" applyFill="1"/>
    <xf numFmtId="170" fontId="22" fillId="5" borderId="1" xfId="0" applyNumberFormat="1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20" fillId="5" borderId="8" xfId="0" applyFont="1" applyFill="1" applyBorder="1" applyAlignment="1">
      <alignment horizontal="left" vertical="center"/>
    </xf>
    <xf numFmtId="170" fontId="4" fillId="5" borderId="15" xfId="0" applyNumberFormat="1" applyFont="1" applyFill="1" applyBorder="1" applyAlignment="1">
      <alignment vertical="center"/>
    </xf>
    <xf numFmtId="0" fontId="12" fillId="2" borderId="0" xfId="0" applyFont="1" applyFill="1"/>
    <xf numFmtId="175" fontId="12" fillId="2" borderId="0" xfId="0" applyNumberFormat="1" applyFont="1" applyFill="1"/>
    <xf numFmtId="0" fontId="20" fillId="5" borderId="12" xfId="0" applyFont="1" applyFill="1" applyBorder="1" applyAlignment="1">
      <alignment horizontal="left" vertical="center" wrapText="1"/>
    </xf>
    <xf numFmtId="170" fontId="4" fillId="5" borderId="10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70" fontId="6" fillId="2" borderId="0" xfId="0" applyNumberFormat="1" applyFont="1" applyFill="1" applyAlignment="1">
      <alignment horizontal="left"/>
    </xf>
    <xf numFmtId="0" fontId="20" fillId="5" borderId="12" xfId="0" applyFont="1" applyFill="1" applyBorder="1" applyAlignment="1">
      <alignment horizontal="left" wrapText="1"/>
    </xf>
    <xf numFmtId="0" fontId="20" fillId="5" borderId="18" xfId="0" applyFont="1" applyFill="1" applyBorder="1" applyAlignment="1">
      <alignment horizontal="left" vertical="center"/>
    </xf>
    <xf numFmtId="170" fontId="12" fillId="5" borderId="19" xfId="0" applyNumberFormat="1" applyFont="1" applyFill="1" applyBorder="1" applyAlignment="1">
      <alignment vertical="center"/>
    </xf>
    <xf numFmtId="0" fontId="23" fillId="2" borderId="0" xfId="0" applyFont="1" applyFill="1"/>
    <xf numFmtId="170" fontId="16" fillId="3" borderId="0" xfId="0" applyNumberFormat="1" applyFont="1" applyFill="1"/>
    <xf numFmtId="10" fontId="16" fillId="3" borderId="0" xfId="0" applyNumberFormat="1" applyFont="1" applyFill="1"/>
    <xf numFmtId="170" fontId="11" fillId="2" borderId="1" xfId="0" applyNumberFormat="1" applyFont="1" applyFill="1" applyBorder="1"/>
    <xf numFmtId="176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70" fontId="11" fillId="2" borderId="0" xfId="0" applyNumberFormat="1" applyFont="1" applyFill="1"/>
    <xf numFmtId="170" fontId="10" fillId="2" borderId="0" xfId="0" applyNumberFormat="1" applyFont="1" applyFill="1"/>
    <xf numFmtId="0" fontId="17" fillId="16" borderId="8" xfId="0" applyFont="1" applyFill="1" applyBorder="1" applyAlignment="1">
      <alignment horizontal="right"/>
    </xf>
    <xf numFmtId="0" fontId="24" fillId="14" borderId="15" xfId="0" applyFont="1" applyFill="1" applyBorder="1" applyAlignment="1">
      <alignment horizontal="center"/>
    </xf>
    <xf numFmtId="9" fontId="17" fillId="14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7" fillId="16" borderId="12" xfId="0" applyFont="1" applyFill="1" applyBorder="1" applyAlignment="1">
      <alignment horizontal="right"/>
    </xf>
    <xf numFmtId="170" fontId="17" fillId="16" borderId="10" xfId="0" applyNumberFormat="1" applyFont="1" applyFill="1" applyBorder="1"/>
    <xf numFmtId="0" fontId="17" fillId="18" borderId="12" xfId="0" applyFont="1" applyFill="1" applyBorder="1" applyAlignment="1">
      <alignment horizontal="right"/>
    </xf>
    <xf numFmtId="170" fontId="17" fillId="14" borderId="10" xfId="0" applyNumberFormat="1" applyFont="1" applyFill="1" applyBorder="1"/>
    <xf numFmtId="0" fontId="26" fillId="18" borderId="12" xfId="0" applyFont="1" applyFill="1" applyBorder="1" applyAlignment="1">
      <alignment horizontal="center" wrapText="1"/>
    </xf>
    <xf numFmtId="0" fontId="17" fillId="16" borderId="18" xfId="0" applyFont="1" applyFill="1" applyBorder="1" applyAlignment="1">
      <alignment horizontal="right" wrapText="1"/>
    </xf>
    <xf numFmtId="170" fontId="17" fillId="16" borderId="19" xfId="0" applyNumberFormat="1" applyFont="1" applyFill="1" applyBorder="1"/>
    <xf numFmtId="0" fontId="17" fillId="18" borderId="12" xfId="0" applyFont="1" applyFill="1" applyBorder="1" applyAlignment="1">
      <alignment horizontal="right" wrapText="1"/>
    </xf>
    <xf numFmtId="170" fontId="17" fillId="18" borderId="10" xfId="0" applyNumberFormat="1" applyFont="1" applyFill="1" applyBorder="1"/>
    <xf numFmtId="176" fontId="11" fillId="2" borderId="0" xfId="0" applyNumberFormat="1" applyFont="1" applyFill="1"/>
    <xf numFmtId="0" fontId="11" fillId="2" borderId="0" xfId="0" applyFont="1" applyFill="1" applyAlignment="1">
      <alignment vertical="center"/>
    </xf>
    <xf numFmtId="0" fontId="17" fillId="18" borderId="4" xfId="0" applyFont="1" applyFill="1" applyBorder="1" applyAlignment="1">
      <alignment horizontal="right" wrapText="1"/>
    </xf>
    <xf numFmtId="0" fontId="17" fillId="18" borderId="6" xfId="0" applyFont="1" applyFill="1" applyBorder="1"/>
    <xf numFmtId="170" fontId="17" fillId="19" borderId="0" xfId="0" applyNumberFormat="1" applyFont="1" applyFill="1" applyAlignment="1">
      <alignment horizontal="center" vertical="center"/>
    </xf>
    <xf numFmtId="2" fontId="17" fillId="20" borderId="0" xfId="0" applyNumberFormat="1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/>
    </xf>
    <xf numFmtId="2" fontId="17" fillId="1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4" fillId="2" borderId="0" xfId="4" applyFont="1" applyFill="1"/>
    <xf numFmtId="170" fontId="17" fillId="21" borderId="8" xfId="0" applyNumberFormat="1" applyFont="1" applyFill="1" applyBorder="1" applyAlignment="1">
      <alignment horizontal="center" vertical="center"/>
    </xf>
    <xf numFmtId="170" fontId="20" fillId="21" borderId="15" xfId="2" applyNumberFormat="1" applyFont="1" applyFill="1" applyBorder="1"/>
    <xf numFmtId="170" fontId="17" fillId="21" borderId="18" xfId="0" applyNumberFormat="1" applyFont="1" applyFill="1" applyBorder="1" applyAlignment="1">
      <alignment horizontal="center" vertical="center" wrapText="1"/>
    </xf>
    <xf numFmtId="170" fontId="20" fillId="21" borderId="19" xfId="2" applyNumberFormat="1" applyFont="1" applyFill="1" applyBorder="1" applyAlignment="1">
      <alignment horizontal="right"/>
    </xf>
    <xf numFmtId="0" fontId="20" fillId="3" borderId="8" xfId="0" applyFont="1" applyFill="1" applyBorder="1"/>
    <xf numFmtId="0" fontId="20" fillId="3" borderId="9" xfId="0" applyFont="1" applyFill="1" applyBorder="1"/>
    <xf numFmtId="172" fontId="20" fillId="3" borderId="15" xfId="0" applyNumberFormat="1" applyFont="1" applyFill="1" applyBorder="1"/>
    <xf numFmtId="0" fontId="11" fillId="3" borderId="0" xfId="0" applyFont="1" applyFill="1"/>
    <xf numFmtId="0" fontId="20" fillId="3" borderId="12" xfId="0" applyFont="1" applyFill="1" applyBorder="1"/>
    <xf numFmtId="0" fontId="20" fillId="3" borderId="0" xfId="0" applyFont="1" applyFill="1"/>
    <xf numFmtId="170" fontId="20" fillId="3" borderId="10" xfId="0" applyNumberFormat="1" applyFont="1" applyFill="1" applyBorder="1"/>
    <xf numFmtId="0" fontId="22" fillId="3" borderId="12" xfId="0" applyFont="1" applyFill="1" applyBorder="1"/>
    <xf numFmtId="170" fontId="12" fillId="3" borderId="10" xfId="0" applyNumberFormat="1" applyFont="1" applyFill="1" applyBorder="1"/>
    <xf numFmtId="0" fontId="12" fillId="3" borderId="12" xfId="0" applyFont="1" applyFill="1" applyBorder="1"/>
    <xf numFmtId="170" fontId="12" fillId="3" borderId="0" xfId="0" applyNumberFormat="1" applyFont="1" applyFill="1"/>
    <xf numFmtId="0" fontId="17" fillId="17" borderId="12" xfId="0" applyFont="1" applyFill="1" applyBorder="1"/>
    <xf numFmtId="0" fontId="17" fillId="17" borderId="0" xfId="0" applyFont="1" applyFill="1"/>
    <xf numFmtId="170" fontId="17" fillId="17" borderId="10" xfId="0" applyNumberFormat="1" applyFont="1" applyFill="1" applyBorder="1"/>
    <xf numFmtId="170" fontId="20" fillId="3" borderId="0" xfId="0" applyNumberFormat="1" applyFont="1" applyFill="1"/>
    <xf numFmtId="4" fontId="4" fillId="3" borderId="0" xfId="0" applyNumberFormat="1" applyFont="1" applyFill="1"/>
    <xf numFmtId="177" fontId="20" fillId="3" borderId="10" xfId="0" applyNumberFormat="1" applyFont="1" applyFill="1" applyBorder="1"/>
    <xf numFmtId="170" fontId="11" fillId="3" borderId="0" xfId="0" applyNumberFormat="1" applyFont="1" applyFill="1"/>
    <xf numFmtId="0" fontId="10" fillId="2" borderId="0" xfId="0" applyFont="1" applyFill="1" applyAlignment="1">
      <alignment wrapText="1"/>
    </xf>
    <xf numFmtId="4" fontId="4" fillId="2" borderId="0" xfId="0" applyNumberFormat="1" applyFont="1" applyFill="1" applyAlignment="1">
      <alignment horizontal="left"/>
    </xf>
    <xf numFmtId="10" fontId="20" fillId="3" borderId="10" xfId="2" applyNumberFormat="1" applyFont="1" applyFill="1" applyBorder="1"/>
    <xf numFmtId="0" fontId="4" fillId="0" borderId="0" xfId="0" applyFont="1" applyAlignment="1">
      <alignment horizontal="left"/>
    </xf>
    <xf numFmtId="0" fontId="20" fillId="3" borderId="18" xfId="0" applyFont="1" applyFill="1" applyBorder="1" applyAlignment="1">
      <alignment wrapText="1"/>
    </xf>
    <xf numFmtId="0" fontId="20" fillId="3" borderId="13" xfId="0" applyFont="1" applyFill="1" applyBorder="1"/>
    <xf numFmtId="170" fontId="20" fillId="3" borderId="19" xfId="0" applyNumberFormat="1" applyFont="1" applyFill="1" applyBorder="1"/>
    <xf numFmtId="0" fontId="9" fillId="2" borderId="0" xfId="4" applyFont="1" applyFill="1"/>
    <xf numFmtId="4" fontId="4" fillId="2" borderId="0" xfId="0" applyNumberFormat="1" applyFont="1" applyFill="1" applyAlignment="1">
      <alignment horizontal="right"/>
    </xf>
    <xf numFmtId="170" fontId="20" fillId="13" borderId="12" xfId="0" applyNumberFormat="1" applyFont="1" applyFill="1" applyBorder="1"/>
    <xf numFmtId="170" fontId="20" fillId="13" borderId="0" xfId="0" applyNumberFormat="1" applyFont="1" applyFill="1"/>
    <xf numFmtId="172" fontId="20" fillId="13" borderId="11" xfId="0" applyNumberFormat="1" applyFont="1" applyFill="1" applyBorder="1"/>
    <xf numFmtId="43" fontId="12" fillId="3" borderId="0" xfId="1" applyFont="1" applyFill="1" applyAlignment="1">
      <alignment horizontal="center"/>
    </xf>
    <xf numFmtId="0" fontId="10" fillId="2" borderId="0" xfId="0" applyFont="1" applyFill="1" applyAlignment="1">
      <alignment vertical="center"/>
    </xf>
    <xf numFmtId="172" fontId="20" fillId="13" borderId="4" xfId="0" applyNumberFormat="1" applyFont="1" applyFill="1" applyBorder="1"/>
    <xf numFmtId="172" fontId="20" fillId="13" borderId="5" xfId="0" applyNumberFormat="1" applyFont="1" applyFill="1" applyBorder="1"/>
    <xf numFmtId="0" fontId="11" fillId="13" borderId="19" xfId="0" applyFont="1" applyFill="1" applyBorder="1"/>
    <xf numFmtId="178" fontId="12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8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9" fontId="4" fillId="6" borderId="1" xfId="2" applyFont="1" applyFill="1" applyBorder="1" applyAlignment="1">
      <alignment horizontal="center"/>
    </xf>
    <xf numFmtId="170" fontId="17" fillId="8" borderId="4" xfId="0" applyNumberFormat="1" applyFont="1" applyFill="1" applyBorder="1" applyAlignment="1">
      <alignment horizontal="center" vertical="center"/>
    </xf>
    <xf numFmtId="170" fontId="17" fillId="8" borderId="5" xfId="0" applyNumberFormat="1" applyFont="1" applyFill="1" applyBorder="1" applyAlignment="1">
      <alignment horizontal="center" vertical="center"/>
    </xf>
    <xf numFmtId="170" fontId="17" fillId="8" borderId="6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  <xf numFmtId="0" fontId="6" fillId="15" borderId="4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horizontal="center" vertical="center" wrapText="1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8" fillId="2" borderId="4" xfId="0" applyFont="1" applyFill="1" applyBorder="1" applyAlignment="1">
      <alignment horizontal="right"/>
    </xf>
    <xf numFmtId="0" fontId="18" fillId="2" borderId="5" xfId="0" applyFont="1" applyFill="1" applyBorder="1" applyAlignment="1">
      <alignment horizontal="right"/>
    </xf>
    <xf numFmtId="0" fontId="17" fillId="12" borderId="8" xfId="0" applyFont="1" applyFill="1" applyBorder="1" applyAlignment="1">
      <alignment horizontal="center" vertical="center"/>
    </xf>
    <xf numFmtId="0" fontId="17" fillId="12" borderId="9" xfId="0" applyFont="1" applyFill="1" applyBorder="1" applyAlignment="1">
      <alignment horizontal="center" vertical="center"/>
    </xf>
    <xf numFmtId="0" fontId="17" fillId="12" borderId="15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right"/>
    </xf>
    <xf numFmtId="0" fontId="19" fillId="2" borderId="16" xfId="0" applyFont="1" applyFill="1" applyBorder="1" applyAlignment="1">
      <alignment horizontal="right"/>
    </xf>
    <xf numFmtId="0" fontId="16" fillId="2" borderId="7" xfId="0" applyFont="1" applyFill="1" applyBorder="1" applyAlignment="1">
      <alignment horizontal="center" wrapText="1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10" fontId="16" fillId="13" borderId="0" xfId="0" applyNumberFormat="1" applyFont="1" applyFill="1" applyAlignment="1">
      <alignment horizontal="center" vertical="center"/>
    </xf>
    <xf numFmtId="168" fontId="10" fillId="0" borderId="2" xfId="0" applyNumberFormat="1" applyFont="1" applyBorder="1" applyAlignment="1">
      <alignment horizontal="center" wrapText="1"/>
    </xf>
    <xf numFmtId="170" fontId="16" fillId="5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168" fontId="21" fillId="0" borderId="20" xfId="0" applyNumberFormat="1" applyFont="1" applyBorder="1" applyAlignment="1">
      <alignment horizontal="left" vertical="top" wrapText="1"/>
    </xf>
    <xf numFmtId="168" fontId="21" fillId="0" borderId="21" xfId="0" applyNumberFormat="1" applyFont="1" applyBorder="1" applyAlignment="1">
      <alignment horizontal="left" vertical="top" wrapText="1"/>
    </xf>
    <xf numFmtId="168" fontId="6" fillId="9" borderId="7" xfId="0" applyNumberFormat="1" applyFont="1" applyFill="1" applyBorder="1" applyAlignment="1">
      <alignment horizontal="center" vertical="center" wrapText="1"/>
    </xf>
    <xf numFmtId="168" fontId="6" fillId="9" borderId="17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/>
    </xf>
    <xf numFmtId="168" fontId="6" fillId="17" borderId="2" xfId="0" applyNumberFormat="1" applyFont="1" applyFill="1" applyBorder="1" applyAlignment="1">
      <alignment horizontal="center" wrapText="1"/>
    </xf>
    <xf numFmtId="0" fontId="10" fillId="2" borderId="0" xfId="0" applyFont="1" applyFill="1" applyAlignment="1">
      <alignment horizontal="center" vertical="center"/>
    </xf>
    <xf numFmtId="10" fontId="16" fillId="3" borderId="1" xfId="0" applyNumberFormat="1" applyFont="1" applyFill="1" applyBorder="1" applyAlignment="1">
      <alignment horizontal="center"/>
    </xf>
    <xf numFmtId="0" fontId="17" fillId="16" borderId="4" xfId="0" applyFont="1" applyFill="1" applyBorder="1" applyAlignment="1">
      <alignment horizontal="center"/>
    </xf>
    <xf numFmtId="0" fontId="17" fillId="16" borderId="6" xfId="0" applyFont="1" applyFill="1" applyBorder="1" applyAlignment="1">
      <alignment horizontal="center"/>
    </xf>
    <xf numFmtId="0" fontId="17" fillId="19" borderId="1" xfId="0" applyFont="1" applyFill="1" applyBorder="1" applyAlignment="1">
      <alignment horizontal="center" vertical="center"/>
    </xf>
    <xf numFmtId="170" fontId="17" fillId="21" borderId="1" xfId="0" applyNumberFormat="1" applyFont="1" applyFill="1" applyBorder="1" applyAlignment="1">
      <alignment horizontal="center" vertical="center" wrapText="1"/>
    </xf>
    <xf numFmtId="170" fontId="24" fillId="22" borderId="1" xfId="0" applyNumberFormat="1" applyFont="1" applyFill="1" applyBorder="1" applyAlignment="1">
      <alignment horizontal="center" vertical="center"/>
    </xf>
    <xf numFmtId="168" fontId="6" fillId="9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170" fontId="17" fillId="13" borderId="4" xfId="0" applyNumberFormat="1" applyFont="1" applyFill="1" applyBorder="1" applyAlignment="1">
      <alignment horizontal="center" vertical="center"/>
    </xf>
    <xf numFmtId="170" fontId="17" fillId="13" borderId="5" xfId="0" applyNumberFormat="1" applyFont="1" applyFill="1" applyBorder="1" applyAlignment="1">
      <alignment horizontal="center" vertical="center"/>
    </xf>
    <xf numFmtId="170" fontId="17" fillId="13" borderId="6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ED351160-B554-4241-A856-8EBA0FFA0F00}"/>
    <cellStyle name="Porcentagem" xfId="2" builtinId="5"/>
    <cellStyle name="Vírgula" xfId="1" builtinId="3"/>
  </cellStyles>
  <dxfs count="4"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981075</xdr:colOff>
          <xdr:row>0</xdr:row>
          <xdr:rowOff>0</xdr:rowOff>
        </xdr:from>
        <xdr:to>
          <xdr:col>7</xdr:col>
          <xdr:colOff>619125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942975</xdr:colOff>
          <xdr:row>2</xdr:row>
          <xdr:rowOff>19050</xdr:rowOff>
        </xdr:from>
        <xdr:to>
          <xdr:col>18</xdr:col>
          <xdr:colOff>628650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676275</xdr:colOff>
          <xdr:row>43</xdr:row>
          <xdr:rowOff>314325</xdr:rowOff>
        </xdr:from>
        <xdr:to>
          <xdr:col>16</xdr:col>
          <xdr:colOff>2371725</xdr:colOff>
          <xdr:row>44</xdr:row>
          <xdr:rowOff>552450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</xdr:rowOff>
    </xdr:from>
    <xdr:to>
      <xdr:col>1</xdr:col>
      <xdr:colOff>0</xdr:colOff>
      <xdr:row>96</xdr:row>
      <xdr:rowOff>79376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"/>
          <a:ext cx="819150" cy="3784600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0</xdr:col>
      <xdr:colOff>825499</xdr:colOff>
      <xdr:row>4</xdr:row>
      <xdr:rowOff>83400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29028" y="234654"/>
          <a:ext cx="731100" cy="642792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53985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124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2022</a:t>
          </a:r>
        </a:p>
      </xdr:txBody>
    </xdr:sp>
    <xdr:clientData/>
  </xdr:twoCellAnchor>
  <xdr:twoCellAnchor>
    <xdr:from>
      <xdr:col>10</xdr:col>
      <xdr:colOff>2268682</xdr:colOff>
      <xdr:row>43</xdr:row>
      <xdr:rowOff>432955</xdr:rowOff>
    </xdr:from>
    <xdr:to>
      <xdr:col>11</xdr:col>
      <xdr:colOff>1091046</xdr:colOff>
      <xdr:row>44</xdr:row>
      <xdr:rowOff>432955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795057" y="15834880"/>
          <a:ext cx="1194089" cy="59055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C18">
            <v>41944</v>
          </cell>
          <cell r="AD18" t="str">
            <v>novembro</v>
          </cell>
          <cell r="AE18" t="str">
            <v>2014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/>
      <sheetData sheetId="5">
        <row r="15">
          <cell r="I15">
            <v>11.389999999999999</v>
          </cell>
        </row>
        <row r="34">
          <cell r="I34">
            <v>1.616463675464302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8"/>
  <sheetViews>
    <sheetView tabSelected="1" zoomScale="55" zoomScaleNormal="55" zoomScaleSheetLayoutView="40" workbookViewId="0">
      <selection activeCell="D2" sqref="D2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9" customWidth="1"/>
    <col min="5" max="5" width="52" style="19" bestFit="1" customWidth="1"/>
    <col min="6" max="6" width="33.85546875" style="19" bestFit="1" customWidth="1"/>
    <col min="7" max="7" width="37.42578125" style="19" customWidth="1"/>
    <col min="8" max="8" width="38.140625" style="19" customWidth="1"/>
    <col min="9" max="9" width="42" style="19" customWidth="1"/>
    <col min="10" max="10" width="40.5703125" style="19" customWidth="1"/>
    <col min="11" max="11" width="35.5703125" style="6" customWidth="1"/>
    <col min="12" max="12" width="38.5703125" style="7" bestFit="1" customWidth="1"/>
    <col min="13" max="13" width="32.5703125" style="196" customWidth="1"/>
    <col min="14" max="14" width="34.7109375" style="196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5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34.5703125" style="6" customWidth="1"/>
    <col min="23" max="23" width="37.7109375" style="6" customWidth="1"/>
    <col min="24" max="24" width="24.140625" style="6" bestFit="1" customWidth="1"/>
    <col min="25" max="25" width="11.7109375" style="6" customWidth="1"/>
    <col min="26" max="26" width="2.140625" style="6" customWidth="1"/>
    <col min="27" max="27" width="19.85546875" style="6" customWidth="1"/>
    <col min="28" max="28" width="3.85546875" style="6" hidden="1" customWidth="1"/>
    <col min="29" max="29" width="12.85546875" style="6" hidden="1" customWidth="1"/>
    <col min="30" max="30" width="52.5703125" style="6" hidden="1" customWidth="1"/>
    <col min="31" max="31" width="31" style="6" hidden="1" customWidth="1"/>
    <col min="32" max="32" width="12.42578125" style="6" hidden="1" customWidth="1"/>
    <col min="33" max="35" width="17.140625" style="6" hidden="1" customWidth="1"/>
    <col min="36" max="36" width="13.5703125" style="6" hidden="1" customWidth="1"/>
    <col min="37" max="37" width="14.14062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2" t="s">
        <v>0</v>
      </c>
      <c r="D4" s="202"/>
      <c r="E4" s="202"/>
      <c r="F4" s="202"/>
      <c r="G4" s="202"/>
      <c r="H4" s="202"/>
      <c r="I4" s="202"/>
      <c r="J4" s="202"/>
      <c r="K4" s="202"/>
      <c r="L4" s="9"/>
      <c r="M4" s="8"/>
      <c r="N4" s="4"/>
      <c r="O4" s="1"/>
      <c r="P4" s="5"/>
      <c r="Q4" s="10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2" t="s">
        <v>2</v>
      </c>
      <c r="D5" s="202"/>
      <c r="E5" s="202"/>
      <c r="F5" s="202"/>
      <c r="G5" s="202"/>
      <c r="H5" s="202"/>
      <c r="I5" s="202"/>
      <c r="J5" s="202"/>
      <c r="K5" s="202"/>
      <c r="L5" s="9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1"/>
      <c r="D6" s="11"/>
      <c r="E6" s="11"/>
      <c r="F6" s="11"/>
      <c r="G6" s="11"/>
      <c r="H6" s="11"/>
      <c r="I6" s="11"/>
      <c r="J6" s="11"/>
      <c r="K6" s="12"/>
      <c r="L6" s="13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4"/>
      <c r="D7" s="15" t="s">
        <v>3</v>
      </c>
      <c r="E7" s="15" t="str">
        <f>[1]MENU!C8</f>
        <v>0009297-97.2016.8.18.0000</v>
      </c>
      <c r="F7" s="16"/>
      <c r="G7" s="16"/>
      <c r="H7" s="16"/>
      <c r="I7" s="17"/>
      <c r="J7" s="16"/>
      <c r="K7" s="14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4"/>
      <c r="D8" s="15" t="s">
        <v>4</v>
      </c>
      <c r="E8" s="15">
        <f>[1]MENU!C10</f>
        <v>2018</v>
      </c>
      <c r="F8" s="16"/>
      <c r="G8" s="16"/>
      <c r="H8" s="16"/>
      <c r="I8" s="17"/>
      <c r="J8" s="16"/>
      <c r="K8" s="14"/>
      <c r="L8" s="3"/>
      <c r="M8" s="4"/>
      <c r="N8" s="4"/>
      <c r="O8" s="1"/>
      <c r="P8" s="5"/>
      <c r="Q8" s="18" t="s">
        <v>5</v>
      </c>
      <c r="R8" s="203" t="s">
        <v>6</v>
      </c>
      <c r="S8" s="203"/>
      <c r="T8" s="5"/>
      <c r="U8" s="18" t="s">
        <v>7</v>
      </c>
      <c r="V8" s="203" t="s">
        <v>6</v>
      </c>
      <c r="W8" s="203"/>
      <c r="X8" s="5"/>
      <c r="Y8" s="5"/>
      <c r="AI8" s="7"/>
      <c r="AJ8" s="197" t="s">
        <v>8</v>
      </c>
      <c r="AK8" s="197"/>
    </row>
    <row r="9" spans="1:37" ht="48.75" customHeight="1">
      <c r="A9" s="1"/>
      <c r="B9" s="1"/>
      <c r="C9" s="14"/>
      <c r="D9" s="15" t="s">
        <v>9</v>
      </c>
      <c r="E9" s="20">
        <f>[1]MENU!C12</f>
        <v>42607</v>
      </c>
      <c r="F9" s="16"/>
      <c r="G9" s="16"/>
      <c r="H9" s="21"/>
      <c r="I9" s="22" t="s">
        <v>10</v>
      </c>
      <c r="J9" s="23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2"/>
      <c r="L9" s="3"/>
      <c r="M9" s="4"/>
      <c r="N9" s="24"/>
      <c r="O9" s="1"/>
      <c r="P9" s="5"/>
      <c r="Q9" s="25" t="s">
        <v>11</v>
      </c>
      <c r="R9" s="198">
        <v>0</v>
      </c>
      <c r="S9" s="198"/>
      <c r="T9" s="5"/>
      <c r="U9" s="25" t="s">
        <v>12</v>
      </c>
      <c r="V9" s="198">
        <v>0</v>
      </c>
      <c r="W9" s="198"/>
      <c r="X9" s="5"/>
      <c r="Y9" s="5"/>
      <c r="AI9" s="7"/>
      <c r="AJ9" s="26" t="s">
        <v>13</v>
      </c>
      <c r="AK9" s="26">
        <v>1</v>
      </c>
    </row>
    <row r="10" spans="1:37" ht="23.25">
      <c r="A10" s="1"/>
      <c r="B10" s="1"/>
      <c r="C10" s="14"/>
      <c r="D10" s="15" t="s">
        <v>14</v>
      </c>
      <c r="E10" s="27" t="str">
        <f>[1]MENU!C14</f>
        <v>MARIA FATIMA DE MACEDO SILVA LOPES</v>
      </c>
      <c r="F10" s="16"/>
      <c r="G10" s="16"/>
      <c r="H10" s="16"/>
      <c r="I10" s="16"/>
      <c r="J10" s="16"/>
      <c r="K10" s="12"/>
      <c r="L10" s="3"/>
      <c r="M10" s="4"/>
      <c r="N10" s="4"/>
      <c r="O10" s="1"/>
      <c r="P10" s="5"/>
      <c r="Q10" s="18" t="s">
        <v>15</v>
      </c>
      <c r="R10" s="204" t="s">
        <v>16</v>
      </c>
      <c r="S10" s="204"/>
      <c r="T10" s="5"/>
      <c r="U10" s="18" t="s">
        <v>15</v>
      </c>
      <c r="V10" s="204" t="s">
        <v>17</v>
      </c>
      <c r="W10" s="204"/>
      <c r="X10" s="5"/>
      <c r="Y10" s="5"/>
      <c r="AC10" s="28"/>
      <c r="AD10" s="28"/>
      <c r="AE10" s="28"/>
      <c r="AF10" s="28"/>
      <c r="AG10" s="28"/>
      <c r="AI10" s="7"/>
      <c r="AJ10" s="26" t="s">
        <v>18</v>
      </c>
      <c r="AK10" s="26">
        <v>2</v>
      </c>
    </row>
    <row r="11" spans="1:37" ht="27" customHeight="1">
      <c r="A11" s="1"/>
      <c r="B11" s="1"/>
      <c r="C11" s="14"/>
      <c r="D11" s="15" t="s">
        <v>19</v>
      </c>
      <c r="E11" s="15" t="str">
        <f>[1]MENU!C16</f>
        <v>ESTADO DO PIAUÍ</v>
      </c>
      <c r="F11" s="16"/>
      <c r="G11" s="16"/>
      <c r="H11" s="16"/>
      <c r="I11" s="16"/>
      <c r="J11" s="16"/>
      <c r="K11" s="12"/>
      <c r="L11" s="3"/>
      <c r="M11" s="4"/>
      <c r="N11" s="4"/>
      <c r="O11" s="1"/>
      <c r="P11" s="5"/>
      <c r="Q11" s="18" t="s">
        <v>20</v>
      </c>
      <c r="R11" s="203" t="s">
        <v>21</v>
      </c>
      <c r="S11" s="203"/>
      <c r="T11" s="5"/>
      <c r="U11" s="18" t="s">
        <v>20</v>
      </c>
      <c r="V11" s="203" t="s">
        <v>22</v>
      </c>
      <c r="W11" s="203"/>
      <c r="X11" s="5"/>
      <c r="Y11" s="5"/>
      <c r="AC11" s="28"/>
      <c r="AD11" s="29" t="s">
        <v>23</v>
      </c>
      <c r="AE11" s="28"/>
      <c r="AF11" s="28"/>
      <c r="AG11" s="28"/>
      <c r="AI11" s="7"/>
      <c r="AJ11" s="26" t="s">
        <v>24</v>
      </c>
      <c r="AK11" s="26">
        <v>3</v>
      </c>
    </row>
    <row r="12" spans="1:37" ht="27" customHeight="1">
      <c r="A12" s="1"/>
      <c r="B12" s="1"/>
      <c r="C12" s="14"/>
      <c r="D12" s="16"/>
      <c r="E12" s="16"/>
      <c r="F12" s="16"/>
      <c r="G12" s="16"/>
      <c r="H12" s="16"/>
      <c r="I12" s="16"/>
      <c r="J12" s="16"/>
      <c r="K12" s="12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30"/>
      <c r="X12" s="5"/>
      <c r="Y12" s="5"/>
      <c r="AC12" s="6" t="s">
        <v>25</v>
      </c>
      <c r="AD12" s="31">
        <f>[1]MENU!C18</f>
        <v>41944</v>
      </c>
      <c r="AE12" s="31"/>
      <c r="AF12" s="28"/>
      <c r="AG12" s="28"/>
      <c r="AI12" s="7"/>
      <c r="AJ12" s="26" t="s">
        <v>26</v>
      </c>
      <c r="AK12" s="26">
        <v>4</v>
      </c>
    </row>
    <row r="13" spans="1:37" ht="27.75" customHeight="1">
      <c r="A13" s="1"/>
      <c r="B13" s="1"/>
      <c r="C13" s="202" t="s">
        <v>27</v>
      </c>
      <c r="D13" s="202"/>
      <c r="E13" s="202"/>
      <c r="F13" s="202"/>
      <c r="G13" s="202"/>
      <c r="H13" s="202"/>
      <c r="I13" s="9"/>
      <c r="J13" s="9"/>
      <c r="K13" s="9"/>
      <c r="L13" s="9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1">
        <f>DATE(VALUE(RIGHT(MID($G$14,31,15),4)), VLOOKUP(LEFT(MID($G$14,31,15),SEARCH("/",MID($G$14,31,15))-1), $AJ$9:$AK$20, 2, 0) - 1, 1)</f>
        <v>44896</v>
      </c>
      <c r="AI13" s="7"/>
      <c r="AJ13" s="26" t="s">
        <v>29</v>
      </c>
      <c r="AK13" s="26">
        <v>5</v>
      </c>
    </row>
    <row r="14" spans="1:37" ht="80.25" customHeight="1">
      <c r="A14" s="1"/>
      <c r="B14" s="1"/>
      <c r="C14" s="11"/>
      <c r="D14" s="32" t="s">
        <v>30</v>
      </c>
      <c r="E14" s="32" t="str">
        <f>"Valor Devido Atualizado com juros até " &amp; PROPER(TEXT([1]MENU!AD18, "mmmm")) &amp; "/" &amp; [1]MENU!AE18</f>
        <v>Valor Devido Atualizado com juros até Novembro/2014</v>
      </c>
      <c r="F14" s="32" t="s">
        <v>31</v>
      </c>
      <c r="G14" s="32" t="s">
        <v>32</v>
      </c>
      <c r="H14" s="13"/>
      <c r="I14" s="13"/>
      <c r="J14" s="13"/>
      <c r="K14" s="13"/>
      <c r="L14" s="13"/>
      <c r="M14" s="13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6" t="s">
        <v>33</v>
      </c>
      <c r="AK14" s="26">
        <v>6</v>
      </c>
    </row>
    <row r="15" spans="1:37" ht="36.950000000000003" customHeight="1">
      <c r="A15" s="1"/>
      <c r="B15" s="1"/>
      <c r="C15" s="11"/>
      <c r="D15" s="33" t="s">
        <v>34</v>
      </c>
      <c r="E15" s="34">
        <f>[1]MENU!C20</f>
        <v>21212112</v>
      </c>
      <c r="F15" s="35">
        <f>IFERROR('[1]Selic e IPCA'!$I$34,1)</f>
        <v>1.616463675464302</v>
      </c>
      <c r="G15" s="34">
        <f>ROUND(E15*F15,2)</f>
        <v>34288608.530000001</v>
      </c>
      <c r="H15" s="13"/>
      <c r="I15" s="13"/>
      <c r="J15" s="13"/>
      <c r="K15" s="13"/>
      <c r="L15" s="13"/>
      <c r="M15" s="13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6" t="s">
        <v>35</v>
      </c>
      <c r="AK15" s="26">
        <v>7</v>
      </c>
    </row>
    <row r="16" spans="1:37" ht="32.65" customHeight="1">
      <c r="A16" s="1"/>
      <c r="B16" s="1"/>
      <c r="C16" s="11"/>
      <c r="D16" s="33" t="s">
        <v>36</v>
      </c>
      <c r="E16" s="36">
        <f>[1]MENU!C22</f>
        <v>28888.21</v>
      </c>
      <c r="F16" s="37">
        <f>IFERROR('[1]Selic e IPCA'!$I$34,1)</f>
        <v>1.616463675464302</v>
      </c>
      <c r="G16" s="34">
        <f>ROUND(E16*F16,2)</f>
        <v>46696.74</v>
      </c>
      <c r="H16" s="13"/>
      <c r="I16" s="13"/>
      <c r="J16" s="13"/>
      <c r="K16" s="13"/>
      <c r="L16" s="13"/>
      <c r="M16" s="13"/>
      <c r="N16" s="4"/>
      <c r="O16" s="1"/>
      <c r="P16" s="5"/>
      <c r="Q16" s="5"/>
      <c r="R16" s="199" t="s">
        <v>37</v>
      </c>
      <c r="S16" s="200"/>
      <c r="T16" s="200"/>
      <c r="U16" s="201"/>
      <c r="V16" s="5"/>
      <c r="W16" s="5"/>
      <c r="X16" s="5"/>
      <c r="Y16" s="5"/>
      <c r="AJ16" s="26" t="s">
        <v>38</v>
      </c>
      <c r="AK16" s="26">
        <v>8</v>
      </c>
    </row>
    <row r="17" spans="1:37" ht="43.15" customHeight="1">
      <c r="A17" s="1"/>
      <c r="B17" s="1"/>
      <c r="C17" s="11"/>
      <c r="D17" s="38" t="s">
        <v>39</v>
      </c>
      <c r="E17" s="39">
        <f>SUM(E15:E16)</f>
        <v>21241000.210000001</v>
      </c>
      <c r="F17" s="40" t="s">
        <v>40</v>
      </c>
      <c r="G17" s="39">
        <f>SUM(G15:G16)</f>
        <v>34335305.270000003</v>
      </c>
      <c r="H17" s="13"/>
      <c r="I17" s="13"/>
      <c r="J17" s="13"/>
      <c r="K17" s="13"/>
      <c r="L17" s="13"/>
      <c r="M17" s="13"/>
      <c r="N17" s="4"/>
      <c r="O17" s="1"/>
      <c r="P17" s="5"/>
      <c r="Q17" s="41"/>
      <c r="R17" s="42">
        <f>ROUND(I15,2)</f>
        <v>0</v>
      </c>
      <c r="S17" s="43">
        <f>ROUND(E15,2)</f>
        <v>21212112</v>
      </c>
      <c r="T17" s="44">
        <f>ROUND(G15,2)</f>
        <v>34288608.530000001</v>
      </c>
      <c r="U17" s="45">
        <f>ROUND(G17,2)</f>
        <v>34335305.270000003</v>
      </c>
      <c r="V17" s="5"/>
      <c r="W17" s="5"/>
      <c r="X17" s="5"/>
      <c r="Y17" s="5"/>
      <c r="AJ17" s="26" t="s">
        <v>41</v>
      </c>
      <c r="AK17" s="26">
        <v>9</v>
      </c>
    </row>
    <row r="18" spans="1:37" ht="23.25">
      <c r="A18" s="1"/>
      <c r="B18" s="1"/>
      <c r="C18" s="11"/>
      <c r="D18" s="13"/>
      <c r="E18" s="46" t="s">
        <v>42</v>
      </c>
      <c r="F18" s="207">
        <f ca="1">IFERROR('[1]Selic e IPCA'!I15%,0)</f>
        <v>0.11389999999999999</v>
      </c>
      <c r="G18" s="208">
        <f ca="1">ROUND(G17*F18,2)</f>
        <v>3910791.27</v>
      </c>
      <c r="H18" s="13"/>
      <c r="I18" s="13"/>
      <c r="J18" s="13"/>
      <c r="K18" s="13"/>
      <c r="L18" s="13"/>
      <c r="M18" s="13"/>
      <c r="N18" s="4"/>
      <c r="O18" s="1"/>
      <c r="P18" s="5"/>
      <c r="Q18" s="41"/>
      <c r="R18" s="47">
        <f>ROUND(I16,2)</f>
        <v>0</v>
      </c>
      <c r="S18" s="43">
        <f>ROUND(E16,2)</f>
        <v>28888.21</v>
      </c>
      <c r="T18" s="43">
        <f>ROUND(G16,2)</f>
        <v>46696.74</v>
      </c>
      <c r="U18" s="45">
        <f ca="1">ROUND(G18,2)</f>
        <v>3910791.27</v>
      </c>
      <c r="V18" s="5"/>
      <c r="W18" s="5"/>
      <c r="X18" s="5"/>
      <c r="Y18" s="5"/>
      <c r="AJ18" s="26" t="s">
        <v>43</v>
      </c>
      <c r="AK18" s="26">
        <v>10</v>
      </c>
    </row>
    <row r="19" spans="1:37" ht="23.25">
      <c r="A19" s="1"/>
      <c r="B19" s="1"/>
      <c r="C19" s="11"/>
      <c r="D19" s="13"/>
      <c r="E19" s="48">
        <v>45292</v>
      </c>
      <c r="F19" s="207"/>
      <c r="G19" s="208"/>
      <c r="H19" s="13"/>
      <c r="I19" s="13"/>
      <c r="J19" s="13"/>
      <c r="K19" s="13"/>
      <c r="L19" s="13"/>
      <c r="M19" s="13"/>
      <c r="N19" s="4"/>
      <c r="O19" s="1"/>
      <c r="P19" s="5"/>
      <c r="Q19" s="41"/>
      <c r="R19" s="47">
        <f>SUM(R17:R18)</f>
        <v>0</v>
      </c>
      <c r="S19" s="43">
        <f>SUM(S17:S18)</f>
        <v>21241000.210000001</v>
      </c>
      <c r="T19" s="49">
        <f>SUM(T17:T18)</f>
        <v>34335305.270000003</v>
      </c>
      <c r="U19" s="45">
        <f ca="1">SUM(U17:U18)</f>
        <v>38246096.540000007</v>
      </c>
      <c r="V19" s="5"/>
      <c r="W19" s="5"/>
      <c r="X19" s="5"/>
      <c r="Y19" s="5"/>
      <c r="AJ19" s="26" t="s">
        <v>44</v>
      </c>
      <c r="AK19" s="26">
        <v>11</v>
      </c>
    </row>
    <row r="20" spans="1:37" ht="23.25">
      <c r="A20" s="1"/>
      <c r="B20" s="1"/>
      <c r="C20" s="11"/>
      <c r="D20" s="13"/>
      <c r="E20" s="50">
        <f ca="1">DATE(YEAR(TODAY()), MONTH(1 &amp; TEXT(TODAY(), "mmmm")), 1)</f>
        <v>45689</v>
      </c>
      <c r="F20" s="207"/>
      <c r="G20" s="208"/>
      <c r="H20" s="13"/>
      <c r="I20" s="13"/>
      <c r="J20" s="13"/>
      <c r="K20" s="13"/>
      <c r="L20" s="13"/>
      <c r="M20" s="13"/>
      <c r="N20" s="4"/>
      <c r="O20" s="1"/>
      <c r="P20" s="5"/>
      <c r="Q20" s="41"/>
      <c r="R20" s="51">
        <f>R19-I17</f>
        <v>0</v>
      </c>
      <c r="S20" s="52">
        <f>S19-E17</f>
        <v>0</v>
      </c>
      <c r="T20" s="53">
        <f>T19-G17</f>
        <v>0</v>
      </c>
      <c r="U20" s="54">
        <f ca="1">U19-G21</f>
        <v>0</v>
      </c>
      <c r="V20" s="5"/>
      <c r="W20" s="5"/>
      <c r="X20" s="5"/>
      <c r="Y20" s="5"/>
      <c r="AJ20" s="26" t="s">
        <v>45</v>
      </c>
      <c r="AK20" s="26">
        <v>12</v>
      </c>
    </row>
    <row r="21" spans="1:37" ht="42" customHeight="1">
      <c r="A21" s="1"/>
      <c r="B21" s="1"/>
      <c r="C21" s="11"/>
      <c r="D21" s="16"/>
      <c r="E21" s="209" t="str">
        <f ca="1">"Valor Total Devido em "&amp;UPPER(TEXT(TODAY(),"mmmm"))&amp;"/"&amp;YEAR(TODAY())</f>
        <v>Valor Total Devido em FEVEREIRO/2025</v>
      </c>
      <c r="F21" s="209"/>
      <c r="G21" s="55">
        <f ca="1">G17+G18</f>
        <v>38246096.540000007</v>
      </c>
      <c r="H21" s="13"/>
      <c r="I21" s="13"/>
      <c r="J21" s="13"/>
      <c r="K21" s="13"/>
      <c r="L21" s="13"/>
      <c r="M21" s="13"/>
      <c r="N21" s="4"/>
      <c r="O21" s="1"/>
      <c r="P21" s="5"/>
      <c r="Q21" s="41"/>
      <c r="R21" s="5"/>
      <c r="S21" s="5"/>
      <c r="T21" s="5"/>
      <c r="U21" s="5"/>
      <c r="V21" s="5"/>
      <c r="W21" s="5"/>
      <c r="X21" s="5"/>
      <c r="Y21" s="5"/>
    </row>
    <row r="22" spans="1:37" ht="59.25" customHeight="1">
      <c r="A22" s="1"/>
      <c r="B22" s="1"/>
      <c r="C22" s="11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4"/>
      <c r="O22" s="1"/>
      <c r="P22" s="5"/>
      <c r="Q22" s="41"/>
      <c r="R22" s="210" t="str">
        <f ca="1">"DIVISÃO "&amp;UPPER(TEXT(TODAY(),"mmmm"))&amp;"/"&amp;YEAR(TODAY())&amp;""</f>
        <v>DIVISÃO FEVEREIRO/2025</v>
      </c>
      <c r="S22" s="210"/>
      <c r="T22" s="210"/>
      <c r="U22" s="210"/>
      <c r="V22" s="210"/>
      <c r="W22" s="210"/>
      <c r="X22" s="5"/>
      <c r="Y22" s="5"/>
    </row>
    <row r="23" spans="1:37" ht="23.25">
      <c r="A23" s="1"/>
      <c r="B23" s="1"/>
      <c r="C23" s="11"/>
      <c r="D23" s="56"/>
      <c r="E23" s="16"/>
      <c r="F23" s="211" t="str">
        <f>"(+)Honorários Sucumbência- (B)– "&amp;TEXT(V9,"0%")&amp;" sobre"</f>
        <v>(+)Honorários Sucumbência- (B)– 0% sobre</v>
      </c>
      <c r="G23" s="212"/>
      <c r="H23" s="212"/>
      <c r="I23" s="57">
        <f ca="1">G21</f>
        <v>38246096.540000007</v>
      </c>
      <c r="J23" s="58">
        <f ca="1">IF(V8="Sim",ROUND(G21*$V$9,2),G21*0)</f>
        <v>0</v>
      </c>
      <c r="K23" s="13"/>
      <c r="L23" s="13"/>
      <c r="M23" s="13"/>
      <c r="N23" s="4"/>
      <c r="O23" s="1"/>
      <c r="P23" s="5"/>
      <c r="Q23" s="41"/>
      <c r="R23" s="213" t="s">
        <v>46</v>
      </c>
      <c r="S23" s="214"/>
      <c r="T23" s="214" t="s">
        <v>47</v>
      </c>
      <c r="U23" s="214"/>
      <c r="V23" s="214" t="s">
        <v>48</v>
      </c>
      <c r="W23" s="215"/>
      <c r="X23" s="5"/>
      <c r="Y23" s="5"/>
    </row>
    <row r="24" spans="1:37" ht="48" customHeight="1">
      <c r="A24" s="1"/>
      <c r="B24" s="1"/>
      <c r="C24" s="11"/>
      <c r="D24" s="56"/>
      <c r="E24" s="56"/>
      <c r="F24" s="56"/>
      <c r="G24" s="56"/>
      <c r="H24" s="56"/>
      <c r="I24" s="56"/>
      <c r="J24" s="56"/>
      <c r="K24" s="13"/>
      <c r="L24" s="13"/>
      <c r="M24" s="4"/>
      <c r="N24" s="4"/>
      <c r="O24" s="1"/>
      <c r="P24" s="5"/>
      <c r="Q24" s="41"/>
      <c r="R24" s="59">
        <f ca="1">$G$21</f>
        <v>38246096.540000007</v>
      </c>
      <c r="S24" s="60">
        <v>1</v>
      </c>
      <c r="T24" s="61">
        <f ca="1">R24</f>
        <v>38246096.540000007</v>
      </c>
      <c r="U24" s="62">
        <f>S24</f>
        <v>1</v>
      </c>
      <c r="V24" s="61">
        <f ca="1">T24</f>
        <v>38246096.540000007</v>
      </c>
      <c r="W24" s="63">
        <f>U24</f>
        <v>1</v>
      </c>
      <c r="X24" s="5"/>
      <c r="Y24" s="5"/>
    </row>
    <row r="25" spans="1:37" ht="39.75" customHeight="1">
      <c r="A25" s="1"/>
      <c r="B25" s="1"/>
      <c r="C25" s="11"/>
      <c r="D25" s="56"/>
      <c r="E25" s="56"/>
      <c r="F25" s="56"/>
      <c r="G25" s="56"/>
      <c r="H25" s="216" t="s">
        <v>49</v>
      </c>
      <c r="I25" s="216"/>
      <c r="J25" s="58">
        <f ca="1">G21+J23</f>
        <v>38246096.540000007</v>
      </c>
      <c r="K25" s="13"/>
      <c r="L25" s="13"/>
      <c r="M25" s="4"/>
      <c r="N25" s="4"/>
      <c r="O25" s="1"/>
      <c r="P25" s="5"/>
      <c r="Q25" s="41"/>
      <c r="R25" s="59"/>
      <c r="S25" s="60"/>
      <c r="T25" s="61"/>
      <c r="U25" s="62"/>
      <c r="V25" s="61"/>
      <c r="W25" s="63"/>
      <c r="X25" s="5"/>
      <c r="Y25" s="5"/>
    </row>
    <row r="26" spans="1:37" ht="48" customHeight="1">
      <c r="A26" s="1"/>
      <c r="B26" s="1"/>
      <c r="C26" s="11"/>
      <c r="D26" s="56"/>
      <c r="E26" s="56"/>
      <c r="F26" s="56"/>
      <c r="G26" s="56"/>
      <c r="H26" s="56"/>
      <c r="I26" s="56"/>
      <c r="J26" s="56"/>
      <c r="K26" s="13"/>
      <c r="L26" s="13"/>
      <c r="M26" s="4"/>
      <c r="N26" s="4"/>
      <c r="O26" s="1"/>
      <c r="P26" s="5"/>
      <c r="Q26" s="41"/>
      <c r="R26" s="59"/>
      <c r="S26" s="60"/>
      <c r="T26" s="61"/>
      <c r="U26" s="62"/>
      <c r="V26" s="61"/>
      <c r="W26" s="63"/>
      <c r="X26" s="5"/>
      <c r="Y26" s="5"/>
    </row>
    <row r="27" spans="1:37" ht="23.25">
      <c r="A27" s="1"/>
      <c r="B27" s="1"/>
      <c r="C27" s="11"/>
      <c r="D27" s="56"/>
      <c r="E27" s="56"/>
      <c r="F27" s="217" t="str">
        <f>"(-)Honorários Contratuais- (" &amp; IF(V8="Sim", "C","B") &amp; ")– " &amp; TEXT(R9, "0%") &amp; " sobre"</f>
        <v>(-)Honorários Contratuais- (C)– 0% sobre</v>
      </c>
      <c r="G27" s="218"/>
      <c r="H27" s="218"/>
      <c r="I27" s="64">
        <f ca="1">G21</f>
        <v>38246096.540000007</v>
      </c>
      <c r="J27" s="65">
        <f ca="1">IF(R8="sim",ROUND(G21*$R$9,2),G21*0)</f>
        <v>0</v>
      </c>
      <c r="K27" s="13"/>
      <c r="L27" s="13"/>
      <c r="M27" s="4"/>
      <c r="N27" s="4"/>
      <c r="O27" s="1"/>
      <c r="P27" s="5"/>
      <c r="Q27" s="41"/>
      <c r="R27" s="66">
        <f>G15</f>
        <v>34288608.530000001</v>
      </c>
      <c r="S27" s="67">
        <f ca="1">R27*S24/R24</f>
        <v>0.89652570149581057</v>
      </c>
      <c r="T27" s="68">
        <f>$G$16</f>
        <v>46696.74</v>
      </c>
      <c r="U27" s="67">
        <f ca="1">T27*U24/T24</f>
        <v>1.2209544038346977E-3</v>
      </c>
      <c r="V27" s="68">
        <f ca="1">G21-G17</f>
        <v>3910791.2700000033</v>
      </c>
      <c r="W27" s="69">
        <f ca="1">V27*W24/V24</f>
        <v>0.10225334410035462</v>
      </c>
      <c r="X27" s="5"/>
      <c r="Y27" s="5"/>
    </row>
    <row r="28" spans="1:37" ht="31.5" customHeight="1">
      <c r="A28" s="1"/>
      <c r="B28" s="1"/>
      <c r="C28" s="11"/>
      <c r="D28" s="56"/>
      <c r="E28" s="56"/>
      <c r="F28" s="70"/>
      <c r="G28" s="70"/>
      <c r="H28" s="70"/>
      <c r="I28" s="71"/>
      <c r="J28" s="13"/>
      <c r="K28" s="13"/>
      <c r="L28" s="13"/>
      <c r="M28" s="4"/>
      <c r="N28" s="4"/>
      <c r="O28" s="1"/>
      <c r="P28" s="5"/>
      <c r="Q28" s="41"/>
      <c r="R28" s="72"/>
      <c r="S28" s="72"/>
      <c r="T28" s="72"/>
      <c r="U28" s="72"/>
      <c r="V28" s="72"/>
      <c r="W28" s="72"/>
      <c r="X28" s="5"/>
      <c r="Y28" s="5"/>
    </row>
    <row r="29" spans="1:37" ht="23.25">
      <c r="A29" s="1"/>
      <c r="B29" s="1"/>
      <c r="C29" s="11"/>
      <c r="D29" s="13"/>
      <c r="E29" s="13"/>
      <c r="G29" s="219" t="s">
        <v>50</v>
      </c>
      <c r="H29" s="220"/>
      <c r="I29" s="221"/>
      <c r="J29" s="73">
        <f ca="1">G21- J27</f>
        <v>38246096.540000007</v>
      </c>
      <c r="K29" s="13"/>
      <c r="L29" s="13"/>
      <c r="M29" s="4"/>
      <c r="N29" s="4"/>
      <c r="O29" s="1"/>
      <c r="P29" s="5"/>
      <c r="Q29" s="41"/>
      <c r="R29" s="72"/>
      <c r="S29" s="222" t="s">
        <v>51</v>
      </c>
      <c r="T29" s="74">
        <f ca="1">R27+T27+V27</f>
        <v>38246096.540000007</v>
      </c>
      <c r="U29" s="72"/>
      <c r="V29" s="72"/>
      <c r="W29" s="72"/>
      <c r="X29" s="5"/>
      <c r="Y29" s="5"/>
    </row>
    <row r="30" spans="1:37" ht="25.5" customHeight="1">
      <c r="A30" s="1"/>
      <c r="B30" s="1"/>
      <c r="C30" s="11"/>
      <c r="D30" s="16"/>
      <c r="F30" s="13"/>
      <c r="G30" s="13"/>
      <c r="H30" s="13"/>
      <c r="I30" s="13"/>
      <c r="J30" s="13"/>
      <c r="K30" s="13"/>
      <c r="L30" s="13"/>
      <c r="M30" s="13"/>
      <c r="N30" s="13"/>
      <c r="O30" s="1"/>
      <c r="P30" s="5"/>
      <c r="Q30" s="41"/>
      <c r="R30" s="72"/>
      <c r="S30" s="222"/>
      <c r="T30" s="75">
        <f ca="1">S27+U27+W27</f>
        <v>0.99999999999999989</v>
      </c>
      <c r="U30" s="72"/>
      <c r="V30" s="72"/>
      <c r="W30" s="72"/>
      <c r="X30" s="5"/>
      <c r="Y30" s="5"/>
    </row>
    <row r="31" spans="1:37" ht="18.600000000000001" customHeight="1">
      <c r="A31" s="1"/>
      <c r="B31" s="1"/>
      <c r="C31" s="11"/>
      <c r="D31" s="16"/>
      <c r="E31" s="16"/>
      <c r="F31" s="13"/>
      <c r="G31" s="13"/>
      <c r="H31" s="13"/>
      <c r="I31" s="13"/>
      <c r="J31" s="13"/>
      <c r="K31" s="13"/>
      <c r="L31" s="13"/>
      <c r="M31" s="13"/>
      <c r="N31" s="13"/>
      <c r="O31" s="1"/>
      <c r="P31" s="5"/>
      <c r="Q31" s="41"/>
      <c r="R31" s="72"/>
      <c r="S31" s="72"/>
      <c r="T31" s="72"/>
      <c r="U31" s="72"/>
      <c r="V31" s="72"/>
      <c r="W31" s="72"/>
      <c r="X31" s="5"/>
      <c r="Y31" s="5"/>
    </row>
    <row r="32" spans="1:37" ht="26.25" customHeight="1">
      <c r="A32" s="1"/>
      <c r="B32" s="1"/>
      <c r="C32" s="11"/>
      <c r="D32" s="16"/>
      <c r="F32" s="13"/>
      <c r="G32" s="13"/>
      <c r="H32" s="13"/>
      <c r="I32" s="13"/>
      <c r="J32" s="13"/>
      <c r="K32" s="13"/>
      <c r="L32" s="13"/>
      <c r="M32" s="13"/>
      <c r="N32" s="13"/>
      <c r="O32" s="76"/>
      <c r="P32" s="72"/>
      <c r="Q32" s="5"/>
      <c r="R32" s="72"/>
      <c r="S32" s="72"/>
      <c r="T32" s="72"/>
      <c r="U32" s="72"/>
      <c r="V32" s="5"/>
      <c r="W32" s="5"/>
      <c r="X32" s="5"/>
      <c r="Y32" s="5"/>
    </row>
    <row r="33" spans="1:25" ht="48.75" customHeight="1">
      <c r="A33" s="1"/>
      <c r="B33" s="1"/>
      <c r="C33" s="11"/>
      <c r="D33" s="2"/>
      <c r="E33" s="70"/>
      <c r="F33" s="13"/>
      <c r="G33" s="13"/>
      <c r="H33" s="13"/>
      <c r="I33" s="13"/>
      <c r="J33" s="13"/>
      <c r="K33" s="13"/>
      <c r="L33" s="13"/>
      <c r="M33" s="13"/>
      <c r="N33" s="13"/>
      <c r="O33" s="1"/>
      <c r="P33" s="5"/>
      <c r="Q33" s="5"/>
      <c r="R33" s="77" t="s">
        <v>52</v>
      </c>
      <c r="S33" s="78">
        <f>5*5*1412</f>
        <v>35300</v>
      </c>
      <c r="T33" s="5"/>
      <c r="U33" s="5"/>
      <c r="V33" s="5"/>
      <c r="W33" s="5"/>
      <c r="X33" s="5"/>
      <c r="Y33" s="5"/>
    </row>
    <row r="34" spans="1:25" ht="23.25">
      <c r="A34" s="1"/>
      <c r="B34" s="1"/>
      <c r="C34" s="11"/>
      <c r="D34" s="2"/>
      <c r="E34" s="70"/>
      <c r="F34" s="13"/>
      <c r="G34" s="13"/>
      <c r="H34" s="13"/>
      <c r="I34" s="13"/>
      <c r="J34" s="13"/>
      <c r="K34" s="13"/>
      <c r="L34" s="13"/>
      <c r="M34" s="13"/>
      <c r="N34" s="13"/>
      <c r="O34" s="1"/>
      <c r="P34" s="72"/>
      <c r="Q34" s="41"/>
      <c r="R34" s="5"/>
      <c r="S34" s="5"/>
      <c r="T34" s="5"/>
      <c r="U34" s="5"/>
      <c r="V34" s="5"/>
      <c r="W34" s="5"/>
      <c r="X34" s="79"/>
      <c r="Y34" s="5"/>
    </row>
    <row r="35" spans="1:25" ht="23.25" hidden="1" outlineLevel="1">
      <c r="A35" s="1"/>
      <c r="B35" s="1"/>
      <c r="C35" s="202" t="s">
        <v>53</v>
      </c>
      <c r="D35" s="202"/>
      <c r="E35" s="202"/>
      <c r="F35" s="202"/>
      <c r="G35" s="202"/>
      <c r="H35" s="202"/>
      <c r="I35" s="202"/>
      <c r="J35" s="202"/>
      <c r="K35" s="202"/>
      <c r="L35" s="202"/>
      <c r="M35" s="202"/>
      <c r="N35" s="13"/>
      <c r="O35" s="1"/>
      <c r="P35" s="72"/>
      <c r="Q35" s="41"/>
      <c r="R35" s="5"/>
      <c r="S35" s="5"/>
      <c r="T35" s="5"/>
      <c r="U35" s="5"/>
      <c r="V35" s="5"/>
      <c r="W35" s="5"/>
      <c r="X35" s="79"/>
      <c r="Y35" s="5"/>
    </row>
    <row r="36" spans="1:25" ht="67.5" hidden="1" outlineLevel="1">
      <c r="A36" s="1"/>
      <c r="B36" s="1"/>
      <c r="C36" s="11"/>
      <c r="D36" s="205" t="s">
        <v>54</v>
      </c>
      <c r="E36" s="206"/>
      <c r="F36" s="80" t="s">
        <v>55</v>
      </c>
      <c r="G36" s="81" t="s">
        <v>56</v>
      </c>
      <c r="H36" s="81" t="str">
        <f>"HON.CONTRATUAIS " &amp; IF(V7="Sim", TEXT(V8,"0%"), "")</f>
        <v xml:space="preserve">HON.CONTRATUAIS </v>
      </c>
      <c r="I36" s="81" t="str">
        <f>"HON.SUCUMBÊNCIA " &amp; IF(V7="Sim", TEXT(V8,"0%"), "")</f>
        <v xml:space="preserve">HON.SUCUMBÊNCIA </v>
      </c>
      <c r="J36" s="81" t="s">
        <v>57</v>
      </c>
      <c r="K36" s="81" t="s">
        <v>58</v>
      </c>
      <c r="L36" s="81" t="s">
        <v>59</v>
      </c>
      <c r="M36" s="81" t="s">
        <v>60</v>
      </c>
      <c r="N36" s="13"/>
      <c r="O36" s="1"/>
      <c r="P36" s="72"/>
      <c r="Q36" s="41"/>
      <c r="R36" s="5"/>
      <c r="S36" s="5"/>
      <c r="T36" s="5"/>
      <c r="U36" s="5"/>
      <c r="V36" s="5"/>
      <c r="W36" s="5"/>
      <c r="X36" s="79"/>
      <c r="Y36" s="5"/>
    </row>
    <row r="37" spans="1:25" ht="23.25" hidden="1" outlineLevel="1">
      <c r="A37" s="1"/>
      <c r="B37" s="1"/>
      <c r="C37" s="11"/>
      <c r="D37" s="226"/>
      <c r="E37" s="227"/>
      <c r="F37" s="82"/>
      <c r="G37" s="83">
        <f ca="1">$G$21*F37</f>
        <v>0</v>
      </c>
      <c r="H37" s="83">
        <f ca="1">IF($R$8="Sim",G37*$R$9,0)</f>
        <v>0</v>
      </c>
      <c r="I37" s="83">
        <f>IF($V$8="Sim",F37*$V$9,0)</f>
        <v>0</v>
      </c>
      <c r="J37" s="83">
        <f ca="1">G37-H37-I37</f>
        <v>0</v>
      </c>
      <c r="K37" s="83">
        <f ca="1">$W$56</f>
        <v>2467.64</v>
      </c>
      <c r="L37" s="83" t="e">
        <f ca="1">F37*$T$79</f>
        <v>#DIV/0!</v>
      </c>
      <c r="M37" s="84">
        <f ca="1">$T$75*F37</f>
        <v>0</v>
      </c>
      <c r="N37" s="13"/>
      <c r="O37" s="1"/>
      <c r="P37" s="72"/>
      <c r="Q37" s="41"/>
      <c r="R37" s="5"/>
      <c r="S37" s="5"/>
      <c r="T37" s="5"/>
      <c r="U37" s="5"/>
      <c r="V37" s="5"/>
      <c r="W37" s="5"/>
      <c r="X37" s="79"/>
      <c r="Y37" s="5"/>
    </row>
    <row r="38" spans="1:25" ht="23.25" hidden="1" outlineLevel="1">
      <c r="A38" s="1"/>
      <c r="B38" s="1"/>
      <c r="C38" s="11"/>
      <c r="D38" s="226"/>
      <c r="E38" s="227"/>
      <c r="F38" s="82"/>
      <c r="G38" s="83">
        <f ca="1">$G$21*F38</f>
        <v>0</v>
      </c>
      <c r="H38" s="83">
        <f ca="1">IF($R$8="Sim",G38*$R$9,0)</f>
        <v>0</v>
      </c>
      <c r="I38" s="83">
        <f>IF($V$8="Sim",F38*$V$9,0)</f>
        <v>0</v>
      </c>
      <c r="J38" s="83">
        <f ca="1">G38-H38-I38</f>
        <v>0</v>
      </c>
      <c r="K38" s="83">
        <f ca="1">$W$56</f>
        <v>2467.64</v>
      </c>
      <c r="L38" s="83" t="e">
        <f ca="1">F38*$T$79</f>
        <v>#DIV/0!</v>
      </c>
      <c r="M38" s="84">
        <f ca="1">$T$75*F38</f>
        <v>0</v>
      </c>
      <c r="N38" s="13"/>
      <c r="O38" s="1"/>
      <c r="P38" s="72"/>
      <c r="Q38" s="41"/>
      <c r="R38" s="5"/>
      <c r="S38" s="5"/>
      <c r="T38" s="5"/>
      <c r="U38" s="5"/>
      <c r="V38" s="5"/>
      <c r="W38" s="5"/>
      <c r="X38" s="79"/>
      <c r="Y38" s="5"/>
    </row>
    <row r="39" spans="1:25" ht="29.25" hidden="1" customHeight="1" outlineLevel="1">
      <c r="A39" s="1"/>
      <c r="B39" s="1"/>
      <c r="C39" s="11"/>
      <c r="D39" s="228" t="s">
        <v>61</v>
      </c>
      <c r="E39" s="229"/>
      <c r="F39" s="85">
        <f>SUM(F37:F38)</f>
        <v>0</v>
      </c>
      <c r="G39" s="86">
        <f ca="1">SUM(G37:G38)</f>
        <v>0</v>
      </c>
      <c r="H39" s="86">
        <f t="shared" ref="H39:I39" ca="1" si="0">SUM(H37:H38)</f>
        <v>0</v>
      </c>
      <c r="I39" s="86">
        <f t="shared" si="0"/>
        <v>0</v>
      </c>
      <c r="J39" s="86">
        <f ca="1">SUM(J37:J38)</f>
        <v>0</v>
      </c>
      <c r="K39" s="86">
        <f ca="1">SUM(K37:K38)</f>
        <v>4935.28</v>
      </c>
      <c r="L39" s="86" t="e">
        <f ca="1">SUM(L37:L38)</f>
        <v>#DIV/0!</v>
      </c>
      <c r="M39" s="87">
        <f ca="1">SUM(M37:M38)</f>
        <v>0</v>
      </c>
      <c r="N39" s="13"/>
      <c r="O39" s="1"/>
      <c r="P39" s="5"/>
      <c r="Q39" s="5"/>
      <c r="R39" s="5"/>
      <c r="S39" s="5"/>
      <c r="T39" s="5"/>
      <c r="U39" s="5"/>
      <c r="V39" s="5"/>
      <c r="W39" s="5"/>
      <c r="X39" s="79"/>
      <c r="Y39" s="5"/>
    </row>
    <row r="40" spans="1:25" ht="23.25" customHeight="1" collapsed="1">
      <c r="A40" s="1"/>
      <c r="B40" s="1"/>
      <c r="C40" s="11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1"/>
      <c r="P40" s="5"/>
      <c r="Q40" s="5"/>
      <c r="R40" s="5"/>
      <c r="S40" s="5"/>
      <c r="T40" s="5"/>
      <c r="U40" s="5"/>
      <c r="V40" s="5"/>
      <c r="W40" s="5"/>
      <c r="X40" s="79"/>
      <c r="Y40" s="88"/>
    </row>
    <row r="41" spans="1:25" ht="64.5" customHeight="1">
      <c r="A41" s="1"/>
      <c r="B41" s="1"/>
      <c r="C41" s="11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89" t="s">
        <v>62</v>
      </c>
      <c r="S41" s="90">
        <f ca="1">IF(G21&gt;S33,S33,G21)</f>
        <v>35300</v>
      </c>
      <c r="T41" s="224" t="s">
        <v>63</v>
      </c>
      <c r="U41" s="224"/>
      <c r="V41" s="224"/>
      <c r="W41" s="79"/>
      <c r="X41" s="79"/>
      <c r="Y41" s="5"/>
    </row>
    <row r="42" spans="1:25" ht="23.25">
      <c r="A42" s="1"/>
      <c r="B42" s="1"/>
      <c r="C42" s="11"/>
      <c r="D42" s="225" t="s">
        <v>64</v>
      </c>
      <c r="E42" s="225"/>
      <c r="F42" s="225"/>
      <c r="G42" s="225"/>
      <c r="H42" s="225"/>
      <c r="I42" s="225"/>
      <c r="J42" s="225"/>
      <c r="K42" s="4"/>
      <c r="L42" s="4"/>
      <c r="M42" s="4"/>
      <c r="N42" s="4"/>
      <c r="O42" s="1"/>
      <c r="P42" s="5"/>
      <c r="Q42" s="5"/>
      <c r="R42" s="91" t="s">
        <v>65</v>
      </c>
      <c r="S42" s="92">
        <f ca="1">S41*S27</f>
        <v>31647.357262802114</v>
      </c>
      <c r="T42" s="93">
        <f ca="1">$F$18*S42</f>
        <v>3604.6339922331604</v>
      </c>
      <c r="U42" s="94">
        <f ca="1">SUM(S42:T42)</f>
        <v>35251.991255035275</v>
      </c>
      <c r="V42" s="95" t="s">
        <v>66</v>
      </c>
      <c r="W42" s="79"/>
      <c r="X42" s="79"/>
      <c r="Y42" s="5"/>
    </row>
    <row r="43" spans="1:25" ht="45.75">
      <c r="A43" s="1"/>
      <c r="B43" s="1"/>
      <c r="C43" s="11"/>
      <c r="D43" s="231" t="s">
        <v>67</v>
      </c>
      <c r="E43" s="231"/>
      <c r="F43" s="96" t="s">
        <v>68</v>
      </c>
      <c r="G43" s="97" t="s">
        <v>69</v>
      </c>
      <c r="H43" s="98" t="s">
        <v>70</v>
      </c>
      <c r="I43" s="97" t="s">
        <v>71</v>
      </c>
      <c r="J43" s="97" t="s">
        <v>72</v>
      </c>
      <c r="K43" s="4"/>
      <c r="L43" s="4"/>
      <c r="M43" s="4"/>
      <c r="N43" s="4"/>
      <c r="O43" s="1"/>
      <c r="P43" s="5"/>
      <c r="Q43" s="5"/>
      <c r="R43" s="91" t="s">
        <v>73</v>
      </c>
      <c r="S43" s="92">
        <f ca="1">U27*S41</f>
        <v>43.099690455364829</v>
      </c>
      <c r="T43" s="93">
        <f ca="1">$F$18*S43</f>
        <v>4.9090547428660534</v>
      </c>
      <c r="U43" s="99">
        <f ca="1">SUM(S43:T43)</f>
        <v>48.008745198230883</v>
      </c>
      <c r="V43" s="100" t="s">
        <v>74</v>
      </c>
      <c r="W43" s="79"/>
      <c r="X43" s="79"/>
      <c r="Y43" s="5"/>
    </row>
    <row r="44" spans="1:25" ht="46.5" customHeight="1">
      <c r="A44" s="1"/>
      <c r="B44" s="1"/>
      <c r="C44" s="11"/>
      <c r="D44" s="223" t="str">
        <f>E10</f>
        <v>MARIA FATIMA DE MACEDO SILVA LOPES</v>
      </c>
      <c r="E44" s="223"/>
      <c r="F44" s="101">
        <f ca="1">S51</f>
        <v>35300</v>
      </c>
      <c r="G44" s="102">
        <f ca="1">S57</f>
        <v>4935.28</v>
      </c>
      <c r="H44" s="102" t="e">
        <f ca="1">T79</f>
        <v>#DIV/0!</v>
      </c>
      <c r="I44" s="102" t="e">
        <f ca="1">F44-G44-H44</f>
        <v>#DIV/0!</v>
      </c>
      <c r="J44" s="103">
        <f ca="1">IF(U68="sim", T75, "-")</f>
        <v>0</v>
      </c>
      <c r="K44" s="4"/>
      <c r="L44" s="4"/>
      <c r="M44" s="4"/>
      <c r="N44" s="4"/>
      <c r="O44" s="1"/>
      <c r="P44" s="5"/>
      <c r="Q44" s="5"/>
      <c r="R44" s="91" t="s">
        <v>75</v>
      </c>
      <c r="S44" s="92">
        <f ca="1">S41*W27</f>
        <v>3609.5430467425181</v>
      </c>
      <c r="T44" s="104">
        <f ca="1">SUM(T42:T43)</f>
        <v>3609.5430469760263</v>
      </c>
      <c r="U44" s="105">
        <f ca="1">SUM(U42:U43)</f>
        <v>35300.000000233507</v>
      </c>
      <c r="V44" s="106" t="s">
        <v>76</v>
      </c>
      <c r="W44" s="79"/>
      <c r="X44" s="79"/>
      <c r="Y44" s="5"/>
    </row>
    <row r="45" spans="1:25" ht="52.5" customHeight="1">
      <c r="A45" s="1"/>
      <c r="B45" s="1"/>
      <c r="C45" s="11"/>
      <c r="D45" s="223" t="str">
        <f>TEXT(R10,"Texto")&amp;" (Honorários Contratual)"</f>
        <v>Gabriel de Jesus Silva (Honorários Contratual)</v>
      </c>
      <c r="E45" s="223"/>
      <c r="F45" s="101">
        <f ca="1">S48</f>
        <v>0</v>
      </c>
      <c r="G45" s="102">
        <v>0</v>
      </c>
      <c r="H45" s="102">
        <f ca="1">IF(R11="cpf", IF(F45&gt;=[1]IR!$B$4,F45* [1]IR!$C$4-[1]IR!$D$4, IF(F45&gt;=[1]IR!$B$5,F45* [1]IR!$C$5-[1]IR!$D$5, IF(F45&gt;=[1]IR!$B$6,F45* [1]IR!$C$6-[1]IR!$D$6, IF(F45&gt;=[1]IR!$B$7,F45* [1]IR!$C$7-[1]IR!$D$7, 0)))), IF(R11="cnpj",F45* [1]IR!$C$10, "0"))</f>
        <v>0</v>
      </c>
      <c r="I45" s="102">
        <f ca="1">F45-G45-H45</f>
        <v>0</v>
      </c>
      <c r="J45" s="103" t="s">
        <v>40</v>
      </c>
      <c r="K45" s="4"/>
      <c r="L45" s="4"/>
      <c r="M45" s="4"/>
      <c r="N45" s="4"/>
      <c r="O45" s="1"/>
      <c r="P45" s="5"/>
      <c r="Q45" s="5"/>
      <c r="R45" s="79"/>
      <c r="S45" s="79"/>
      <c r="T45" s="79"/>
      <c r="U45" s="79"/>
      <c r="V45" s="79"/>
      <c r="W45" s="79"/>
      <c r="X45" s="79"/>
      <c r="Y45" s="5"/>
    </row>
    <row r="46" spans="1:25" ht="63.75" customHeight="1">
      <c r="A46" s="1"/>
      <c r="B46" s="1"/>
      <c r="C46" s="11"/>
      <c r="D46" s="223" t="str">
        <f>TEXT(V10,"Texto")&amp;" (Honorários de Sucumbência)"</f>
        <v>GABRIEL DE JESUS SILVA (Honorários de Sucumbência)</v>
      </c>
      <c r="E46" s="223"/>
      <c r="F46" s="101">
        <f ca="1">S50</f>
        <v>0</v>
      </c>
      <c r="G46" s="102">
        <v>0</v>
      </c>
      <c r="H46" s="102">
        <f ca="1">IF(V11="cpf", IF(F46&gt;=[1]IR!$B$4,F46* [1]IR!$C$4-[1]IR!$D$4, IF(F46&gt;=[1]IR!$B$5,F46* [1]IR!$C$5-[1]IR!$D$5, IF(F46&gt;=[1]IR!$B$6,F46* [1]IR!$C$6-[1]IR!$D$6, IF(F46&gt;=[1]IR!$B$7,F46* [1]IR!$C$7-[1]IR!$D$7, 0)))), IF(V11="cnpj",F46* [1]IR!$C$10, "0"))</f>
        <v>0</v>
      </c>
      <c r="I46" s="102">
        <f ca="1">F46-G46-H46</f>
        <v>0</v>
      </c>
      <c r="J46" s="103" t="s">
        <v>40</v>
      </c>
      <c r="K46" s="4"/>
      <c r="L46" s="4"/>
      <c r="M46" s="4"/>
      <c r="N46" s="4"/>
      <c r="O46" s="1"/>
      <c r="P46" s="5"/>
      <c r="Q46" s="5"/>
      <c r="R46" s="233" t="s">
        <v>77</v>
      </c>
      <c r="S46" s="233"/>
      <c r="T46" s="79"/>
      <c r="U46" s="79"/>
      <c r="V46" s="79"/>
      <c r="W46" s="79"/>
      <c r="X46" s="79"/>
      <c r="Y46" s="5"/>
    </row>
    <row r="47" spans="1:25" ht="41.25" customHeight="1">
      <c r="A47" s="1"/>
      <c r="B47" s="1"/>
      <c r="C47" s="11"/>
      <c r="D47" s="239" t="s">
        <v>78</v>
      </c>
      <c r="E47" s="239"/>
      <c r="F47" s="86">
        <f t="shared" ref="F47" ca="1" si="1">SUM(F44:F46)</f>
        <v>35300</v>
      </c>
      <c r="G47" s="86">
        <f ca="1">SUM(G44:G46)</f>
        <v>4935.28</v>
      </c>
      <c r="H47" s="86" t="e">
        <f ca="1">SUM(H44:H46)</f>
        <v>#DIV/0!</v>
      </c>
      <c r="I47" s="86" t="e">
        <f ca="1">SUM(I44:I46)</f>
        <v>#DIV/0!</v>
      </c>
      <c r="J47" s="86" t="s">
        <v>40</v>
      </c>
      <c r="K47" s="4"/>
      <c r="L47" s="4"/>
      <c r="M47" s="4"/>
      <c r="N47" s="4"/>
      <c r="O47" s="1"/>
      <c r="P47" s="5"/>
      <c r="Q47" s="5"/>
      <c r="R47" s="107" t="s">
        <v>79</v>
      </c>
      <c r="S47" s="108">
        <f ca="1">S41</f>
        <v>35300</v>
      </c>
      <c r="T47" s="79"/>
      <c r="U47" s="79"/>
      <c r="V47" s="79"/>
      <c r="W47" s="79"/>
      <c r="X47" s="79"/>
      <c r="Y47" s="5"/>
    </row>
    <row r="48" spans="1:25" ht="38.25" customHeight="1">
      <c r="A48" s="1"/>
      <c r="B48" s="1"/>
      <c r="C48" s="11"/>
      <c r="D48" s="109"/>
      <c r="E48" s="109"/>
      <c r="F48" s="110"/>
      <c r="G48" s="109"/>
      <c r="H48" s="109"/>
      <c r="I48" s="109"/>
      <c r="J48" s="109"/>
      <c r="K48" s="4"/>
      <c r="L48" s="4"/>
      <c r="M48" s="4"/>
      <c r="N48" s="4"/>
      <c r="O48" s="1"/>
      <c r="P48" s="5"/>
      <c r="Q48" s="5"/>
      <c r="R48" s="111" t="s">
        <v>80</v>
      </c>
      <c r="S48" s="112">
        <f ca="1">IF(R8="Sim",ROUND(S47*$R$9,2),S47*0)</f>
        <v>0</v>
      </c>
      <c r="T48" s="79"/>
      <c r="U48" s="79"/>
      <c r="V48" s="79"/>
      <c r="W48" s="79"/>
      <c r="X48" s="113"/>
      <c r="Y48" s="5"/>
    </row>
    <row r="49" spans="1:25" ht="54.75" customHeight="1">
      <c r="A49" s="1"/>
      <c r="B49" s="1"/>
      <c r="C49" s="11"/>
      <c r="D49" s="14" t="str" cm="1">
        <f t="array" aca="1" ref="D49" ca="1">"Importa a presente conta o valor bruto de R$ " &amp; TEXT(ROUND($F$47,2), "#.##0,00") &amp; " (" &amp; PROPER(Converter_numero(ROUND($F$47,2))) &amp; ")"</f>
        <v>Importa a presente conta o valor bruto de R$ 35.300,00 (Trinta E Cinco Mil, Trezentos Reais)</v>
      </c>
      <c r="E49" s="14"/>
      <c r="F49" s="114"/>
      <c r="G49" s="14"/>
      <c r="H49" s="14"/>
      <c r="I49" s="14"/>
      <c r="J49" s="16"/>
      <c r="K49" s="4"/>
      <c r="L49" s="4"/>
      <c r="M49" s="4"/>
      <c r="N49" s="4"/>
      <c r="O49" s="1"/>
      <c r="P49" s="5"/>
      <c r="Q49" s="5"/>
      <c r="R49" s="111" t="s">
        <v>81</v>
      </c>
      <c r="S49" s="112">
        <v>0</v>
      </c>
      <c r="T49" s="79"/>
      <c r="U49" s="79"/>
      <c r="V49" s="79"/>
      <c r="W49" s="79"/>
      <c r="X49" s="79"/>
      <c r="Y49" s="5"/>
    </row>
    <row r="50" spans="1:25" ht="46.5">
      <c r="A50" s="1"/>
      <c r="B50" s="1"/>
      <c r="C50" s="11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115" t="s">
        <v>82</v>
      </c>
      <c r="S50" s="112">
        <f ca="1">IF(V8="Sim",ROUND(S47*$V$9,2),S47*0)</f>
        <v>0</v>
      </c>
      <c r="T50" s="79"/>
      <c r="U50" s="79"/>
      <c r="V50" s="79"/>
      <c r="W50" s="79"/>
      <c r="X50" s="79"/>
      <c r="Y50" s="5"/>
    </row>
    <row r="51" spans="1:25" ht="23.25">
      <c r="A51" s="1"/>
      <c r="B51" s="1"/>
      <c r="C51" s="11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116" t="s">
        <v>83</v>
      </c>
      <c r="S51" s="117">
        <f ca="1">S47-SUM(S48:S49)</f>
        <v>35300</v>
      </c>
      <c r="T51" s="79"/>
      <c r="U51" s="79"/>
      <c r="V51" s="79"/>
      <c r="W51" s="79"/>
      <c r="X51" s="79"/>
      <c r="Y51" s="5"/>
    </row>
    <row r="52" spans="1:25" ht="23.25">
      <c r="A52" s="1"/>
      <c r="B52" s="1"/>
      <c r="C52" s="118" t="s">
        <v>84</v>
      </c>
      <c r="D52" s="14"/>
      <c r="E52" s="14"/>
      <c r="F52" s="14"/>
      <c r="G52" s="14"/>
      <c r="H52" s="14"/>
      <c r="I52" s="16"/>
      <c r="J52" s="16"/>
      <c r="K52" s="12"/>
      <c r="L52" s="3"/>
      <c r="M52" s="3"/>
      <c r="N52" s="4"/>
      <c r="O52" s="1"/>
      <c r="P52" s="5"/>
      <c r="Q52" s="5"/>
      <c r="R52" s="119"/>
      <c r="S52" s="120"/>
      <c r="T52" s="79"/>
      <c r="U52" s="79"/>
      <c r="V52" s="79"/>
      <c r="W52" s="79"/>
      <c r="X52" s="79"/>
      <c r="Y52" s="5"/>
    </row>
    <row r="53" spans="1:25" ht="23.25">
      <c r="A53" s="1"/>
      <c r="B53" s="1"/>
      <c r="C53" s="71"/>
      <c r="D53" s="240" t="s">
        <v>85</v>
      </c>
      <c r="E53" s="240"/>
      <c r="F53" s="121" t="s">
        <v>86</v>
      </c>
      <c r="G53" s="71"/>
      <c r="H53" s="71"/>
      <c r="I53" s="14"/>
      <c r="J53" s="122"/>
      <c r="K53" s="12"/>
      <c r="L53" s="3"/>
      <c r="M53" s="4"/>
      <c r="N53" s="4"/>
      <c r="O53" s="1"/>
      <c r="P53" s="5"/>
      <c r="Q53" s="5"/>
      <c r="R53" s="79"/>
      <c r="S53" s="79"/>
      <c r="T53" s="79"/>
      <c r="U53" s="79"/>
      <c r="V53" s="79"/>
      <c r="W53" s="79"/>
      <c r="X53" s="79"/>
      <c r="Y53" s="5"/>
    </row>
    <row r="54" spans="1:25" ht="98.25" customHeight="1">
      <c r="A54" s="1"/>
      <c r="B54" s="1"/>
      <c r="C54" s="71"/>
      <c r="D54" s="123" t="s">
        <v>87</v>
      </c>
      <c r="E54" s="121">
        <f ca="1">T72</f>
        <v>35251.991255035275</v>
      </c>
      <c r="F54" s="124">
        <f ca="1">J44</f>
        <v>0</v>
      </c>
      <c r="G54" s="71"/>
      <c r="H54" s="125"/>
      <c r="I54" s="126"/>
      <c r="J54" s="122"/>
      <c r="K54" s="12"/>
      <c r="L54" s="3"/>
      <c r="M54" s="4"/>
      <c r="N54" s="4"/>
      <c r="O54" s="1"/>
      <c r="P54" s="5"/>
      <c r="Q54" s="5"/>
      <c r="R54" s="127" t="s">
        <v>88</v>
      </c>
      <c r="S54" s="128" t="s">
        <v>6</v>
      </c>
      <c r="T54" s="129">
        <v>0.14000000000000001</v>
      </c>
      <c r="U54" s="130" t="s">
        <v>89</v>
      </c>
      <c r="V54" s="234" t="s">
        <v>90</v>
      </c>
      <c r="W54" s="235"/>
      <c r="X54" s="79"/>
      <c r="Y54" s="5"/>
    </row>
    <row r="55" spans="1:25" ht="57.75" customHeight="1">
      <c r="A55" s="1"/>
      <c r="B55" s="1"/>
      <c r="C55" s="71"/>
      <c r="D55" s="123" t="s">
        <v>91</v>
      </c>
      <c r="E55" s="121">
        <f ca="1">S51-T72</f>
        <v>48.008744964725338</v>
      </c>
      <c r="F55" s="71"/>
      <c r="G55" s="71"/>
      <c r="H55" s="71"/>
      <c r="I55" s="14"/>
      <c r="J55" s="14"/>
      <c r="K55" s="12"/>
      <c r="L55" s="3"/>
      <c r="M55" s="4"/>
      <c r="N55" s="4"/>
      <c r="O55" s="1"/>
      <c r="P55" s="5"/>
      <c r="Q55" s="5"/>
      <c r="R55" s="131" t="s">
        <v>92</v>
      </c>
      <c r="S55" s="132">
        <f ca="1">IF(S54="Sim", U42, "R$ 0,00")</f>
        <v>35251.991255035275</v>
      </c>
      <c r="T55" s="5"/>
      <c r="U55" s="5"/>
      <c r="V55" s="133" t="s">
        <v>93</v>
      </c>
      <c r="W55" s="134">
        <f ca="1">S57</f>
        <v>4935.28</v>
      </c>
      <c r="X55" s="79"/>
      <c r="Y55" s="5"/>
    </row>
    <row r="56" spans="1:25" ht="63.75" customHeight="1">
      <c r="A56" s="1"/>
      <c r="B56" s="1"/>
      <c r="C56" s="71"/>
      <c r="D56" s="123" t="s">
        <v>94</v>
      </c>
      <c r="E56" s="121">
        <v>0</v>
      </c>
      <c r="F56" s="71"/>
      <c r="G56" s="71"/>
      <c r="H56" s="71"/>
      <c r="I56" s="14"/>
      <c r="J56" s="14"/>
      <c r="K56" s="12"/>
      <c r="L56" s="3"/>
      <c r="M56" s="4"/>
      <c r="N56" s="4"/>
      <c r="O56" s="1"/>
      <c r="P56" s="5"/>
      <c r="Q56" s="5"/>
      <c r="R56" s="131" t="str">
        <f>CONCATENATE("Aliquota ", TEXT(T54, "0%"))</f>
        <v>Aliquota 14%</v>
      </c>
      <c r="S56" s="132">
        <f ca="1">ROUND(S55*T54,2)</f>
        <v>4935.28</v>
      </c>
      <c r="T56" s="5"/>
      <c r="U56" s="5"/>
      <c r="V56" s="135" t="s">
        <v>95</v>
      </c>
      <c r="W56" s="134">
        <f ca="1">W55/2</f>
        <v>2467.64</v>
      </c>
      <c r="X56" s="79"/>
      <c r="Y56" s="5"/>
    </row>
    <row r="57" spans="1:25" ht="39.75" customHeight="1">
      <c r="A57" s="1"/>
      <c r="B57" s="1"/>
      <c r="C57" s="71"/>
      <c r="E57" s="71"/>
      <c r="F57" s="71"/>
      <c r="G57" s="71"/>
      <c r="H57" s="71"/>
      <c r="I57" s="14"/>
      <c r="J57" s="14"/>
      <c r="K57" s="12"/>
      <c r="L57" s="3"/>
      <c r="M57" s="4"/>
      <c r="N57" s="4"/>
      <c r="O57" s="1"/>
      <c r="P57" s="5"/>
      <c r="Q57" s="5"/>
      <c r="R57" s="136" t="s">
        <v>68</v>
      </c>
      <c r="S57" s="137">
        <f ca="1">S56</f>
        <v>4935.28</v>
      </c>
      <c r="T57" s="5"/>
      <c r="U57" s="5"/>
      <c r="V57" s="138" t="s">
        <v>96</v>
      </c>
      <c r="W57" s="139">
        <f ca="1">G37</f>
        <v>0</v>
      </c>
      <c r="X57" s="79"/>
      <c r="Y57" s="5"/>
    </row>
    <row r="58" spans="1:25" ht="46.5">
      <c r="A58" s="1"/>
      <c r="B58" s="1"/>
      <c r="C58" s="71"/>
      <c r="D58" s="71" t="s">
        <v>97</v>
      </c>
      <c r="E58" s="71"/>
      <c r="F58" s="140"/>
      <c r="G58" s="71"/>
      <c r="H58" s="71"/>
      <c r="I58" s="14"/>
      <c r="J58" s="14"/>
      <c r="K58" s="12"/>
      <c r="L58" s="3"/>
      <c r="M58" s="4"/>
      <c r="N58" s="4"/>
      <c r="O58" s="1"/>
      <c r="P58" s="5"/>
      <c r="Q58" s="5"/>
      <c r="R58" s="119"/>
      <c r="S58" s="5"/>
      <c r="T58" s="5"/>
      <c r="U58" s="5"/>
      <c r="V58" s="138" t="s">
        <v>98</v>
      </c>
      <c r="W58" s="139">
        <f ca="1">S41</f>
        <v>35300</v>
      </c>
      <c r="X58" s="79"/>
      <c r="Y58" s="5"/>
    </row>
    <row r="59" spans="1:25" ht="46.5">
      <c r="A59" s="1"/>
      <c r="B59" s="1"/>
      <c r="C59" s="71"/>
      <c r="D59" s="141" t="s">
        <v>99</v>
      </c>
      <c r="E59" s="71"/>
      <c r="F59" s="140"/>
      <c r="G59" s="71"/>
      <c r="H59" s="71"/>
      <c r="I59" s="14"/>
      <c r="J59" s="14"/>
      <c r="K59" s="12"/>
      <c r="L59" s="3"/>
      <c r="M59" s="4"/>
      <c r="N59" s="4"/>
      <c r="O59" s="1"/>
      <c r="P59" s="5"/>
      <c r="Q59" s="5"/>
      <c r="R59" s="119"/>
      <c r="S59" s="120"/>
      <c r="T59" s="5"/>
      <c r="U59" s="5"/>
      <c r="V59" s="142" t="s">
        <v>100</v>
      </c>
      <c r="W59" s="143" t="e">
        <f ca="1">W58*W56/W57</f>
        <v>#DIV/0!</v>
      </c>
      <c r="X59" s="79"/>
      <c r="Y59" s="5"/>
    </row>
    <row r="60" spans="1:25" ht="23.25">
      <c r="A60" s="1"/>
      <c r="B60" s="1"/>
      <c r="C60" s="71"/>
      <c r="D60" s="141" t="s">
        <v>101</v>
      </c>
      <c r="E60" s="71"/>
      <c r="F60" s="140"/>
      <c r="G60" s="71"/>
      <c r="H60" s="71"/>
      <c r="I60" s="109"/>
      <c r="J60" s="109"/>
      <c r="K60" s="109"/>
      <c r="L60" s="109"/>
      <c r="M60" s="4"/>
      <c r="N60" s="4"/>
      <c r="O60" s="1"/>
      <c r="P60" s="5"/>
      <c r="Q60" s="5"/>
      <c r="R60" s="236" t="s">
        <v>72</v>
      </c>
      <c r="S60" s="236"/>
      <c r="T60" s="5"/>
      <c r="U60" s="5"/>
      <c r="V60" s="5"/>
      <c r="W60" s="79"/>
      <c r="X60" s="79"/>
      <c r="Y60" s="5"/>
    </row>
    <row r="61" spans="1:25" ht="26.25">
      <c r="A61" s="1"/>
      <c r="B61" s="1"/>
      <c r="C61" s="71"/>
      <c r="D61" s="71" t="s">
        <v>102</v>
      </c>
      <c r="E61" s="71"/>
      <c r="F61" s="140"/>
      <c r="G61" s="71"/>
      <c r="H61" s="71"/>
      <c r="I61" s="109"/>
      <c r="J61" s="109"/>
      <c r="K61" s="109"/>
      <c r="L61" s="109"/>
      <c r="M61" s="4"/>
      <c r="N61" s="4"/>
      <c r="O61" s="1"/>
      <c r="P61" s="5"/>
      <c r="Q61" s="5"/>
      <c r="R61" s="144">
        <f ca="1">(IF(U68="Sim",R24,0))</f>
        <v>38246096.540000007</v>
      </c>
      <c r="S61" s="145">
        <v>1</v>
      </c>
      <c r="T61" s="5"/>
      <c r="U61" s="5"/>
      <c r="V61" s="5"/>
      <c r="W61" s="79"/>
      <c r="X61" s="79"/>
      <c r="Y61" s="5"/>
    </row>
    <row r="62" spans="1:25" ht="23.25">
      <c r="A62" s="1"/>
      <c r="B62" s="1"/>
      <c r="C62" s="71"/>
      <c r="D62" s="71" t="s">
        <v>103</v>
      </c>
      <c r="E62" s="71"/>
      <c r="F62" s="140"/>
      <c r="G62" s="71"/>
      <c r="H62" s="71"/>
      <c r="I62" s="109"/>
      <c r="J62" s="109"/>
      <c r="K62" s="109"/>
      <c r="L62" s="109"/>
      <c r="M62" s="4"/>
      <c r="N62" s="4"/>
      <c r="O62" s="1"/>
      <c r="P62" s="5"/>
      <c r="Q62" s="5"/>
      <c r="R62" s="144">
        <f ca="1">S47</f>
        <v>35300</v>
      </c>
      <c r="S62" s="146" t="s">
        <v>104</v>
      </c>
      <c r="T62" s="5"/>
      <c r="U62" s="5"/>
      <c r="V62" s="5"/>
      <c r="W62" s="79"/>
      <c r="X62" s="79"/>
      <c r="Y62" s="5"/>
    </row>
    <row r="63" spans="1:25" ht="23.25">
      <c r="A63" s="1"/>
      <c r="B63" s="1"/>
      <c r="C63" s="71"/>
      <c r="D63" s="71" t="s">
        <v>105</v>
      </c>
      <c r="E63" s="71"/>
      <c r="F63" s="140"/>
      <c r="G63" s="71"/>
      <c r="H63" s="71"/>
      <c r="I63" s="109"/>
      <c r="J63" s="109"/>
      <c r="K63" s="109"/>
      <c r="L63" s="109"/>
      <c r="M63" s="4"/>
      <c r="N63" s="4"/>
      <c r="O63" s="1"/>
      <c r="P63" s="5"/>
      <c r="Q63" s="5"/>
      <c r="R63" s="147"/>
      <c r="S63" s="148">
        <f ca="1">(R62*S61)/R61</f>
        <v>9.2297000722887349E-4</v>
      </c>
      <c r="T63" s="5"/>
      <c r="U63" s="5"/>
      <c r="V63" s="5"/>
      <c r="W63" s="79"/>
      <c r="X63" s="79"/>
      <c r="Y63" s="5"/>
    </row>
    <row r="64" spans="1:25" ht="23.25">
      <c r="A64" s="1"/>
      <c r="B64" s="1"/>
      <c r="C64" s="149"/>
      <c r="D64" s="71" t="s">
        <v>106</v>
      </c>
      <c r="E64" s="71"/>
      <c r="F64" s="71"/>
      <c r="G64" s="71"/>
      <c r="H64" s="14"/>
      <c r="I64" s="14"/>
      <c r="J64" s="14"/>
      <c r="K64" s="12"/>
      <c r="L64" s="3"/>
      <c r="M64" s="4"/>
      <c r="N64" s="4"/>
      <c r="O64" s="1"/>
      <c r="P64" s="5"/>
      <c r="Q64" s="5"/>
      <c r="R64" s="119"/>
      <c r="S64" s="5"/>
      <c r="T64" s="5"/>
      <c r="U64" s="5"/>
      <c r="V64" s="5"/>
      <c r="W64" s="79"/>
      <c r="X64" s="79"/>
      <c r="Y64" s="5"/>
    </row>
    <row r="65" spans="1:25" ht="23.25">
      <c r="A65" s="1"/>
      <c r="B65" s="1"/>
      <c r="C65" s="149"/>
      <c r="D65" s="71" t="s">
        <v>107</v>
      </c>
      <c r="E65" s="71"/>
      <c r="F65" s="71"/>
      <c r="G65" s="71"/>
      <c r="H65" s="14"/>
      <c r="I65" s="14"/>
      <c r="J65" s="14"/>
      <c r="K65" s="12"/>
      <c r="L65" s="3"/>
      <c r="M65" s="4"/>
      <c r="N65" s="4"/>
      <c r="O65" s="1"/>
      <c r="P65" s="5"/>
      <c r="Q65" s="5"/>
      <c r="R65" s="5"/>
      <c r="S65" s="5"/>
      <c r="T65" s="5"/>
      <c r="U65" s="5"/>
      <c r="V65" s="5"/>
      <c r="W65" s="79"/>
      <c r="X65" s="79"/>
      <c r="Y65" s="5"/>
    </row>
    <row r="66" spans="1:25" ht="23.25">
      <c r="A66" s="1"/>
      <c r="B66" s="1"/>
      <c r="C66" s="149"/>
      <c r="D66" s="150" t="s">
        <v>108</v>
      </c>
      <c r="E66" s="71"/>
      <c r="F66" s="71"/>
      <c r="G66" s="71"/>
      <c r="H66" s="14"/>
      <c r="I66" s="14"/>
      <c r="J66" s="14"/>
      <c r="K66" s="14"/>
      <c r="L66" s="3"/>
      <c r="M66" s="4"/>
      <c r="N66" s="4"/>
      <c r="O66" s="1"/>
      <c r="P66" s="5"/>
      <c r="Q66" s="5"/>
      <c r="R66" s="5"/>
      <c r="S66" s="5"/>
      <c r="T66" s="5"/>
      <c r="U66" s="5"/>
      <c r="V66" s="5"/>
      <c r="W66" s="79"/>
      <c r="X66" s="79"/>
      <c r="Y66" s="5"/>
    </row>
    <row r="67" spans="1:25" ht="23.25">
      <c r="A67" s="1"/>
      <c r="B67" s="1"/>
      <c r="C67" s="149"/>
      <c r="D67" s="150" t="s">
        <v>109</v>
      </c>
      <c r="E67" s="71"/>
      <c r="F67" s="71"/>
      <c r="G67" s="71"/>
      <c r="H67" s="14"/>
      <c r="I67" s="14"/>
      <c r="J67" s="14"/>
      <c r="K67" s="14"/>
      <c r="L67" s="3"/>
      <c r="M67" s="4"/>
      <c r="N67" s="4"/>
      <c r="O67" s="1"/>
      <c r="P67" s="5"/>
      <c r="Q67" s="5"/>
      <c r="R67" s="119"/>
      <c r="S67" s="5"/>
      <c r="T67" s="5"/>
      <c r="U67" s="120"/>
      <c r="V67" s="79"/>
      <c r="W67" s="79"/>
      <c r="X67" s="79"/>
      <c r="Y67" s="5"/>
    </row>
    <row r="68" spans="1:25" ht="23.25">
      <c r="A68" s="1"/>
      <c r="B68" s="1"/>
      <c r="C68" s="149"/>
      <c r="D68" s="150" t="s">
        <v>110</v>
      </c>
      <c r="E68" s="71"/>
      <c r="F68" s="71"/>
      <c r="G68" s="71"/>
      <c r="H68" s="14"/>
      <c r="I68" s="14"/>
      <c r="J68" s="14"/>
      <c r="K68" s="14"/>
      <c r="L68" s="3"/>
      <c r="M68" s="4"/>
      <c r="N68" s="4"/>
      <c r="O68" s="1"/>
      <c r="P68" s="5"/>
      <c r="Q68" s="5"/>
      <c r="R68" s="237" t="s">
        <v>111</v>
      </c>
      <c r="S68" s="151" t="s">
        <v>112</v>
      </c>
      <c r="T68" s="152">
        <f ca="1">U42</f>
        <v>35251.991255035275</v>
      </c>
      <c r="U68" s="238" t="s">
        <v>6</v>
      </c>
      <c r="V68" s="79"/>
      <c r="W68" s="79"/>
      <c r="X68" s="79"/>
      <c r="Y68" s="5"/>
    </row>
    <row r="69" spans="1:25" ht="46.5">
      <c r="A69" s="1"/>
      <c r="B69" s="1"/>
      <c r="C69" s="149"/>
      <c r="D69" s="150" t="s">
        <v>113</v>
      </c>
      <c r="E69" s="71"/>
      <c r="F69" s="71"/>
      <c r="G69" s="71"/>
      <c r="H69" s="14"/>
      <c r="I69" s="14"/>
      <c r="J69" s="14"/>
      <c r="K69" s="14"/>
      <c r="L69" s="3"/>
      <c r="M69" s="4"/>
      <c r="N69" s="4"/>
      <c r="O69" s="1"/>
      <c r="P69" s="5"/>
      <c r="Q69" s="5"/>
      <c r="R69" s="237"/>
      <c r="S69" s="153" t="s">
        <v>114</v>
      </c>
      <c r="T69" s="154">
        <v>0</v>
      </c>
      <c r="U69" s="238"/>
      <c r="V69" s="79"/>
      <c r="W69" s="79"/>
      <c r="X69" s="79"/>
      <c r="Y69" s="5"/>
    </row>
    <row r="70" spans="1:25" ht="23.25">
      <c r="A70" s="1"/>
      <c r="B70" s="1"/>
      <c r="C70" s="150"/>
      <c r="D70" s="150" t="s">
        <v>115</v>
      </c>
      <c r="E70" s="71"/>
      <c r="F70" s="71"/>
      <c r="G70" s="140"/>
      <c r="H70" s="14"/>
      <c r="I70" s="14"/>
      <c r="J70" s="14"/>
      <c r="K70" s="14"/>
      <c r="L70" s="149"/>
      <c r="M70" s="4"/>
      <c r="N70" s="4"/>
      <c r="O70" s="1"/>
      <c r="P70" s="5"/>
      <c r="Q70" s="5"/>
      <c r="R70" s="155" t="s">
        <v>116</v>
      </c>
      <c r="S70" s="156"/>
      <c r="T70" s="157">
        <f ca="1">IF(R8="sim",R9*(T68+T69),0)</f>
        <v>0</v>
      </c>
      <c r="U70" s="158"/>
      <c r="V70" s="79"/>
      <c r="W70" s="79"/>
      <c r="X70" s="79"/>
      <c r="Y70" s="5"/>
    </row>
    <row r="71" spans="1:25" ht="23.25">
      <c r="A71" s="1"/>
      <c r="B71" s="1"/>
      <c r="C71" s="14"/>
      <c r="D71" s="150" t="s">
        <v>117</v>
      </c>
      <c r="E71" s="71"/>
      <c r="F71" s="71"/>
      <c r="G71" s="140"/>
      <c r="H71" s="14"/>
      <c r="I71" s="14"/>
      <c r="J71" s="14"/>
      <c r="K71" s="14"/>
      <c r="L71" s="149"/>
      <c r="M71" s="4"/>
      <c r="N71" s="4"/>
      <c r="O71" s="1"/>
      <c r="P71" s="5"/>
      <c r="Q71" s="5"/>
      <c r="R71" s="159" t="s">
        <v>118</v>
      </c>
      <c r="S71" s="160"/>
      <c r="T71" s="161">
        <v>0</v>
      </c>
      <c r="U71" s="158"/>
      <c r="V71" s="79"/>
      <c r="W71" s="79"/>
      <c r="X71" s="79"/>
      <c r="Y71" s="5"/>
    </row>
    <row r="72" spans="1:25" ht="23.25">
      <c r="A72" s="1"/>
      <c r="B72" s="1"/>
      <c r="C72" s="14"/>
      <c r="D72" s="150" t="s">
        <v>119</v>
      </c>
      <c r="E72" s="71"/>
      <c r="F72" s="71"/>
      <c r="G72" s="140"/>
      <c r="H72" s="14"/>
      <c r="I72" s="14"/>
      <c r="J72" s="14"/>
      <c r="K72" s="14"/>
      <c r="L72" s="149"/>
      <c r="M72" s="4"/>
      <c r="N72" s="4"/>
      <c r="O72" s="1"/>
      <c r="P72" s="5"/>
      <c r="Q72" s="5"/>
      <c r="R72" s="162" t="s">
        <v>120</v>
      </c>
      <c r="S72" s="79"/>
      <c r="T72" s="163">
        <f ca="1">T68-T69-T70-T71</f>
        <v>35251.991255035275</v>
      </c>
      <c r="U72" s="158"/>
      <c r="V72" s="79"/>
      <c r="W72" s="79"/>
      <c r="X72" s="79"/>
      <c r="Y72" s="5"/>
    </row>
    <row r="73" spans="1:25" ht="23.25">
      <c r="A73" s="1"/>
      <c r="B73" s="1"/>
      <c r="C73" s="1"/>
      <c r="D73" s="150" t="s">
        <v>121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164" t="s">
        <v>122</v>
      </c>
      <c r="S73" s="79"/>
      <c r="T73" s="163">
        <f ca="1">S57</f>
        <v>4935.28</v>
      </c>
      <c r="U73" s="165"/>
      <c r="V73" s="79"/>
      <c r="W73" s="79"/>
      <c r="X73" s="79"/>
      <c r="Y73" s="5"/>
    </row>
    <row r="74" spans="1:25" ht="23.25">
      <c r="A74" s="1"/>
      <c r="B74" s="1"/>
      <c r="C74" s="1"/>
      <c r="D74" s="150" t="s">
        <v>123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41"/>
      <c r="R74" s="166" t="s">
        <v>124</v>
      </c>
      <c r="S74" s="167"/>
      <c r="T74" s="168">
        <f ca="1">T72-T73</f>
        <v>30316.711255035276</v>
      </c>
      <c r="U74" s="169"/>
      <c r="V74" s="79"/>
      <c r="W74" s="79"/>
      <c r="X74" s="79"/>
      <c r="Y74" s="5"/>
    </row>
    <row r="75" spans="1:25" ht="23.25">
      <c r="A75" s="1"/>
      <c r="B75" s="1"/>
      <c r="C75" s="1"/>
      <c r="D75" s="150" t="e">
        <f ca="1">CONCATENATE("Faixa ", IF(T79=0, "Isenta", T77*100), ". RRA Total: ", S61,". RRA do pagamento: ", Z102)</f>
        <v>#DIV/0!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70"/>
      <c r="R75" s="159" t="s">
        <v>72</v>
      </c>
      <c r="S75" s="160"/>
      <c r="T75" s="171">
        <f ca="1">ROUND(S63,0)</f>
        <v>0</v>
      </c>
      <c r="U75" s="158"/>
      <c r="V75" s="79"/>
      <c r="W75" s="79"/>
      <c r="X75" s="79"/>
      <c r="Y75" s="5"/>
    </row>
    <row r="76" spans="1:25" ht="23.25">
      <c r="A76" s="1"/>
      <c r="B76" s="1"/>
      <c r="C76" s="1"/>
      <c r="D76" s="150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159" t="s">
        <v>125</v>
      </c>
      <c r="S76" s="160"/>
      <c r="T76" s="161" t="e">
        <f ca="1">T74/T75</f>
        <v>#DIV/0!</v>
      </c>
      <c r="U76" s="172"/>
      <c r="V76" s="79"/>
      <c r="W76" s="79"/>
      <c r="X76" s="79"/>
      <c r="Y76" s="5"/>
    </row>
    <row r="77" spans="1:25" ht="23.25">
      <c r="A77" s="1"/>
      <c r="B77" s="1"/>
      <c r="C77" s="173"/>
      <c r="D77" s="174" t="str">
        <f>IF(R8="Não", "", IF(R11="cpf", "Alíquota: " &amp; IF(F45&gt;=[1]IR!$B$4, [1]IR!$C$4*100 &amp;"%", IF(F45&gt;=[1]IR!$B$5, [1]IR!$C$5*100 &amp;"%", IF(F45&gt;=[1]IR!$B$6, [1]IR!$C$6*100 &amp;"%", IF(F45&gt;=[1]IR!$B$7, [1]IR!$C$7*100, "Isento")))), IF(R11="cnpj", "Alíquota: " &amp; [1]IR!$C$10*100 &amp;"%", "Escolha Inválida")))</f>
        <v>Alíquota: 1,5%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159" t="s">
        <v>126</v>
      </c>
      <c r="S77" s="160"/>
      <c r="T77" s="175" t="e">
        <f ca="1">IF(T76&gt;=[1]IR!$B$4, [1]IR!$C$4, IF(T76&gt;=[1]IR!$B$5, [1]IR!$C$5, IF(T76&gt;=[1]IR!$B$6, [1]IR!$C$6, IF(T76&gt;=[1]IR!$B$7, [1]IR!$C$7, [1]IR!$C$8))))</f>
        <v>#DIV/0!</v>
      </c>
      <c r="U77" s="158"/>
      <c r="V77" s="79"/>
      <c r="W77" s="79"/>
      <c r="X77" s="79"/>
      <c r="Y77" s="5"/>
    </row>
    <row r="78" spans="1:25" ht="23.25">
      <c r="A78" s="1"/>
      <c r="B78" s="1"/>
      <c r="C78" s="2"/>
      <c r="D78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159" t="s">
        <v>127</v>
      </c>
      <c r="S78" s="160"/>
      <c r="T78" s="161" t="e">
        <f ca="1">IF(T77=[1]IR!$C$7, T76*T77-[1]IR!$D$7, IF(T77=[1]IR!$C$6, T76*T77-[1]IR!$D$6, IF(T77=[1]IR!$C$5, T76*T77-[1]IR!$D$5, IF(T77=[1]IR!$C$4, T76*T77-[1]IR!$D$4, [1]IR!$D$8))))</f>
        <v>#DIV/0!</v>
      </c>
      <c r="U78" s="158"/>
      <c r="V78" s="79"/>
      <c r="W78" s="5"/>
      <c r="X78" s="79"/>
      <c r="Y78" s="5"/>
    </row>
    <row r="79" spans="1:25" ht="46.5">
      <c r="A79" s="1"/>
      <c r="B79" s="1"/>
      <c r="C79" s="2"/>
      <c r="D79" s="176" t="str">
        <f ca="1">IF(V8="Não", "", IF(V11="cpf", "Alíquota: " &amp; IF(F46&gt;=[1]IR!$B$4, [1]IR!$C$4*100 &amp;"%", IF(F46&gt;=[1]IR!$B$5, [1]IR!$C$5*100 &amp;"%", IF(F46&gt;=[1]IR!$B$6, [1]IR!$C$6*100 &amp;"%", IF(F46&gt;=[1]IR!$B$7, [1]IR!$C$7*100 &amp;"%", "Isento")))), IF(V11="cnpj", "Alíquota: " &amp; [1]IR!$C$10*100 &amp;"%", "Escolha Inválida")))</f>
        <v>Alíquota: Isento</v>
      </c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177" t="s">
        <v>128</v>
      </c>
      <c r="S79" s="178" t="str">
        <f ca="1">"(" &amp; T75 &amp; " meses)"</f>
        <v>(0 meses)</v>
      </c>
      <c r="T79" s="179" t="e">
        <f ca="1">IF(U68="sim", ROUND(T78*T75,2), 0)</f>
        <v>#DIV/0!</v>
      </c>
      <c r="U79" s="158"/>
      <c r="V79" s="79"/>
      <c r="W79" s="5"/>
      <c r="X79" s="79"/>
      <c r="Y79" s="5"/>
    </row>
    <row r="80" spans="1:25" ht="23.25">
      <c r="A80" s="1"/>
      <c r="B80" s="1"/>
      <c r="C80" s="2"/>
      <c r="D80" s="180" t="str">
        <f ca="1">IF(R24-S47=0,"9- Conforme cálculo apresentado NÃO restará saldo a pagar neste precatório.","9- Conforme cálculo apresentado restará saldo a pagar neste precatório.")</f>
        <v>9- Conforme cálculo apresentado restará saldo a pagar neste precatório.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5"/>
      <c r="S80" s="5"/>
      <c r="T80" s="5"/>
      <c r="U80" s="5"/>
      <c r="V80" s="5"/>
      <c r="W80" s="5"/>
      <c r="X80" s="5"/>
      <c r="Y80" s="5"/>
    </row>
    <row r="81" spans="1:25" ht="23.25">
      <c r="A81" s="1"/>
      <c r="B81" s="1"/>
      <c r="C81" s="4"/>
      <c r="D81" s="4"/>
      <c r="E81" s="4"/>
      <c r="F81" s="4"/>
      <c r="G81" s="4"/>
      <c r="H81" s="4"/>
      <c r="I81" s="4"/>
      <c r="J81" s="4"/>
      <c r="K81" s="4"/>
      <c r="L81" s="4"/>
      <c r="M81" s="181"/>
      <c r="N81" s="4"/>
      <c r="O81" s="1"/>
      <c r="P81" s="5"/>
      <c r="Q81" s="5"/>
      <c r="R81" s="241" t="s">
        <v>129</v>
      </c>
      <c r="S81" s="242"/>
      <c r="T81" s="242"/>
      <c r="U81" s="242"/>
      <c r="V81" s="243"/>
      <c r="W81" s="5"/>
      <c r="X81" s="5"/>
      <c r="Y81" s="5"/>
    </row>
    <row r="82" spans="1:25" ht="23.25">
      <c r="A82" s="1"/>
      <c r="B82" s="1"/>
      <c r="C82" s="14"/>
      <c r="D82" s="2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182">
        <f t="shared" ref="R82:U84" ca="1" si="2">ROUND(F44,2)</f>
        <v>35300</v>
      </c>
      <c r="S82" s="183">
        <f t="shared" ca="1" si="2"/>
        <v>4935.28</v>
      </c>
      <c r="T82" s="183" t="e">
        <f t="shared" ca="1" si="2"/>
        <v>#DIV/0!</v>
      </c>
      <c r="U82" s="183" t="e">
        <f t="shared" ca="1" si="2"/>
        <v>#DIV/0!</v>
      </c>
      <c r="V82" s="184" t="e">
        <f ca="1">F44-S82-T82-U82</f>
        <v>#DIV/0!</v>
      </c>
      <c r="W82" s="5"/>
      <c r="X82" s="5"/>
      <c r="Y82" s="5"/>
    </row>
    <row r="83" spans="1:25" ht="23.25">
      <c r="A83" s="1"/>
      <c r="B83" s="1"/>
      <c r="C83" s="14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82">
        <f t="shared" ca="1" si="2"/>
        <v>0</v>
      </c>
      <c r="S83" s="183">
        <f t="shared" si="2"/>
        <v>0</v>
      </c>
      <c r="T83" s="183">
        <f t="shared" ca="1" si="2"/>
        <v>0</v>
      </c>
      <c r="U83" s="183">
        <f t="shared" ca="1" si="2"/>
        <v>0</v>
      </c>
      <c r="V83" s="184">
        <f ca="1">F45-S83-T83-U83</f>
        <v>0</v>
      </c>
      <c r="W83" s="5"/>
      <c r="X83" s="5"/>
      <c r="Y83" s="5"/>
    </row>
    <row r="84" spans="1:25" ht="23.25">
      <c r="A84" s="1"/>
      <c r="B84" s="1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1"/>
      <c r="P84" s="5"/>
      <c r="Q84" s="5"/>
      <c r="R84" s="182">
        <f t="shared" ca="1" si="2"/>
        <v>0</v>
      </c>
      <c r="S84" s="183">
        <f t="shared" si="2"/>
        <v>0</v>
      </c>
      <c r="T84" s="183">
        <f t="shared" ca="1" si="2"/>
        <v>0</v>
      </c>
      <c r="U84" s="183">
        <f t="shared" ca="1" si="2"/>
        <v>0</v>
      </c>
      <c r="V84" s="184">
        <f ca="1">F46-S84-T84-U84</f>
        <v>0</v>
      </c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185"/>
      <c r="R85" s="182">
        <f ca="1">SUM(R82:R84)</f>
        <v>35300</v>
      </c>
      <c r="S85" s="183">
        <f t="shared" ref="S85:T85" ca="1" si="3">SUM(S82:S84)</f>
        <v>4935.28</v>
      </c>
      <c r="T85" s="183" t="e">
        <f t="shared" ca="1" si="3"/>
        <v>#DIV/0!</v>
      </c>
      <c r="U85" s="183" t="e">
        <f ca="1">SUM(U82:U84)</f>
        <v>#DIV/0!</v>
      </c>
      <c r="V85" s="184" t="e">
        <f ca="1">F47-S85-T85-U85</f>
        <v>#DIV/0!</v>
      </c>
      <c r="W85" s="5"/>
      <c r="X85" s="5"/>
      <c r="Y85" s="5"/>
    </row>
    <row r="86" spans="1:25" ht="99" customHeight="1">
      <c r="A86" s="1"/>
      <c r="B86" s="1"/>
      <c r="C86" s="3"/>
      <c r="D86" s="232" t="str">
        <f ca="1">"Teresina, " &amp; TEXT(TODAY(), "dd") &amp; " de " &amp; TEXT(TODAY(), "mmmm") &amp; " de " &amp; TEXT(TODAY(), "aaaa")</f>
        <v>Teresina, 17 de fevereiro de 2025</v>
      </c>
      <c r="E86" s="232"/>
      <c r="F86" s="232"/>
      <c r="G86" s="232"/>
      <c r="H86" s="232"/>
      <c r="I86" s="232"/>
      <c r="J86" s="232"/>
      <c r="K86" s="232"/>
      <c r="L86" s="186"/>
      <c r="M86" s="186"/>
      <c r="N86" s="3"/>
      <c r="O86" s="1"/>
      <c r="P86" s="5"/>
      <c r="Q86" s="185"/>
      <c r="R86" s="187">
        <f ca="1">R85-F47</f>
        <v>0</v>
      </c>
      <c r="S86" s="188">
        <f ca="1">S85-G47</f>
        <v>0</v>
      </c>
      <c r="T86" s="188" t="e">
        <f ca="1">T85-H47</f>
        <v>#DIV/0!</v>
      </c>
      <c r="U86" s="188" t="e">
        <f ca="1">U85-I47</f>
        <v>#DIV/0!</v>
      </c>
      <c r="V86" s="189"/>
      <c r="W86" s="5"/>
      <c r="X86" s="5"/>
      <c r="Y86" s="5"/>
    </row>
    <row r="87" spans="1:25" ht="23.25">
      <c r="A87" s="1"/>
      <c r="B87" s="1"/>
      <c r="C87" s="3"/>
      <c r="D87" s="232" t="str">
        <f>[1]MENU!$AD$24</f>
        <v>Gabriel de Jesus Silva</v>
      </c>
      <c r="E87" s="232"/>
      <c r="F87" s="232"/>
      <c r="G87" s="232"/>
      <c r="H87" s="232"/>
      <c r="I87" s="232"/>
      <c r="J87" s="232"/>
      <c r="K87" s="232"/>
      <c r="L87" s="186"/>
      <c r="M87" s="186"/>
      <c r="N87" s="3"/>
      <c r="O87" s="1"/>
      <c r="P87" s="5"/>
      <c r="Q87" s="190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32" t="str">
        <f>[1]MENU!$AD$25</f>
        <v>Servidor TJ/PI - Coordenadoria de Precatórios</v>
      </c>
      <c r="E88" s="232"/>
      <c r="F88" s="232"/>
      <c r="G88" s="232"/>
      <c r="H88" s="232"/>
      <c r="I88" s="232"/>
      <c r="J88" s="232"/>
      <c r="K88" s="232"/>
      <c r="L88" s="186"/>
      <c r="M88" s="186"/>
      <c r="N88" s="3"/>
      <c r="O88" s="1"/>
      <c r="P88" s="5"/>
      <c r="Q88" s="191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32"/>
      <c r="E89" s="232"/>
      <c r="F89" s="232"/>
      <c r="G89" s="232"/>
      <c r="H89" s="232"/>
      <c r="I89" s="232"/>
      <c r="J89" s="232"/>
      <c r="K89" s="232"/>
      <c r="L89" s="186"/>
      <c r="M89" s="186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58"/>
      <c r="X94" s="158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>
        <f ca="1">ROUND(S63,0)</f>
        <v>0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58"/>
      <c r="S104" s="158"/>
      <c r="T104" s="158"/>
      <c r="U104" s="158"/>
      <c r="V104" s="158"/>
      <c r="W104" s="158"/>
      <c r="X104" s="158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58"/>
      <c r="S105" s="158"/>
      <c r="T105" s="158"/>
      <c r="U105" s="158"/>
      <c r="V105" s="158"/>
      <c r="W105" s="158"/>
      <c r="X105" s="158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58"/>
      <c r="S106" s="158"/>
      <c r="T106" s="158"/>
      <c r="U106" s="158"/>
      <c r="V106" s="158"/>
      <c r="W106" s="158"/>
      <c r="X106" s="158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58"/>
      <c r="S107" s="158"/>
      <c r="T107" s="158"/>
      <c r="U107" s="158"/>
      <c r="V107" s="158"/>
      <c r="W107" s="158"/>
      <c r="X107" s="158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58"/>
      <c r="S108" s="158"/>
      <c r="T108" s="158"/>
      <c r="U108" s="158"/>
      <c r="V108" s="158"/>
      <c r="W108" s="158"/>
      <c r="X108" s="158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58"/>
      <c r="S109" s="158"/>
      <c r="T109" s="158"/>
      <c r="U109" s="158"/>
      <c r="V109" s="158"/>
      <c r="W109" s="158"/>
      <c r="X109" s="158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79"/>
      <c r="X110" s="79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92"/>
      <c r="D122" s="16"/>
      <c r="E122" s="16"/>
      <c r="F122" s="16"/>
      <c r="G122" s="16"/>
      <c r="H122" s="16"/>
      <c r="I122" s="16"/>
      <c r="J122" s="16"/>
      <c r="K122" s="12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2"/>
      <c r="D123" s="16"/>
      <c r="E123" s="16"/>
      <c r="F123" s="16"/>
      <c r="G123" s="16"/>
      <c r="H123" s="16"/>
      <c r="I123" s="16"/>
      <c r="J123" s="16"/>
      <c r="K123" s="12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93"/>
      <c r="D124" s="16"/>
      <c r="E124" s="16"/>
      <c r="F124" s="16"/>
      <c r="G124" s="16"/>
      <c r="H124" s="16"/>
      <c r="I124" s="16"/>
      <c r="J124" s="16"/>
      <c r="K124" s="12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94"/>
      <c r="D125" s="16"/>
      <c r="E125" s="16"/>
      <c r="F125" s="16"/>
      <c r="G125" s="16"/>
      <c r="H125" s="16"/>
      <c r="I125" s="16"/>
      <c r="J125" s="16"/>
      <c r="K125" s="12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2"/>
      <c r="D126" s="16"/>
      <c r="E126" s="16"/>
      <c r="F126" s="16"/>
      <c r="G126" s="16"/>
      <c r="H126" s="16"/>
      <c r="I126" s="16"/>
      <c r="J126" s="16"/>
      <c r="K126" s="12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2"/>
      <c r="D127" s="16"/>
      <c r="E127" s="16"/>
      <c r="F127" s="16"/>
      <c r="G127" s="16"/>
      <c r="H127" s="16"/>
      <c r="I127" s="16"/>
      <c r="J127" s="16"/>
      <c r="K127" s="12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2"/>
      <c r="D128" s="16"/>
      <c r="E128" s="16"/>
      <c r="F128" s="16"/>
      <c r="G128" s="16"/>
      <c r="H128" s="16"/>
      <c r="I128" s="16"/>
      <c r="J128" s="16"/>
      <c r="K128" s="12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2"/>
      <c r="D129" s="16"/>
      <c r="E129" s="16"/>
      <c r="F129" s="16"/>
      <c r="G129" s="16"/>
      <c r="H129" s="16"/>
      <c r="I129" s="16"/>
      <c r="J129" s="16"/>
      <c r="K129" s="12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2"/>
      <c r="D130" s="16"/>
      <c r="E130" s="16"/>
      <c r="F130" s="16"/>
      <c r="G130" s="16"/>
      <c r="H130" s="16"/>
      <c r="I130" s="16"/>
      <c r="J130" s="16"/>
      <c r="K130" s="12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2"/>
      <c r="D131" s="16"/>
      <c r="E131" s="16"/>
      <c r="F131" s="16"/>
      <c r="G131" s="16"/>
      <c r="H131" s="16"/>
      <c r="I131" s="16"/>
      <c r="J131" s="16"/>
      <c r="K131" s="12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2"/>
      <c r="D132" s="16"/>
      <c r="E132" s="16"/>
      <c r="F132" s="16"/>
      <c r="G132" s="16"/>
      <c r="H132" s="16"/>
      <c r="I132" s="16"/>
      <c r="J132" s="16"/>
      <c r="K132" s="12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2"/>
      <c r="D133" s="16"/>
      <c r="E133" s="16"/>
      <c r="F133" s="16"/>
      <c r="G133" s="16"/>
      <c r="H133" s="16"/>
      <c r="I133" s="16"/>
      <c r="J133" s="16"/>
      <c r="K133" s="12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2"/>
      <c r="D134" s="16"/>
      <c r="E134" s="16"/>
      <c r="F134" s="16"/>
      <c r="G134" s="16"/>
      <c r="H134" s="16"/>
      <c r="I134" s="16"/>
      <c r="J134" s="16"/>
      <c r="K134" s="12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2"/>
      <c r="D135" s="16"/>
      <c r="E135" s="16"/>
      <c r="F135" s="16"/>
      <c r="G135" s="16"/>
      <c r="H135" s="16"/>
      <c r="I135" s="16"/>
      <c r="J135" s="16"/>
      <c r="K135" s="12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2"/>
      <c r="D136" s="16"/>
      <c r="E136" s="16"/>
      <c r="F136" s="16"/>
      <c r="G136" s="16"/>
      <c r="H136" s="16"/>
      <c r="I136" s="16"/>
      <c r="J136" s="16"/>
      <c r="K136" s="12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2"/>
      <c r="D137" s="16"/>
      <c r="E137" s="16"/>
      <c r="F137" s="16"/>
      <c r="G137" s="16"/>
      <c r="H137" s="16"/>
      <c r="I137" s="16"/>
      <c r="J137" s="16"/>
      <c r="K137" s="12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C138" s="195"/>
      <c r="D138" s="28"/>
      <c r="E138" s="28"/>
      <c r="F138" s="28"/>
      <c r="G138" s="28"/>
      <c r="H138" s="28"/>
      <c r="I138" s="28"/>
      <c r="J138" s="28"/>
      <c r="K138" s="195"/>
    </row>
    <row r="139" spans="1:25" ht="15.6" customHeight="1">
      <c r="C139" s="195"/>
      <c r="D139" s="28"/>
      <c r="E139" s="28"/>
      <c r="F139" s="28"/>
      <c r="G139" s="28"/>
      <c r="H139" s="28"/>
      <c r="I139" s="28"/>
      <c r="J139" s="28"/>
      <c r="K139" s="195"/>
    </row>
    <row r="140" spans="1:25" ht="15.6" customHeight="1">
      <c r="C140" s="195"/>
      <c r="D140" s="28"/>
      <c r="E140" s="28"/>
      <c r="F140" s="28"/>
      <c r="G140" s="28"/>
      <c r="H140" s="28"/>
      <c r="I140" s="28"/>
      <c r="J140" s="28"/>
      <c r="K140" s="195"/>
    </row>
    <row r="141" spans="1:25" ht="15.6" customHeight="1">
      <c r="C141" s="195"/>
      <c r="D141" s="28"/>
      <c r="E141" s="28"/>
      <c r="F141" s="28"/>
      <c r="G141" s="28"/>
      <c r="H141" s="28"/>
      <c r="I141" s="28"/>
      <c r="J141" s="28"/>
      <c r="K141" s="195"/>
    </row>
    <row r="142" spans="1:25" ht="15.6" customHeight="1">
      <c r="C142" s="195"/>
      <c r="D142" s="28"/>
      <c r="E142" s="28"/>
      <c r="F142" s="28"/>
      <c r="G142" s="28"/>
      <c r="H142" s="28"/>
      <c r="I142" s="28"/>
      <c r="J142" s="28"/>
      <c r="K142" s="195"/>
    </row>
    <row r="143" spans="1:25" ht="15.6" customHeight="1">
      <c r="C143" s="195"/>
      <c r="D143" s="28"/>
      <c r="E143" s="28"/>
      <c r="F143" s="28"/>
      <c r="G143" s="28"/>
      <c r="H143" s="28"/>
      <c r="I143" s="28"/>
      <c r="J143" s="28"/>
      <c r="K143" s="195"/>
    </row>
    <row r="144" spans="1:25" ht="15.6" customHeight="1">
      <c r="C144" s="195"/>
      <c r="D144" s="28"/>
      <c r="E144" s="28"/>
      <c r="F144" s="28"/>
      <c r="G144" s="28"/>
      <c r="H144" s="28"/>
      <c r="I144" s="28"/>
      <c r="J144" s="28"/>
      <c r="K144" s="195"/>
    </row>
    <row r="145" spans="3:11" ht="15.6" customHeight="1">
      <c r="C145" s="195"/>
      <c r="D145" s="28"/>
      <c r="E145" s="28"/>
      <c r="F145" s="28"/>
      <c r="G145" s="28"/>
      <c r="H145" s="28"/>
      <c r="I145" s="28"/>
      <c r="J145" s="28"/>
      <c r="K145" s="195"/>
    </row>
    <row r="146" spans="3:11" ht="15.6" customHeight="1">
      <c r="C146" s="195"/>
      <c r="D146" s="28"/>
      <c r="E146" s="28"/>
      <c r="F146" s="28"/>
      <c r="G146" s="28"/>
      <c r="H146" s="28"/>
      <c r="I146" s="28"/>
      <c r="J146" s="28"/>
      <c r="K146" s="195"/>
    </row>
    <row r="147" spans="3:11" ht="15.6" customHeight="1">
      <c r="C147" s="195"/>
      <c r="D147" s="28"/>
      <c r="E147" s="28"/>
      <c r="F147" s="28"/>
      <c r="G147" s="28"/>
      <c r="H147" s="28"/>
      <c r="I147" s="28"/>
      <c r="J147" s="28"/>
      <c r="K147" s="195"/>
    </row>
    <row r="148" spans="3:11" ht="15.6" customHeight="1">
      <c r="C148" s="195"/>
      <c r="D148" s="28"/>
      <c r="E148" s="28"/>
      <c r="F148" s="28"/>
      <c r="G148" s="28"/>
      <c r="H148" s="28"/>
      <c r="I148" s="28"/>
      <c r="J148" s="28"/>
      <c r="K148" s="195"/>
    </row>
    <row r="149" spans="3:11" ht="15.6" customHeight="1">
      <c r="C149" s="195"/>
      <c r="D149" s="28"/>
      <c r="E149" s="28"/>
      <c r="F149" s="28"/>
      <c r="G149" s="28"/>
      <c r="H149" s="28"/>
      <c r="I149" s="28"/>
      <c r="J149" s="28"/>
      <c r="K149" s="195"/>
    </row>
    <row r="150" spans="3:11" ht="15.6" customHeight="1">
      <c r="C150" s="195"/>
      <c r="D150" s="28"/>
      <c r="E150" s="28"/>
      <c r="F150" s="28"/>
      <c r="G150" s="28"/>
      <c r="H150" s="28"/>
      <c r="I150" s="28"/>
      <c r="J150" s="28"/>
      <c r="K150" s="195"/>
    </row>
    <row r="151" spans="3:11" ht="15.6" customHeight="1">
      <c r="C151" s="195"/>
      <c r="D151" s="28"/>
      <c r="E151" s="28"/>
      <c r="F151" s="28"/>
      <c r="G151" s="28"/>
      <c r="H151" s="28"/>
      <c r="I151" s="28"/>
      <c r="J151" s="28"/>
      <c r="K151" s="195"/>
    </row>
    <row r="152" spans="3:11" ht="15.6" customHeight="1">
      <c r="C152" s="195"/>
      <c r="D152" s="28"/>
      <c r="E152" s="28"/>
      <c r="F152" s="28"/>
      <c r="G152" s="28"/>
      <c r="H152" s="28"/>
      <c r="I152" s="28"/>
      <c r="J152" s="28"/>
      <c r="K152" s="195"/>
    </row>
    <row r="153" spans="3:11" ht="15.6" customHeight="1">
      <c r="C153" s="195"/>
      <c r="D153" s="28"/>
      <c r="E153" s="28"/>
      <c r="F153" s="28"/>
      <c r="G153" s="28"/>
      <c r="H153" s="28"/>
      <c r="I153" s="28"/>
      <c r="J153" s="28"/>
      <c r="K153" s="195"/>
    </row>
    <row r="154" spans="3:11" ht="15.6" customHeight="1">
      <c r="C154" s="195"/>
      <c r="D154" s="28"/>
      <c r="E154" s="28"/>
      <c r="F154" s="28"/>
      <c r="G154" s="28"/>
      <c r="H154" s="28"/>
      <c r="I154" s="28"/>
      <c r="J154" s="28"/>
      <c r="K154" s="195"/>
    </row>
    <row r="155" spans="3:11" ht="15.6" customHeight="1">
      <c r="C155" s="195"/>
      <c r="D155" s="28"/>
      <c r="E155" s="28"/>
      <c r="F155" s="28"/>
      <c r="G155" s="28"/>
      <c r="H155" s="28"/>
      <c r="I155" s="28"/>
      <c r="J155" s="28"/>
      <c r="K155" s="195"/>
    </row>
    <row r="156" spans="3:11" ht="15.6" customHeight="1">
      <c r="C156" s="195"/>
      <c r="D156" s="28"/>
      <c r="E156" s="28"/>
      <c r="F156" s="28"/>
      <c r="G156" s="28"/>
      <c r="H156" s="28"/>
      <c r="I156" s="28"/>
      <c r="J156" s="28"/>
      <c r="K156" s="195"/>
    </row>
    <row r="157" spans="3:11" ht="15.6" customHeight="1">
      <c r="C157" s="195"/>
      <c r="D157" s="28"/>
      <c r="E157" s="28"/>
      <c r="F157" s="28"/>
      <c r="G157" s="28"/>
      <c r="H157" s="28"/>
      <c r="I157" s="28"/>
      <c r="J157" s="28"/>
      <c r="K157" s="195"/>
    </row>
    <row r="158" spans="3:11" ht="15.6" customHeight="1">
      <c r="C158" s="195"/>
      <c r="D158" s="28"/>
      <c r="E158" s="28"/>
      <c r="F158" s="28"/>
      <c r="G158" s="28"/>
      <c r="H158" s="28"/>
      <c r="I158" s="28"/>
      <c r="J158" s="28"/>
      <c r="K158" s="195"/>
    </row>
  </sheetData>
  <mergeCells count="49">
    <mergeCell ref="D89:K89"/>
    <mergeCell ref="R46:S46"/>
    <mergeCell ref="V54:W54"/>
    <mergeCell ref="R60:S60"/>
    <mergeCell ref="R68:R69"/>
    <mergeCell ref="U68:U69"/>
    <mergeCell ref="D47:E47"/>
    <mergeCell ref="D53:E53"/>
    <mergeCell ref="R81:V81"/>
    <mergeCell ref="D86:K86"/>
    <mergeCell ref="D87:K87"/>
    <mergeCell ref="D88:K88"/>
    <mergeCell ref="D37:E37"/>
    <mergeCell ref="D38:E38"/>
    <mergeCell ref="D39:E39"/>
    <mergeCell ref="D40:N40"/>
    <mergeCell ref="D43:E43"/>
    <mergeCell ref="D44:E44"/>
    <mergeCell ref="D45:E45"/>
    <mergeCell ref="D46:E46"/>
    <mergeCell ref="T41:V41"/>
    <mergeCell ref="D42:J42"/>
    <mergeCell ref="D36:E36"/>
    <mergeCell ref="F18:F20"/>
    <mergeCell ref="G18:G20"/>
    <mergeCell ref="E21:F21"/>
    <mergeCell ref="R22:W22"/>
    <mergeCell ref="F23:H23"/>
    <mergeCell ref="R23:S23"/>
    <mergeCell ref="T23:U23"/>
    <mergeCell ref="V23:W23"/>
    <mergeCell ref="H25:I25"/>
    <mergeCell ref="F27:H27"/>
    <mergeCell ref="G29:I29"/>
    <mergeCell ref="S29:S30"/>
    <mergeCell ref="C35:M35"/>
    <mergeCell ref="AJ8:AK8"/>
    <mergeCell ref="R9:S9"/>
    <mergeCell ref="V9:W9"/>
    <mergeCell ref="R16:U16"/>
    <mergeCell ref="C4:K4"/>
    <mergeCell ref="C5:K5"/>
    <mergeCell ref="R8:S8"/>
    <mergeCell ref="V8:W8"/>
    <mergeCell ref="R10:S10"/>
    <mergeCell ref="V10:W10"/>
    <mergeCell ref="R11:S11"/>
    <mergeCell ref="V11:W11"/>
    <mergeCell ref="C13:H13"/>
  </mergeCells>
  <conditionalFormatting sqref="F23:J25">
    <cfRule type="expression" dxfId="3" priority="4">
      <formula>$V$8="Não"</formula>
    </cfRule>
  </conditionalFormatting>
  <conditionalFormatting sqref="F27:J29">
    <cfRule type="expression" dxfId="2" priority="3">
      <formula>$R$8="Não"</formula>
    </cfRule>
  </conditionalFormatting>
  <conditionalFormatting sqref="D45:J45">
    <cfRule type="expression" dxfId="1" priority="2">
      <formula>$R$8="Não"</formula>
    </cfRule>
  </conditionalFormatting>
  <conditionalFormatting sqref="D46:J46">
    <cfRule type="expression" dxfId="0" priority="1">
      <formula>$V$8="Não"</formula>
    </cfRule>
  </conditionalFormatting>
  <dataValidations count="3">
    <dataValidation type="list" allowBlank="1" showInputMessage="1" showErrorMessage="1" sqref="S54 U68" xr:uid="{0B21F4B2-C765-48B4-9014-1AA88A3F11D1}">
      <formula1>"Sim,Não"</formula1>
    </dataValidation>
    <dataValidation type="list" allowBlank="1" showInputMessage="1" showErrorMessage="1" sqref="R11:S12 V11:W12" xr:uid="{7DC043FD-370D-464F-833A-33546B9AD61A}">
      <formula1>"CNPJ,CPF,NÃO"</formula1>
    </dataValidation>
    <dataValidation type="list" allowBlank="1" showInputMessage="1" showErrorMessage="1" sqref="V8 R6 R8" xr:uid="{C41B33E4-56FA-464B-9BD0-0AC4336A7237}">
      <formula1>"Sim,Não,"</formula1>
    </dataValidation>
  </dataValidations>
  <hyperlinks>
    <hyperlink ref="Q4" location="MENU!A1" display="# MENU" xr:uid="{D48EE201-1FA6-4E83-87DC-B9615E1002EE}"/>
  </hyperlinks>
  <pageMargins left="0.7" right="0.7" top="0.75" bottom="0.75" header="0.3" footer="0.3"/>
  <pageSetup paperSize="9" scale="20" orientation="portrait" r:id="rId1"/>
  <colBreaks count="1" manualBreakCount="1">
    <brk id="14" max="93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5</xdr:col>
                <xdr:colOff>981075</xdr:colOff>
                <xdr:row>0</xdr:row>
                <xdr:rowOff>0</xdr:rowOff>
              </from>
              <to>
                <xdr:col>7</xdr:col>
                <xdr:colOff>619125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942975</xdr:colOff>
                    <xdr:row>2</xdr:row>
                    <xdr:rowOff>19050</xdr:rowOff>
                  </from>
                  <to>
                    <xdr:col>18</xdr:col>
                    <xdr:colOff>628650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676275</xdr:colOff>
                    <xdr:row>43</xdr:row>
                    <xdr:rowOff>314325</xdr:rowOff>
                  </from>
                  <to>
                    <xdr:col>16</xdr:col>
                    <xdr:colOff>2371725</xdr:colOff>
                    <xdr:row>44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 2022</vt:lpstr>
      <vt:lpstr>aliquotaprevidencia</vt:lpstr>
      <vt:lpstr>'PREFE 2022'!Area_de_impressao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2025-02-17T13:50:56Z</dcterms:modified>
</cp:coreProperties>
</file>