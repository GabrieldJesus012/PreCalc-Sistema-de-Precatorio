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wnloads\PreCalc teste\planilhas\"/>
    </mc:Choice>
  </mc:AlternateContent>
  <xr:revisionPtr revIDLastSave="0" documentId="13_ncr:1_{825251AD-1970-4410-8541-F2B6374DF489}" xr6:coauthVersionLast="47" xr6:coauthVersionMax="47" xr10:uidLastSave="{00000000-0000-0000-0000-000000000000}"/>
  <bookViews>
    <workbookView xWindow="28680" yWindow="-180" windowWidth="29040" windowHeight="15720" xr2:uid="{00000000-000D-0000-FFFF-FFFF00000000}"/>
  </bookViews>
  <sheets>
    <sheet name="ACORDO SÓ LAGUZ" sheetId="1" r:id="rId1"/>
  </sheets>
  <functionGroups builtInGroupCount="19"/>
  <externalReferences>
    <externalReference r:id="rId2"/>
  </externalReferences>
  <definedNames>
    <definedName name="aliquotaprevidencia">'ACORDO SÓ LAGUZ'!$U$58</definedName>
    <definedName name="_xlnm.Print_Area" localSheetId="0">'ACORDO SÓ LAGUZ'!$C$1:$N$68</definedName>
    <definedName name="NomeContador">'ACORDO SÓ LAGUZ'!$D$61</definedName>
    <definedName name="rratotal">'ACORDO SÓ LAGUZ'!$T$68</definedName>
    <definedName name="selicpercentual">'ACORDO SÓ LAGUZ'!$K$18</definedName>
    <definedName name="selicvalor">'ACORDO SÓ LAGUZ'!$L$18</definedName>
    <definedName name="valorbruto">'ACORDO SÓ LAGUZ'!$H$36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91" i="1" l="1"/>
  <c r="U92" i="1" s="1"/>
  <c r="U90" i="1"/>
  <c r="U89" i="1"/>
  <c r="X88" i="1"/>
  <c r="D62" i="1"/>
  <c r="D61" i="1"/>
  <c r="S60" i="1"/>
  <c r="D60" i="1"/>
  <c r="W47" i="1"/>
  <c r="W46" i="1"/>
  <c r="I36" i="1"/>
  <c r="K28" i="1"/>
  <c r="J26" i="1"/>
  <c r="W25" i="1"/>
  <c r="U25" i="1"/>
  <c r="R23" i="1"/>
  <c r="J21" i="1"/>
  <c r="J20" i="1"/>
  <c r="T18" i="1"/>
  <c r="F16" i="1"/>
  <c r="E16" i="1"/>
  <c r="F15" i="1"/>
  <c r="E15" i="1"/>
  <c r="R18" i="1" s="1"/>
  <c r="L14" i="1"/>
  <c r="E14" i="1"/>
  <c r="E11" i="1"/>
  <c r="E10" i="1"/>
  <c r="E9" i="1"/>
  <c r="J9" i="1" s="1"/>
  <c r="E8" i="1"/>
  <c r="H16" i="1" s="1" a="1"/>
  <c r="H16" i="1" s="1"/>
  <c r="E7" i="1"/>
  <c r="G16" i="1" l="1"/>
  <c r="S19" i="1" s="1"/>
  <c r="W53" i="1"/>
  <c r="E17" i="1"/>
  <c r="G15" i="1"/>
  <c r="R19" i="1"/>
  <c r="R20" i="1" s="1"/>
  <c r="R21" i="1" s="1"/>
  <c r="R26" i="1" l="1"/>
  <c r="I16" i="1"/>
  <c r="S18" i="1"/>
  <c r="S20" i="1" s="1"/>
  <c r="J15" i="1"/>
  <c r="G17" i="1"/>
  <c r="T19" i="1" l="1"/>
  <c r="T20" i="1" s="1"/>
  <c r="I17" i="1"/>
  <c r="J16" i="1"/>
  <c r="T26" i="1"/>
  <c r="J17" i="1"/>
  <c r="L15" i="1"/>
  <c r="U18" i="1"/>
  <c r="S21" i="1"/>
  <c r="T21" i="1" l="1"/>
  <c r="V18" i="1"/>
  <c r="L16" i="1"/>
  <c r="V19" i="1" s="1"/>
  <c r="U19" i="1"/>
  <c r="U20" i="1" s="1"/>
  <c r="U21" i="1" s="1"/>
  <c r="V20" i="1" l="1"/>
  <c r="L17" i="1"/>
  <c r="W18" i="1" l="1"/>
  <c r="V21" i="1"/>
  <c r="K18" i="1" l="1"/>
  <c r="L18" i="1" l="1"/>
  <c r="W19" i="1" l="1"/>
  <c r="W20" i="1" s="1"/>
  <c r="L21" i="1"/>
  <c r="N26" i="1" l="1"/>
  <c r="M26" i="1"/>
  <c r="V26" i="1"/>
  <c r="T31" i="1" s="1"/>
  <c r="R25" i="1"/>
  <c r="N24" i="1"/>
  <c r="N28" i="1" s="1"/>
  <c r="M24" i="1"/>
  <c r="W21" i="1"/>
  <c r="S35" i="1" l="1"/>
  <c r="T25" i="1"/>
  <c r="S26" i="1"/>
  <c r="S68" i="1"/>
  <c r="V25" i="1" l="1"/>
  <c r="W26" i="1" s="1"/>
  <c r="S38" i="1" s="1"/>
  <c r="U26" i="1"/>
  <c r="S37" i="1" s="1"/>
  <c r="T37" i="1" s="1"/>
  <c r="U37" i="1" s="1"/>
  <c r="T43" i="1"/>
  <c r="S36" i="1"/>
  <c r="T36" i="1" s="1"/>
  <c r="U36" i="1" l="1"/>
  <c r="T38" i="1"/>
  <c r="T51" i="1"/>
  <c r="T47" i="1"/>
  <c r="T49" i="1"/>
  <c r="T46" i="1"/>
  <c r="T44" i="1"/>
  <c r="T50" i="1"/>
  <c r="F35" i="1" s="1"/>
  <c r="T48" i="1"/>
  <c r="T45" i="1"/>
  <c r="F34" i="1" s="1"/>
  <c r="T52" i="1"/>
  <c r="T32" i="1"/>
  <c r="G35" i="1" l="1"/>
  <c r="S90" i="1" s="1"/>
  <c r="R90" i="1"/>
  <c r="T54" i="1"/>
  <c r="T55" i="1" s="1"/>
  <c r="S69" i="1" s="1"/>
  <c r="T70" i="1" s="1"/>
  <c r="Z95" i="1" s="1"/>
  <c r="U81" i="1" s="1"/>
  <c r="T85" i="1" s="1"/>
  <c r="G34" i="1"/>
  <c r="H34" i="1" s="1"/>
  <c r="F36" i="1"/>
  <c r="R89" i="1"/>
  <c r="T59" i="1"/>
  <c r="T60" i="1" s="1"/>
  <c r="T62" i="1" s="1"/>
  <c r="T63" i="1" s="1"/>
  <c r="T64" i="1" s="1"/>
  <c r="U79" i="1" s="1"/>
  <c r="U72" i="1"/>
  <c r="U38" i="1"/>
  <c r="R91" i="1" l="1"/>
  <c r="R92" i="1"/>
  <c r="H35" i="1"/>
  <c r="D54" i="1" s="1"/>
  <c r="T89" i="1"/>
  <c r="J34" i="1"/>
  <c r="U75" i="1"/>
  <c r="U74" i="1"/>
  <c r="S89" i="1"/>
  <c r="S91" i="1" s="1"/>
  <c r="G36" i="1"/>
  <c r="J35" i="1"/>
  <c r="V90" i="1" s="1"/>
  <c r="T90" i="1"/>
  <c r="U76" i="1" l="1"/>
  <c r="U77" i="1" s="1"/>
  <c r="U78" i="1" s="1"/>
  <c r="U80" i="1" s="1"/>
  <c r="U82" i="1" s="1"/>
  <c r="U83" i="1" s="1"/>
  <c r="U84" i="1" s="1"/>
  <c r="U85" i="1" s="1"/>
  <c r="H36" i="1"/>
  <c r="K35" i="1"/>
  <c r="W90" i="1" s="1"/>
  <c r="X90" i="1" s="1"/>
  <c r="S92" i="1"/>
  <c r="V89" i="1"/>
  <c r="V91" i="1" s="1"/>
  <c r="J36" i="1"/>
  <c r="K34" i="1"/>
  <c r="T91" i="1"/>
  <c r="D38" i="1" a="1"/>
  <c r="D38" i="1" l="1"/>
  <c r="V92" i="1"/>
  <c r="T92" i="1"/>
  <c r="W89" i="1"/>
  <c r="K36" i="1"/>
  <c r="W91" i="1" l="1"/>
  <c r="X89" i="1"/>
  <c r="W92" i="1" l="1"/>
  <c r="X9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<sst xmlns="http://schemas.openxmlformats.org/spreadsheetml/2006/main" count="133" uniqueCount="110">
  <si>
    <t># MENU</t>
  </si>
  <si>
    <t>TRIBUNAL DE JUSTIÇA DO ESTADO DO PIAUÍ</t>
  </si>
  <si>
    <t xml:space="preserve">COORDENADORIA DE PRECATÓRIOS  </t>
  </si>
  <si>
    <t>PRECATÓRIO Nº:</t>
  </si>
  <si>
    <t>P. ORÇAMENTO</t>
  </si>
  <si>
    <t>Há H. Contratual?</t>
  </si>
  <si>
    <t>Sim</t>
  </si>
  <si>
    <t>PROTOCOLO:</t>
  </si>
  <si>
    <t>Período de graça constitucional</t>
  </si>
  <si>
    <r>
      <t>*Se sim, Quantos %? (</t>
    </r>
    <r>
      <rPr>
        <b/>
        <sz val="18"/>
        <color theme="9" tint="-0.249977111117893"/>
        <rFont val="Verdana1"/>
      </rPr>
      <t>se não, informe</t>
    </r>
    <r>
      <rPr>
        <b/>
        <sz val="18"/>
        <color rgb="FF000000"/>
        <rFont val="Verdana1"/>
      </rPr>
      <t xml:space="preserve"> </t>
    </r>
    <r>
      <rPr>
        <b/>
        <sz val="18"/>
        <color theme="9" tint="-0.249977111117893"/>
        <rFont val="Verdana1"/>
      </rPr>
      <t>0%</t>
    </r>
    <r>
      <rPr>
        <b/>
        <sz val="18"/>
        <color rgb="FF000000"/>
        <rFont val="Verdana1"/>
      </rPr>
      <t>)</t>
    </r>
  </si>
  <si>
    <t>EXEQUENTE:</t>
  </si>
  <si>
    <t>Contribuição sindical</t>
  </si>
  <si>
    <t>EXECUTADO:</t>
  </si>
  <si>
    <t>Percentual %:</t>
  </si>
  <si>
    <t>MEMÓRIA DE CÁLCULO</t>
  </si>
  <si>
    <t>Aderiu ao acordo?</t>
  </si>
  <si>
    <t>DIVISAO</t>
  </si>
  <si>
    <t>Mês/Ano:</t>
  </si>
  <si>
    <t>Índice de Correção</t>
  </si>
  <si>
    <t>Valor Atualizado em Dezembro/2021</t>
  </si>
  <si>
    <t>Juros (%)</t>
  </si>
  <si>
    <t>Valor Juros</t>
  </si>
  <si>
    <t>Valor Atualizado com Juros  Dezembro/2021</t>
  </si>
  <si>
    <t xml:space="preserve">Índice de Atualização </t>
  </si>
  <si>
    <t>LAGUZ (CESSIONÁRIO DOS H.contratual de Furtado Coelho e FRANCINETTI RIBEIRO)</t>
  </si>
  <si>
    <t>PRINCIPAL</t>
  </si>
  <si>
    <t>-</t>
  </si>
  <si>
    <t>JUROS</t>
  </si>
  <si>
    <t>TOTAL (a)</t>
  </si>
  <si>
    <t xml:space="preserve">*verificação </t>
  </si>
  <si>
    <t>Selic acumulada -</t>
  </si>
  <si>
    <t>(-)CONTRIBUIÇÃO SINDIFAZ (b) -1% SOBRE R$</t>
  </si>
  <si>
    <t>valor atualizado</t>
  </si>
  <si>
    <t>juros</t>
  </si>
  <si>
    <t>SELIC</t>
  </si>
  <si>
    <t>VERIFICAÇÃO:</t>
  </si>
  <si>
    <t>PAGAMENTO ACORDO</t>
  </si>
  <si>
    <t xml:space="preserve">Exequente  </t>
  </si>
  <si>
    <t>Valor Devido</t>
  </si>
  <si>
    <t>(-) deságio de 40%</t>
  </si>
  <si>
    <t>(=) Valor Bruto após deságio</t>
  </si>
  <si>
    <t>Previdência</t>
  </si>
  <si>
    <t>Imposto de Renda</t>
  </si>
  <si>
    <t>Valor Líquido</t>
  </si>
  <si>
    <t>RRA</t>
  </si>
  <si>
    <t>LAGUZ (CESSIONÁRIO DOS H.contratual de Furtado Coelho)</t>
  </si>
  <si>
    <t>INCORPORANDO A SELIC</t>
  </si>
  <si>
    <t>LAGUZ (CESSIONÁRIO DOS H.contratual de Francinetti Ribeiro)</t>
  </si>
  <si>
    <t>Para pagar</t>
  </si>
  <si>
    <t xml:space="preserve">TOTAL  </t>
  </si>
  <si>
    <t>Principal atualizado</t>
  </si>
  <si>
    <t>Principal com Selic</t>
  </si>
  <si>
    <t>Juros atualizado</t>
  </si>
  <si>
    <t>Juros com Selic</t>
  </si>
  <si>
    <t>Selic</t>
  </si>
  <si>
    <t>Total com Selic</t>
  </si>
  <si>
    <t>Notas explicativas:</t>
  </si>
  <si>
    <t>DIVISÃO PAGAMENTO</t>
  </si>
  <si>
    <t>DIVISÃO</t>
  </si>
  <si>
    <t>1- Atualização Monetária conforme Resolução CNJ nº 303/2019 , Resolução Nº 198/2020 TJ-PI e  nº 113.</t>
  </si>
  <si>
    <t>VALOR A PAGAR CREDOR</t>
  </si>
  <si>
    <t>CREDOR</t>
  </si>
  <si>
    <t>2- Índices de correção monetária, conforme  caput do Art.21- A da Resolução 303/2019 do CNJ.</t>
  </si>
  <si>
    <t>FURTADO COELHO ADVOGADOS ASSOCIADOS</t>
  </si>
  <si>
    <t>(-) FURTADO COELHO ADVOGADOS ASSOCIADOS</t>
  </si>
  <si>
    <t>– IPCA-E/ IBGE - de 26.03.2015 a 30 de novembro de 2021.</t>
  </si>
  <si>
    <t>LAGUZ ( CESSIONÁRIO) 2%</t>
  </si>
  <si>
    <t xml:space="preserve">LAGUZ ( CESSIONÁRIO) 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</si>
  <si>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</si>
  <si>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 xml:space="preserve">JUAREZ CHAVES DE AZEVEDO JÚNIOR, SOCIEDADE INDIVIDUAL DE ADVOCACIA </t>
  </si>
  <si>
    <t>JUAREZ CHAVES DE AZEVEDO JUNIOR</t>
  </si>
  <si>
    <t>3- Juros calculados de forma simples, conforme art. 1º da Lei nº 12.703/2012; art. 1º, “F”, da Lei nº 9.494/1997; art. 100,</t>
  </si>
  <si>
    <t>ADAUTO FORTES ADV. ASSOCIADOS</t>
  </si>
  <si>
    <t xml:space="preserve"> § 12º da CF/88, Art.22 da Resolução 303 do CNJ  e SV nº 17 do STF.</t>
  </si>
  <si>
    <t xml:space="preserve">4- Período de Graça Constitucional em conformidade com a Súmula Vinculante 17 do STF. </t>
  </si>
  <si>
    <t>FRANCINETTI RIBEIRO DO CARMO</t>
  </si>
  <si>
    <t>5- Atualização dos cálculos da planilha 6 de ID.269994 - Pág. 5/6</t>
  </si>
  <si>
    <t>LAGUZ ( CESSIONÁRIO) 1%</t>
  </si>
  <si>
    <r>
      <t xml:space="preserve">6- Destaque de </t>
    </r>
    <r>
      <rPr>
        <b/>
        <sz val="18"/>
        <color rgb="FF000000"/>
        <rFont val="Verdana1"/>
      </rPr>
      <t>1% referente à Contribuição do SINDIFAZ</t>
    </r>
    <r>
      <rPr>
        <sz val="18"/>
        <color rgb="FF000000"/>
        <rFont val="Verdana1"/>
      </rPr>
      <t>, conforme Decisão do Des. Brandão de Carvalho no MS n° 95.000611-4.</t>
    </r>
  </si>
  <si>
    <t>REAG LEGAL ( CESSIONÁRIO) 1%</t>
  </si>
  <si>
    <t xml:space="preserve">REAG LEGAL ( CESSIONÁRIO) </t>
  </si>
  <si>
    <r>
      <t xml:space="preserve">7- Destaque do </t>
    </r>
    <r>
      <rPr>
        <b/>
        <sz val="18"/>
        <color rgb="FF000000"/>
        <rFont val="Verdana1"/>
      </rPr>
      <t>deságio de 40%</t>
    </r>
    <r>
      <rPr>
        <sz val="18"/>
        <color rgb="FF000000"/>
        <rFont val="Verdana1"/>
      </rPr>
      <t xml:space="preserve"> ( quarenta por cento), conforme Edital 291/2023 PJPI/TJPI/PRESIDENCIA/CPREC.</t>
    </r>
  </si>
  <si>
    <t xml:space="preserve">Contribuição Sindifaz </t>
  </si>
  <si>
    <t xml:space="preserve">8- Cálculo do Imposto de Renda dos Cessionario de honorários contratuais( LAGUZ- Furtado Coelho Adv. Associados)  de acordo com o decreto 9.580, art 714 (alíquota 1,5%) </t>
  </si>
  <si>
    <t>PAGAMENTO</t>
  </si>
  <si>
    <t>TOTAL</t>
  </si>
  <si>
    <t>VALOR EXEQUENTE SEM DESAGIO</t>
  </si>
  <si>
    <t>9- Conforme cálculo apresentado resta saldo a pagar neste precatório.</t>
  </si>
  <si>
    <t>VALOR EXEQUENTE COM DESAGIO</t>
  </si>
  <si>
    <t>10- Em caso de pagamento e/ou divisão de herdeiros que ocorreu durante o processo, a atualização será efetuada no momento do pagamento do valor remanescente.</t>
  </si>
  <si>
    <t>PREVIDENCIA</t>
  </si>
  <si>
    <t>*informar aliquota</t>
  </si>
  <si>
    <t>BC</t>
  </si>
  <si>
    <t>(-) PARCEL. PREF paga atualizada</t>
  </si>
  <si>
    <t>*informar valor</t>
  </si>
  <si>
    <t>Valor Devido antes do Deságio</t>
  </si>
  <si>
    <t>Deságio (40%)</t>
  </si>
  <si>
    <t>x</t>
  </si>
  <si>
    <t>Imposto de renda</t>
  </si>
  <si>
    <t>VALOR A PAGAR</t>
  </si>
  <si>
    <t>(-) PARCE. HONORÁRIOS CONTRATUAIS</t>
  </si>
  <si>
    <t>(-) SINDIFAZ</t>
  </si>
  <si>
    <t>(-) deságio 40%</t>
  </si>
  <si>
    <t>(-) Prev.</t>
  </si>
  <si>
    <t>BC/MÊS</t>
  </si>
  <si>
    <t>ALIQOTA</t>
  </si>
  <si>
    <t>IR MENSAL</t>
  </si>
  <si>
    <t xml:space="preserve">TOTAL A SER RECOLHIDO </t>
  </si>
  <si>
    <t>*verificação pagamento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</si>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</sst>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0.000000%"/>
    <numFmt numFmtId="165" formatCode="#,##0.0000000"/>
    <numFmt numFmtId="166" formatCode="[$R$-416]&quot; &quot;#,##0.00;[Red]&quot;-&quot;[$R$-416]&quot; &quot;#,##0.00"/>
    <numFmt numFmtId="167" formatCode="mm/yy"/>
    <numFmt numFmtId="168" formatCode="0.0000"/>
    <numFmt numFmtId="169" formatCode="0.0000%"/>
    <numFmt numFmtId="170" formatCode="0.0000000"/>
    <numFmt numFmtId="171" formatCode="mmmm/yyyy"/>
    <numFmt numFmtId="172" formatCode="&quot;R$&quot;\ #,##0.00"/>
    <numFmt numFmtId="173" formatCode="[$R$-416]\ #,##0.00;[Red][$R$-416]\ #,##0.00"/>
    <numFmt numFmtId="174" formatCode="[$-416]0.00%"/>
    <numFmt numFmtId="175" formatCode="#,##0.00;[Red]&quot;-&quot;#,##0.00"/>
    <numFmt numFmtId="176" formatCode="#,##0.000&quot; &quot;;&quot;-&quot;#,##0.000&quot; &quot;;&quot;-&quot;00.0&quot; &quot;;@&quot; &quot;"/>
    <numFmt numFmtId="177" formatCode="[$-416]General"/>
  </numFmts>
  <fonts count="2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u/>
      <sz val="18"/>
      <color theme="1"/>
      <name val="Vernanda3"/>
    </font>
    <font>
      <b/>
      <sz val="18"/>
      <color rgb="FF000000"/>
      <name val="Verdana"/>
      <family val="2"/>
    </font>
    <font>
      <sz val="18"/>
      <color rgb="FFFFFFCC"/>
      <name val="Verdana1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color theme="9" tint="-0.249977111117893"/>
      <name val="Verdana1"/>
    </font>
    <font>
      <b/>
      <sz val="18"/>
      <color rgb="FFFF0000"/>
      <name val="Verdana1"/>
    </font>
    <font>
      <b/>
      <sz val="18"/>
      <color rgb="FF000000"/>
      <name val="Verdana3"/>
    </font>
    <font>
      <b/>
      <sz val="18"/>
      <color rgb="FF000000"/>
      <name val="Verdana11"/>
    </font>
    <font>
      <b/>
      <sz val="18"/>
      <color rgb="FFFF0000"/>
      <name val="Verdana3"/>
    </font>
    <font>
      <sz val="18"/>
      <color rgb="FF000000"/>
      <name val="Verdana11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b/>
      <sz val="18"/>
      <color rgb="FFFFFFCC"/>
      <name val="Verdana11"/>
    </font>
    <font>
      <sz val="18"/>
      <color rgb="FFFF0000"/>
      <name val="Verdana11"/>
    </font>
  </fonts>
  <fills count="3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rgb="FFFFFFCC"/>
        <bgColor rgb="FF8EA9DB"/>
      </patternFill>
    </fill>
    <fill>
      <patternFill patternType="solid">
        <fgColor rgb="FFCCCCCC"/>
        <bgColor rgb="FFCCCC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FF7C80"/>
        <bgColor rgb="FFFFD428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indexed="64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25" fillId="0" borderId="0" applyNumberFormat="0" applyBorder="0" applyProtection="0"/>
  </cellStyleXfs>
  <cellXfs count="244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6" fillId="4" borderId="0" xfId="3" applyFont="1" applyFill="1" applyAlignment="1">
      <alignment horizontal="center" vertical="center"/>
    </xf>
    <xf numFmtId="0" fontId="8" fillId="3" borderId="0" xfId="0" applyFont="1" applyFill="1"/>
    <xf numFmtId="0" fontId="7" fillId="2" borderId="0" xfId="0" applyFont="1" applyFill="1" applyAlignment="1">
      <alignment horizontal="center"/>
    </xf>
    <xf numFmtId="0" fontId="9" fillId="2" borderId="0" xfId="0" applyFont="1" applyFill="1"/>
    <xf numFmtId="4" fontId="10" fillId="2" borderId="0" xfId="0" applyNumberFormat="1" applyFont="1" applyFill="1" applyAlignment="1">
      <alignment horizontal="center"/>
    </xf>
    <xf numFmtId="0" fontId="11" fillId="2" borderId="0" xfId="0" applyFont="1" applyFill="1"/>
    <xf numFmtId="0" fontId="12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/>
    </xf>
    <xf numFmtId="0" fontId="7" fillId="2" borderId="0" xfId="0" applyFont="1" applyFill="1" applyAlignment="1">
      <alignment wrapText="1"/>
    </xf>
    <xf numFmtId="0" fontId="10" fillId="5" borderId="1" xfId="0" applyFont="1" applyFill="1" applyBorder="1" applyAlignment="1">
      <alignment horizontal="center" vertical="center"/>
    </xf>
    <xf numFmtId="14" fontId="12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left" wrapText="1"/>
    </xf>
    <xf numFmtId="164" fontId="14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10" fillId="5" borderId="1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3" fillId="3" borderId="0" xfId="0" applyFont="1" applyFill="1" applyAlignment="1">
      <alignment horizontal="center"/>
    </xf>
    <xf numFmtId="0" fontId="16" fillId="3" borderId="0" xfId="0" applyFont="1" applyFill="1"/>
    <xf numFmtId="166" fontId="4" fillId="0" borderId="0" xfId="0" applyNumberFormat="1" applyFont="1"/>
    <xf numFmtId="0" fontId="17" fillId="7" borderId="3" xfId="0" applyFont="1" applyFill="1" applyBorder="1" applyAlignment="1">
      <alignment horizontal="center" wrapText="1"/>
    </xf>
    <xf numFmtId="0" fontId="13" fillId="6" borderId="1" xfId="0" applyFont="1" applyFill="1" applyBorder="1" applyAlignment="1">
      <alignment horizontal="center" vertical="center"/>
    </xf>
    <xf numFmtId="167" fontId="17" fillId="0" borderId="3" xfId="0" applyNumberFormat="1" applyFont="1" applyBorder="1" applyAlignment="1">
      <alignment horizontal="center" wrapText="1"/>
    </xf>
    <xf numFmtId="4" fontId="12" fillId="0" borderId="3" xfId="0" applyNumberFormat="1" applyFont="1" applyBorder="1" applyAlignment="1">
      <alignment horizontal="right"/>
    </xf>
    <xf numFmtId="0" fontId="12" fillId="0" borderId="3" xfId="0" applyFont="1" applyBorder="1"/>
    <xf numFmtId="164" fontId="12" fillId="0" borderId="3" xfId="0" applyNumberFormat="1" applyFont="1" applyBorder="1" applyAlignment="1">
      <alignment horizontal="center"/>
    </xf>
    <xf numFmtId="168" fontId="12" fillId="0" borderId="3" xfId="0" applyNumberFormat="1" applyFont="1" applyBorder="1" applyAlignment="1">
      <alignment horizontal="center" wrapText="1"/>
    </xf>
    <xf numFmtId="169" fontId="17" fillId="0" borderId="3" xfId="0" applyNumberFormat="1" applyFont="1" applyBorder="1" applyAlignment="1">
      <alignment horizontal="center"/>
    </xf>
    <xf numFmtId="0" fontId="17" fillId="9" borderId="3" xfId="0" applyFont="1" applyFill="1" applyBorder="1" applyAlignment="1">
      <alignment horizontal="center" wrapText="1"/>
    </xf>
    <xf numFmtId="166" fontId="17" fillId="9" borderId="3" xfId="0" applyNumberFormat="1" applyFont="1" applyFill="1" applyBorder="1" applyAlignment="1">
      <alignment horizontal="right"/>
    </xf>
    <xf numFmtId="170" fontId="17" fillId="9" borderId="3" xfId="0" applyNumberFormat="1" applyFont="1" applyFill="1" applyBorder="1" applyAlignment="1">
      <alignment horizontal="center" wrapText="1"/>
    </xf>
    <xf numFmtId="166" fontId="17" fillId="9" borderId="3" xfId="0" applyNumberFormat="1" applyFont="1" applyFill="1" applyBorder="1" applyAlignment="1">
      <alignment horizontal="center"/>
    </xf>
    <xf numFmtId="166" fontId="4" fillId="3" borderId="0" xfId="0" applyNumberFormat="1" applyFont="1" applyFill="1"/>
    <xf numFmtId="0" fontId="11" fillId="11" borderId="6" xfId="0" applyFont="1" applyFill="1" applyBorder="1" applyAlignment="1">
      <alignment horizontal="center" wrapText="1"/>
    </xf>
    <xf numFmtId="4" fontId="4" fillId="10" borderId="8" xfId="0" applyNumberFormat="1" applyFont="1" applyFill="1" applyBorder="1" applyAlignment="1">
      <alignment horizontal="center"/>
    </xf>
    <xf numFmtId="4" fontId="4" fillId="10" borderId="0" xfId="0" applyNumberFormat="1" applyFont="1" applyFill="1" applyAlignment="1">
      <alignment horizontal="center"/>
    </xf>
    <xf numFmtId="4" fontId="4" fillId="10" borderId="9" xfId="0" applyNumberFormat="1" applyFont="1" applyFill="1" applyBorder="1" applyAlignment="1">
      <alignment horizontal="center"/>
    </xf>
    <xf numFmtId="171" fontId="4" fillId="11" borderId="6" xfId="0" applyNumberFormat="1" applyFont="1" applyFill="1" applyBorder="1" applyAlignment="1">
      <alignment horizontal="center"/>
    </xf>
    <xf numFmtId="171" fontId="4" fillId="11" borderId="10" xfId="0" applyNumberFormat="1" applyFont="1" applyFill="1" applyBorder="1" applyAlignment="1">
      <alignment horizontal="center"/>
    </xf>
    <xf numFmtId="166" fontId="11" fillId="2" borderId="0" xfId="0" applyNumberFormat="1" applyFont="1" applyFill="1" applyAlignment="1">
      <alignment horizontal="center"/>
    </xf>
    <xf numFmtId="172" fontId="10" fillId="12" borderId="1" xfId="0" applyNumberFormat="1" applyFont="1" applyFill="1" applyBorder="1" applyAlignment="1">
      <alignment horizontal="right"/>
    </xf>
    <xf numFmtId="173" fontId="4" fillId="10" borderId="4" xfId="0" applyNumberFormat="1" applyFont="1" applyFill="1" applyBorder="1" applyAlignment="1">
      <alignment horizontal="center" vertical="center"/>
    </xf>
    <xf numFmtId="173" fontId="4" fillId="10" borderId="11" xfId="0" applyNumberFormat="1" applyFont="1" applyFill="1" applyBorder="1" applyAlignment="1">
      <alignment horizontal="center" vertical="center"/>
    </xf>
    <xf numFmtId="173" fontId="4" fillId="10" borderId="5" xfId="0" applyNumberFormat="1" applyFont="1" applyFill="1" applyBorder="1" applyAlignment="1">
      <alignment horizontal="center" vertical="center"/>
    </xf>
    <xf numFmtId="0" fontId="17" fillId="2" borderId="0" xfId="0" applyFont="1" applyFill="1"/>
    <xf numFmtId="166" fontId="19" fillId="2" borderId="5" xfId="0" applyNumberFormat="1" applyFont="1" applyFill="1" applyBorder="1" applyAlignment="1">
      <alignment horizontal="left"/>
    </xf>
    <xf numFmtId="172" fontId="19" fillId="2" borderId="1" xfId="0" applyNumberFormat="1" applyFont="1" applyFill="1" applyBorder="1"/>
    <xf numFmtId="166" fontId="17" fillId="13" borderId="8" xfId="0" applyNumberFormat="1" applyFont="1" applyFill="1" applyBorder="1"/>
    <xf numFmtId="174" fontId="17" fillId="13" borderId="0" xfId="0" applyNumberFormat="1" applyFont="1" applyFill="1"/>
    <xf numFmtId="166" fontId="17" fillId="13" borderId="0" xfId="0" applyNumberFormat="1" applyFont="1" applyFill="1"/>
    <xf numFmtId="10" fontId="17" fillId="13" borderId="0" xfId="0" applyNumberFormat="1" applyFont="1" applyFill="1"/>
    <xf numFmtId="10" fontId="17" fillId="13" borderId="9" xfId="0" applyNumberFormat="1" applyFont="1" applyFill="1" applyBorder="1"/>
    <xf numFmtId="166" fontId="19" fillId="2" borderId="17" xfId="0" applyNumberFormat="1" applyFont="1" applyFill="1" applyBorder="1" applyAlignment="1">
      <alignment horizontal="left"/>
    </xf>
    <xf numFmtId="166" fontId="19" fillId="2" borderId="3" xfId="0" applyNumberFormat="1" applyFont="1" applyFill="1" applyBorder="1" applyAlignment="1">
      <alignment horizontal="right"/>
    </xf>
    <xf numFmtId="166" fontId="17" fillId="3" borderId="18" xfId="0" applyNumberFormat="1" applyFont="1" applyFill="1" applyBorder="1"/>
    <xf numFmtId="10" fontId="17" fillId="3" borderId="2" xfId="0" applyNumberFormat="1" applyFont="1" applyFill="1" applyBorder="1"/>
    <xf numFmtId="166" fontId="17" fillId="3" borderId="2" xfId="0" applyNumberFormat="1" applyFont="1" applyFill="1" applyBorder="1"/>
    <xf numFmtId="10" fontId="17" fillId="3" borderId="19" xfId="0" applyNumberFormat="1" applyFont="1" applyFill="1" applyBorder="1" applyAlignment="1">
      <alignment vertical="center"/>
    </xf>
    <xf numFmtId="0" fontId="12" fillId="2" borderId="0" xfId="0" applyFont="1" applyFill="1" applyAlignment="1">
      <alignment horizontal="center"/>
    </xf>
    <xf numFmtId="0" fontId="12" fillId="2" borderId="0" xfId="0" applyFont="1" applyFill="1"/>
    <xf numFmtId="173" fontId="4" fillId="3" borderId="0" xfId="0" applyNumberFormat="1" applyFont="1" applyFill="1"/>
    <xf numFmtId="172" fontId="17" fillId="2" borderId="3" xfId="0" applyNumberFormat="1" applyFont="1" applyFill="1" applyBorder="1" applyAlignment="1">
      <alignment horizontal="right"/>
    </xf>
    <xf numFmtId="173" fontId="4" fillId="2" borderId="0" xfId="0" applyNumberFormat="1" applyFont="1" applyFill="1"/>
    <xf numFmtId="166" fontId="20" fillId="14" borderId="0" xfId="0" applyNumberFormat="1" applyFont="1" applyFill="1" applyAlignment="1">
      <alignment horizontal="center" vertical="center"/>
    </xf>
    <xf numFmtId="0" fontId="13" fillId="3" borderId="0" xfId="0" applyFont="1" applyFill="1"/>
    <xf numFmtId="10" fontId="20" fillId="14" borderId="0" xfId="2" applyNumberFormat="1" applyFont="1" applyFill="1" applyAlignment="1">
      <alignment horizontal="center"/>
    </xf>
    <xf numFmtId="0" fontId="7" fillId="15" borderId="3" xfId="0" applyFont="1" applyFill="1" applyBorder="1" applyAlignment="1">
      <alignment horizontal="center" wrapText="1"/>
    </xf>
    <xf numFmtId="166" fontId="7" fillId="15" borderId="3" xfId="0" applyNumberFormat="1" applyFont="1" applyFill="1" applyBorder="1" applyAlignment="1">
      <alignment horizontal="center"/>
    </xf>
    <xf numFmtId="166" fontId="7" fillId="15" borderId="3" xfId="0" applyNumberFormat="1" applyFont="1" applyFill="1" applyBorder="1" applyAlignment="1">
      <alignment horizontal="center" wrapText="1"/>
    </xf>
    <xf numFmtId="166" fontId="11" fillId="0" borderId="3" xfId="0" applyNumberFormat="1" applyFont="1" applyBorder="1" applyAlignment="1">
      <alignment horizontal="right"/>
    </xf>
    <xf numFmtId="166" fontId="11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9" fillId="2" borderId="0" xfId="0" applyFont="1" applyFill="1"/>
    <xf numFmtId="166" fontId="17" fillId="5" borderId="0" xfId="0" applyNumberFormat="1" applyFont="1" applyFill="1"/>
    <xf numFmtId="10" fontId="17" fillId="5" borderId="0" xfId="0" applyNumberFormat="1" applyFont="1" applyFill="1"/>
    <xf numFmtId="10" fontId="4" fillId="3" borderId="0" xfId="0" applyNumberFormat="1" applyFont="1" applyFill="1"/>
    <xf numFmtId="0" fontId="18" fillId="16" borderId="0" xfId="0" applyFont="1" applyFill="1"/>
    <xf numFmtId="166" fontId="18" fillId="16" borderId="0" xfId="0" applyNumberFormat="1" applyFont="1" applyFill="1" applyAlignment="1">
      <alignment horizontal="center"/>
    </xf>
    <xf numFmtId="0" fontId="13" fillId="5" borderId="0" xfId="0" applyFont="1" applyFill="1"/>
    <xf numFmtId="166" fontId="7" fillId="9" borderId="3" xfId="0" applyNumberFormat="1" applyFont="1" applyFill="1" applyBorder="1" applyAlignment="1">
      <alignment horizontal="center"/>
    </xf>
    <xf numFmtId="0" fontId="20" fillId="16" borderId="0" xfId="0" applyFont="1" applyFill="1"/>
    <xf numFmtId="166" fontId="20" fillId="16" borderId="0" xfId="0" applyNumberFormat="1" applyFont="1" applyFill="1" applyAlignment="1">
      <alignment horizontal="center"/>
    </xf>
    <xf numFmtId="166" fontId="21" fillId="5" borderId="12" xfId="0" applyNumberFormat="1" applyFont="1" applyFill="1" applyBorder="1" applyAlignment="1">
      <alignment horizontal="center"/>
    </xf>
    <xf numFmtId="0" fontId="21" fillId="5" borderId="14" xfId="0" applyFont="1" applyFill="1" applyBorder="1"/>
    <xf numFmtId="166" fontId="21" fillId="5" borderId="8" xfId="0" applyNumberFormat="1" applyFont="1" applyFill="1" applyBorder="1" applyAlignment="1">
      <alignment horizontal="center"/>
    </xf>
    <xf numFmtId="0" fontId="21" fillId="5" borderId="9" xfId="0" applyFont="1" applyFill="1" applyBorder="1" applyAlignment="1">
      <alignment horizontal="left"/>
    </xf>
    <xf numFmtId="172" fontId="4" fillId="2" borderId="0" xfId="0" applyNumberFormat="1" applyFont="1" applyFill="1" applyAlignment="1">
      <alignment horizontal="center"/>
    </xf>
    <xf numFmtId="166" fontId="4" fillId="5" borderId="0" xfId="0" applyNumberFormat="1" applyFont="1" applyFill="1"/>
    <xf numFmtId="166" fontId="21" fillId="5" borderId="1" xfId="0" applyNumberFormat="1" applyFont="1" applyFill="1" applyBorder="1" applyAlignment="1">
      <alignment horizontal="center" vertical="center"/>
    </xf>
    <xf numFmtId="0" fontId="21" fillId="5" borderId="1" xfId="0" applyFont="1" applyFill="1" applyBorder="1" applyAlignment="1">
      <alignment horizontal="center" vertical="center"/>
    </xf>
    <xf numFmtId="166" fontId="17" fillId="3" borderId="0" xfId="0" applyNumberFormat="1" applyFont="1" applyFill="1"/>
    <xf numFmtId="10" fontId="17" fillId="3" borderId="0" xfId="0" applyNumberFormat="1" applyFont="1" applyFill="1"/>
    <xf numFmtId="0" fontId="22" fillId="2" borderId="0" xfId="0" applyFont="1" applyFill="1"/>
    <xf numFmtId="0" fontId="20" fillId="17" borderId="4" xfId="0" applyFont="1" applyFill="1" applyBorder="1" applyAlignment="1">
      <alignment horizontal="center" vertical="center"/>
    </xf>
    <xf numFmtId="166" fontId="4" fillId="17" borderId="5" xfId="0" applyNumberFormat="1" applyFont="1" applyFill="1" applyBorder="1" applyAlignment="1">
      <alignment vertical="center"/>
    </xf>
    <xf numFmtId="0" fontId="20" fillId="18" borderId="4" xfId="0" applyFont="1" applyFill="1" applyBorder="1" applyAlignment="1">
      <alignment horizontal="left" vertical="center"/>
    </xf>
    <xf numFmtId="10" fontId="4" fillId="18" borderId="5" xfId="2" applyNumberFormat="1" applyFont="1" applyFill="1" applyBorder="1" applyAlignment="1">
      <alignment horizontal="center"/>
    </xf>
    <xf numFmtId="0" fontId="12" fillId="2" borderId="0" xfId="0" applyFont="1" applyFill="1" applyAlignment="1">
      <alignment vertical="center"/>
    </xf>
    <xf numFmtId="0" fontId="20" fillId="19" borderId="12" xfId="0" applyFont="1" applyFill="1" applyBorder="1" applyAlignment="1">
      <alignment horizontal="left" vertical="center" wrapText="1"/>
    </xf>
    <xf numFmtId="166" fontId="4" fillId="19" borderId="14" xfId="0" applyNumberFormat="1" applyFont="1" applyFill="1" applyBorder="1" applyAlignment="1">
      <alignment horizontal="right" vertical="center" wrapText="1"/>
    </xf>
    <xf numFmtId="10" fontId="4" fillId="19" borderId="14" xfId="2" applyNumberFormat="1" applyFont="1" applyFill="1" applyBorder="1" applyAlignment="1">
      <alignment horizontal="center" vertical="center"/>
    </xf>
    <xf numFmtId="0" fontId="20" fillId="19" borderId="18" xfId="0" applyFont="1" applyFill="1" applyBorder="1" applyAlignment="1">
      <alignment horizontal="left" wrapText="1"/>
    </xf>
    <xf numFmtId="166" fontId="4" fillId="19" borderId="19" xfId="0" applyNumberFormat="1" applyFont="1" applyFill="1" applyBorder="1" applyAlignment="1">
      <alignment horizontal="right" vertical="center" wrapText="1"/>
    </xf>
    <xf numFmtId="10" fontId="4" fillId="19" borderId="19" xfId="2" applyNumberFormat="1" applyFont="1" applyFill="1" applyBorder="1" applyAlignment="1">
      <alignment horizontal="center" vertical="center"/>
    </xf>
    <xf numFmtId="0" fontId="20" fillId="20" borderId="4" xfId="0" applyFont="1" applyFill="1" applyBorder="1" applyAlignment="1">
      <alignment horizontal="left" vertical="center" wrapText="1"/>
    </xf>
    <xf numFmtId="166" fontId="4" fillId="20" borderId="5" xfId="0" applyNumberFormat="1" applyFont="1" applyFill="1" applyBorder="1" applyAlignment="1">
      <alignment horizontal="right" vertical="center" wrapText="1"/>
    </xf>
    <xf numFmtId="10" fontId="4" fillId="20" borderId="5" xfId="2" applyNumberFormat="1" applyFont="1" applyFill="1" applyBorder="1" applyAlignment="1">
      <alignment horizontal="center" vertical="center"/>
    </xf>
    <xf numFmtId="0" fontId="20" fillId="21" borderId="12" xfId="0" applyFont="1" applyFill="1" applyBorder="1" applyAlignment="1">
      <alignment horizontal="left" vertical="center" wrapText="1"/>
    </xf>
    <xf numFmtId="166" fontId="4" fillId="21" borderId="14" xfId="0" applyNumberFormat="1" applyFont="1" applyFill="1" applyBorder="1" applyAlignment="1">
      <alignment horizontal="right" vertical="center" wrapText="1"/>
    </xf>
    <xf numFmtId="0" fontId="20" fillId="21" borderId="8" xfId="0" applyFont="1" applyFill="1" applyBorder="1" applyAlignment="1">
      <alignment horizontal="left" vertical="center" wrapText="1"/>
    </xf>
    <xf numFmtId="10" fontId="4" fillId="21" borderId="9" xfId="2" applyNumberFormat="1" applyFont="1" applyFill="1" applyBorder="1" applyAlignment="1">
      <alignment horizontal="center" vertical="center"/>
    </xf>
    <xf numFmtId="0" fontId="20" fillId="21" borderId="18" xfId="0" applyFont="1" applyFill="1" applyBorder="1" applyAlignment="1">
      <alignment horizontal="left" vertical="center" wrapText="1"/>
    </xf>
    <xf numFmtId="166" fontId="4" fillId="21" borderId="19" xfId="0" applyNumberFormat="1" applyFont="1" applyFill="1" applyBorder="1" applyAlignment="1">
      <alignment horizontal="right" vertical="center" wrapText="1"/>
    </xf>
    <xf numFmtId="0" fontId="20" fillId="22" borderId="12" xfId="0" applyFont="1" applyFill="1" applyBorder="1" applyAlignment="1">
      <alignment horizontal="left" vertical="center" wrapText="1"/>
    </xf>
    <xf numFmtId="166" fontId="4" fillId="22" borderId="14" xfId="0" applyNumberFormat="1" applyFont="1" applyFill="1" applyBorder="1" applyAlignment="1">
      <alignment horizontal="right" vertical="center" wrapText="1"/>
    </xf>
    <xf numFmtId="10" fontId="4" fillId="22" borderId="14" xfId="2" applyNumberFormat="1" applyFont="1" applyFill="1" applyBorder="1" applyAlignment="1">
      <alignment horizontal="center" vertical="center"/>
    </xf>
    <xf numFmtId="0" fontId="20" fillId="22" borderId="8" xfId="0" applyFont="1" applyFill="1" applyBorder="1" applyAlignment="1">
      <alignment horizontal="left" wrapText="1"/>
    </xf>
    <xf numFmtId="166" fontId="4" fillId="22" borderId="9" xfId="0" applyNumberFormat="1" applyFont="1" applyFill="1" applyBorder="1" applyAlignment="1">
      <alignment horizontal="right" vertical="center" wrapText="1"/>
    </xf>
    <xf numFmtId="10" fontId="4" fillId="22" borderId="9" xfId="2" applyNumberFormat="1" applyFont="1" applyFill="1" applyBorder="1" applyAlignment="1">
      <alignment horizontal="center" vertical="center"/>
    </xf>
    <xf numFmtId="0" fontId="4" fillId="2" borderId="0" xfId="4" applyFont="1" applyFill="1"/>
    <xf numFmtId="0" fontId="20" fillId="22" borderId="18" xfId="0" applyFont="1" applyFill="1" applyBorder="1" applyAlignment="1">
      <alignment horizontal="left" wrapText="1"/>
    </xf>
    <xf numFmtId="166" fontId="4" fillId="22" borderId="19" xfId="0" applyNumberFormat="1" applyFont="1" applyFill="1" applyBorder="1" applyAlignment="1">
      <alignment horizontal="right" vertical="center" wrapText="1"/>
    </xf>
    <xf numFmtId="10" fontId="4" fillId="22" borderId="19" xfId="2" applyNumberFormat="1" applyFont="1" applyFill="1" applyBorder="1" applyAlignment="1">
      <alignment horizontal="center" vertical="center"/>
    </xf>
    <xf numFmtId="0" fontId="20" fillId="23" borderId="4" xfId="0" applyFont="1" applyFill="1" applyBorder="1" applyAlignment="1">
      <alignment horizontal="left" wrapText="1"/>
    </xf>
    <xf numFmtId="166" fontId="4" fillId="23" borderId="5" xfId="0" applyNumberFormat="1" applyFont="1" applyFill="1" applyBorder="1" applyAlignment="1">
      <alignment horizontal="right" vertical="center" wrapText="1"/>
    </xf>
    <xf numFmtId="10" fontId="4" fillId="23" borderId="5" xfId="2" applyNumberFormat="1" applyFont="1" applyFill="1" applyBorder="1" applyAlignment="1">
      <alignment horizontal="center" vertical="center"/>
    </xf>
    <xf numFmtId="0" fontId="20" fillId="24" borderId="4" xfId="0" applyFont="1" applyFill="1" applyBorder="1" applyAlignment="1">
      <alignment horizontal="left" wrapText="1"/>
    </xf>
    <xf numFmtId="166" fontId="4" fillId="24" borderId="5" xfId="0" applyNumberFormat="1" applyFont="1" applyFill="1" applyBorder="1" applyAlignment="1">
      <alignment horizontal="right" vertical="center" wrapText="1"/>
    </xf>
    <xf numFmtId="0" fontId="20" fillId="18" borderId="18" xfId="0" applyFont="1" applyFill="1" applyBorder="1" applyAlignment="1">
      <alignment horizontal="center" vertical="center"/>
    </xf>
    <xf numFmtId="10" fontId="13" fillId="18" borderId="19" xfId="0" applyNumberFormat="1" applyFont="1" applyFill="1" applyBorder="1" applyAlignment="1">
      <alignment horizontal="center"/>
    </xf>
    <xf numFmtId="0" fontId="20" fillId="17" borderId="8" xfId="0" applyFont="1" applyFill="1" applyBorder="1" applyAlignment="1">
      <alignment horizontal="left" vertical="center"/>
    </xf>
    <xf numFmtId="166" fontId="13" fillId="17" borderId="9" xfId="0" applyNumberFormat="1" applyFont="1" applyFill="1" applyBorder="1" applyAlignment="1">
      <alignment vertical="center"/>
    </xf>
    <xf numFmtId="0" fontId="10" fillId="2" borderId="0" xfId="4" applyFont="1" applyFill="1"/>
    <xf numFmtId="0" fontId="20" fillId="17" borderId="18" xfId="0" applyFont="1" applyFill="1" applyBorder="1" applyAlignment="1">
      <alignment horizontal="left" vertical="center"/>
    </xf>
    <xf numFmtId="166" fontId="13" fillId="17" borderId="19" xfId="0" applyNumberFormat="1" applyFont="1" applyFill="1" applyBorder="1" applyAlignment="1">
      <alignment vertical="center"/>
    </xf>
    <xf numFmtId="0" fontId="18" fillId="16" borderId="12" xfId="0" applyFont="1" applyFill="1" applyBorder="1" applyAlignment="1">
      <alignment horizontal="right"/>
    </xf>
    <xf numFmtId="0" fontId="26" fillId="25" borderId="14" xfId="0" applyFont="1" applyFill="1" applyBorder="1" applyAlignment="1">
      <alignment horizontal="center"/>
    </xf>
    <xf numFmtId="9" fontId="18" fillId="25" borderId="0" xfId="0" applyNumberFormat="1" applyFont="1" applyFill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18" fillId="16" borderId="8" xfId="0" applyFont="1" applyFill="1" applyBorder="1" applyAlignment="1">
      <alignment horizontal="right"/>
    </xf>
    <xf numFmtId="166" fontId="18" fillId="16" borderId="9" xfId="0" applyNumberFormat="1" applyFont="1" applyFill="1" applyBorder="1"/>
    <xf numFmtId="0" fontId="18" fillId="16" borderId="8" xfId="0" applyFont="1" applyFill="1" applyBorder="1" applyAlignment="1">
      <alignment horizontal="right" wrapText="1"/>
    </xf>
    <xf numFmtId="172" fontId="18" fillId="25" borderId="0" xfId="0" applyNumberFormat="1" applyFont="1" applyFill="1" applyAlignment="1">
      <alignment horizontal="center" vertical="center"/>
    </xf>
    <xf numFmtId="0" fontId="18" fillId="16" borderId="8" xfId="0" applyFont="1" applyFill="1" applyBorder="1" applyAlignment="1">
      <alignment horizontal="right" vertical="center" wrapText="1"/>
    </xf>
    <xf numFmtId="166" fontId="20" fillId="3" borderId="0" xfId="0" applyNumberFormat="1" applyFont="1" applyFill="1"/>
    <xf numFmtId="0" fontId="20" fillId="3" borderId="0" xfId="0" applyFont="1" applyFill="1"/>
    <xf numFmtId="0" fontId="18" fillId="16" borderId="18" xfId="0" applyFont="1" applyFill="1" applyBorder="1" applyAlignment="1">
      <alignment horizontal="right" wrapText="1"/>
    </xf>
    <xf numFmtId="166" fontId="18" fillId="16" borderId="19" xfId="0" applyNumberFormat="1" applyFont="1" applyFill="1" applyBorder="1"/>
    <xf numFmtId="4" fontId="4" fillId="3" borderId="0" xfId="0" applyNumberFormat="1" applyFont="1" applyFill="1"/>
    <xf numFmtId="166" fontId="18" fillId="26" borderId="0" xfId="0" applyNumberFormat="1" applyFont="1" applyFill="1" applyAlignment="1">
      <alignment horizontal="center"/>
    </xf>
    <xf numFmtId="2" fontId="18" fillId="27" borderId="0" xfId="0" applyNumberFormat="1" applyFont="1" applyFill="1" applyAlignment="1">
      <alignment horizontal="center"/>
    </xf>
    <xf numFmtId="0" fontId="11" fillId="2" borderId="0" xfId="0" applyFont="1" applyFill="1" applyAlignment="1">
      <alignment wrapText="1"/>
    </xf>
    <xf numFmtId="0" fontId="18" fillId="26" borderId="0" xfId="0" applyFont="1" applyFill="1" applyAlignment="1">
      <alignment horizontal="center"/>
    </xf>
    <xf numFmtId="166" fontId="18" fillId="28" borderId="12" xfId="0" applyNumberFormat="1" applyFont="1" applyFill="1" applyBorder="1"/>
    <xf numFmtId="166" fontId="20" fillId="28" borderId="14" xfId="2" applyNumberFormat="1" applyFont="1" applyFill="1" applyBorder="1"/>
    <xf numFmtId="166" fontId="18" fillId="28" borderId="18" xfId="0" applyNumberFormat="1" applyFont="1" applyFill="1" applyBorder="1" applyAlignment="1">
      <alignment horizontal="center" wrapText="1"/>
    </xf>
    <xf numFmtId="166" fontId="20" fillId="28" borderId="19" xfId="2" applyNumberFormat="1" applyFont="1" applyFill="1" applyBorder="1" applyAlignment="1">
      <alignment horizontal="right"/>
    </xf>
    <xf numFmtId="0" fontId="20" fillId="3" borderId="12" xfId="0" applyFont="1" applyFill="1" applyBorder="1"/>
    <xf numFmtId="0" fontId="20" fillId="3" borderId="13" xfId="0" applyFont="1" applyFill="1" applyBorder="1"/>
    <xf numFmtId="173" fontId="20" fillId="3" borderId="14" xfId="0" applyNumberFormat="1" applyFont="1" applyFill="1" applyBorder="1"/>
    <xf numFmtId="0" fontId="12" fillId="3" borderId="0" xfId="0" applyFont="1" applyFill="1"/>
    <xf numFmtId="0" fontId="20" fillId="3" borderId="8" xfId="0" applyFont="1" applyFill="1" applyBorder="1"/>
    <xf numFmtId="173" fontId="20" fillId="3" borderId="9" xfId="0" applyNumberFormat="1" applyFont="1" applyFill="1" applyBorder="1"/>
    <xf numFmtId="0" fontId="21" fillId="3" borderId="8" xfId="0" applyFont="1" applyFill="1" applyBorder="1"/>
    <xf numFmtId="166" fontId="13" fillId="3" borderId="9" xfId="0" applyNumberFormat="1" applyFont="1" applyFill="1" applyBorder="1"/>
    <xf numFmtId="166" fontId="13" fillId="3" borderId="0" xfId="0" applyNumberFormat="1" applyFont="1" applyFill="1"/>
    <xf numFmtId="166" fontId="12" fillId="2" borderId="0" xfId="0" applyNumberFormat="1" applyFont="1" applyFill="1"/>
    <xf numFmtId="175" fontId="11" fillId="2" borderId="0" xfId="0" applyNumberFormat="1" applyFont="1" applyFill="1"/>
    <xf numFmtId="43" fontId="13" fillId="3" borderId="0" xfId="1" applyFont="1" applyFill="1" applyAlignment="1">
      <alignment horizontal="center"/>
    </xf>
    <xf numFmtId="166" fontId="11" fillId="2" borderId="0" xfId="0" applyNumberFormat="1" applyFont="1" applyFill="1"/>
    <xf numFmtId="0" fontId="13" fillId="3" borderId="8" xfId="0" applyFont="1" applyFill="1" applyBorder="1"/>
    <xf numFmtId="176" fontId="13" fillId="3" borderId="0" xfId="1" applyNumberFormat="1" applyFont="1" applyFill="1" applyAlignment="1">
      <alignment horizontal="center"/>
    </xf>
    <xf numFmtId="0" fontId="18" fillId="15" borderId="8" xfId="0" applyFont="1" applyFill="1" applyBorder="1"/>
    <xf numFmtId="0" fontId="18" fillId="15" borderId="0" xfId="0" applyFont="1" applyFill="1"/>
    <xf numFmtId="166" fontId="18" fillId="15" borderId="9" xfId="0" applyNumberFormat="1" applyFont="1" applyFill="1" applyBorder="1"/>
    <xf numFmtId="166" fontId="12" fillId="3" borderId="0" xfId="0" applyNumberFormat="1" applyFont="1" applyFill="1"/>
    <xf numFmtId="176" fontId="4" fillId="3" borderId="0" xfId="1" applyNumberFormat="1" applyFont="1" applyFill="1"/>
    <xf numFmtId="177" fontId="20" fillId="3" borderId="9" xfId="0" applyNumberFormat="1" applyFont="1" applyFill="1" applyBorder="1"/>
    <xf numFmtId="166" fontId="20" fillId="3" borderId="9" xfId="0" applyNumberFormat="1" applyFont="1" applyFill="1" applyBorder="1"/>
    <xf numFmtId="10" fontId="20" fillId="3" borderId="9" xfId="2" applyNumberFormat="1" applyFont="1" applyFill="1" applyBorder="1"/>
    <xf numFmtId="0" fontId="13" fillId="2" borderId="0" xfId="0" applyFont="1" applyFill="1"/>
    <xf numFmtId="0" fontId="20" fillId="3" borderId="18" xfId="0" applyFont="1" applyFill="1" applyBorder="1"/>
    <xf numFmtId="0" fontId="20" fillId="3" borderId="2" xfId="0" applyFont="1" applyFill="1" applyBorder="1"/>
    <xf numFmtId="166" fontId="20" fillId="3" borderId="19" xfId="0" applyNumberFormat="1" applyFont="1" applyFill="1" applyBorder="1"/>
    <xf numFmtId="166" fontId="20" fillId="14" borderId="8" xfId="0" applyNumberFormat="1" applyFont="1" applyFill="1" applyBorder="1"/>
    <xf numFmtId="166" fontId="20" fillId="14" borderId="0" xfId="0" applyNumberFormat="1" applyFont="1" applyFill="1"/>
    <xf numFmtId="173" fontId="20" fillId="14" borderId="6" xfId="0" applyNumberFormat="1" applyFont="1" applyFill="1" applyBorder="1"/>
    <xf numFmtId="0" fontId="11" fillId="2" borderId="0" xfId="0" applyFont="1" applyFill="1" applyAlignment="1">
      <alignment horizontal="left"/>
    </xf>
    <xf numFmtId="173" fontId="20" fillId="14" borderId="4" xfId="0" applyNumberFormat="1" applyFont="1" applyFill="1" applyBorder="1"/>
    <xf numFmtId="173" fontId="20" fillId="14" borderId="11" xfId="0" applyNumberFormat="1" applyFont="1" applyFill="1" applyBorder="1"/>
    <xf numFmtId="0" fontId="12" fillId="14" borderId="19" xfId="0" applyFont="1" applyFill="1" applyBorder="1"/>
    <xf numFmtId="0" fontId="9" fillId="0" borderId="0" xfId="0" applyFont="1"/>
    <xf numFmtId="4" fontId="4" fillId="0" borderId="0" xfId="0" applyNumberFormat="1" applyFont="1"/>
    <xf numFmtId="0" fontId="4" fillId="0" borderId="0" xfId="0" applyFont="1" applyAlignment="1">
      <alignment horizontal="center"/>
    </xf>
    <xf numFmtId="166" fontId="18" fillId="14" borderId="12" xfId="0" applyNumberFormat="1" applyFont="1" applyFill="1" applyBorder="1" applyAlignment="1">
      <alignment horizontal="center" vertical="center"/>
    </xf>
    <xf numFmtId="166" fontId="18" fillId="14" borderId="13" xfId="0" applyNumberFormat="1" applyFont="1" applyFill="1" applyBorder="1" applyAlignment="1">
      <alignment horizontal="center" vertical="center"/>
    </xf>
    <xf numFmtId="166" fontId="18" fillId="14" borderId="14" xfId="0" applyNumberFormat="1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8" fillId="26" borderId="1" xfId="0" applyFont="1" applyFill="1" applyBorder="1" applyAlignment="1">
      <alignment horizontal="center" vertical="center"/>
    </xf>
    <xf numFmtId="166" fontId="18" fillId="28" borderId="1" xfId="0" applyNumberFormat="1" applyFont="1" applyFill="1" applyBorder="1" applyAlignment="1">
      <alignment horizontal="center" vertical="center" wrapText="1"/>
    </xf>
    <xf numFmtId="166" fontId="26" fillId="29" borderId="21" xfId="0" applyNumberFormat="1" applyFont="1" applyFill="1" applyBorder="1" applyAlignment="1">
      <alignment horizontal="center" vertical="center"/>
    </xf>
    <xf numFmtId="166" fontId="26" fillId="29" borderId="10" xfId="0" applyNumberFormat="1" applyFont="1" applyFill="1" applyBorder="1" applyAlignment="1">
      <alignment horizontal="center" vertical="center"/>
    </xf>
    <xf numFmtId="166" fontId="17" fillId="5" borderId="0" xfId="0" applyNumberFormat="1" applyFont="1" applyFill="1" applyAlignment="1">
      <alignment horizontal="center"/>
    </xf>
    <xf numFmtId="167" fontId="11" fillId="0" borderId="3" xfId="0" applyNumberFormat="1" applyFont="1" applyBorder="1" applyAlignment="1">
      <alignment horizontal="center" wrapText="1"/>
    </xf>
    <xf numFmtId="167" fontId="7" fillId="9" borderId="3" xfId="0" applyNumberFormat="1" applyFont="1" applyFill="1" applyBorder="1" applyAlignment="1">
      <alignment horizontal="center" vertical="center" wrapText="1"/>
    </xf>
    <xf numFmtId="10" fontId="17" fillId="3" borderId="1" xfId="0" applyNumberFormat="1" applyFont="1" applyFill="1" applyBorder="1" applyAlignment="1">
      <alignment horizontal="center"/>
    </xf>
    <xf numFmtId="10" fontId="17" fillId="3" borderId="2" xfId="0" applyNumberFormat="1" applyFont="1" applyFill="1" applyBorder="1" applyAlignment="1">
      <alignment horizontal="center"/>
    </xf>
    <xf numFmtId="0" fontId="19" fillId="2" borderId="15" xfId="0" applyFont="1" applyFill="1" applyBorder="1" applyAlignment="1">
      <alignment horizontal="right"/>
    </xf>
    <xf numFmtId="0" fontId="19" fillId="2" borderId="16" xfId="0" applyFont="1" applyFill="1" applyBorder="1" applyAlignment="1">
      <alignment horizontal="right"/>
    </xf>
    <xf numFmtId="0" fontId="17" fillId="2" borderId="15" xfId="0" applyFont="1" applyFill="1" applyBorder="1" applyAlignment="1">
      <alignment horizontal="center"/>
    </xf>
    <xf numFmtId="0" fontId="17" fillId="2" borderId="16" xfId="0" applyFont="1" applyFill="1" applyBorder="1" applyAlignment="1">
      <alignment horizontal="center"/>
    </xf>
    <xf numFmtId="0" fontId="17" fillId="2" borderId="17" xfId="0" applyFont="1" applyFill="1" applyBorder="1" applyAlignment="1">
      <alignment horizontal="center"/>
    </xf>
    <xf numFmtId="10" fontId="17" fillId="14" borderId="0" xfId="0" applyNumberFormat="1" applyFont="1" applyFill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167" fontId="7" fillId="15" borderId="3" xfId="0" applyNumberFormat="1" applyFont="1" applyFill="1" applyBorder="1" applyAlignment="1">
      <alignment horizontal="center" wrapText="1"/>
    </xf>
    <xf numFmtId="0" fontId="7" fillId="12" borderId="1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19" fillId="2" borderId="4" xfId="0" applyFont="1" applyFill="1" applyBorder="1" applyAlignment="1">
      <alignment horizontal="right"/>
    </xf>
    <xf numFmtId="0" fontId="19" fillId="2" borderId="11" xfId="0" applyFont="1" applyFill="1" applyBorder="1" applyAlignment="1">
      <alignment horizontal="right"/>
    </xf>
    <xf numFmtId="0" fontId="18" fillId="13" borderId="12" xfId="0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0" fontId="18" fillId="13" borderId="14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0" fillId="3" borderId="2" xfId="0" applyFont="1" applyFill="1" applyBorder="1" applyAlignment="1">
      <alignment horizontal="center"/>
    </xf>
    <xf numFmtId="166" fontId="18" fillId="8" borderId="4" xfId="0" applyNumberFormat="1" applyFont="1" applyFill="1" applyBorder="1" applyAlignment="1">
      <alignment horizontal="center" wrapText="1"/>
    </xf>
    <xf numFmtId="166" fontId="18" fillId="8" borderId="5" xfId="0" applyNumberFormat="1" applyFont="1" applyFill="1" applyBorder="1" applyAlignment="1">
      <alignment horizontal="center" wrapText="1"/>
    </xf>
    <xf numFmtId="166" fontId="18" fillId="10" borderId="1" xfId="0" applyNumberFormat="1" applyFont="1" applyFill="1" applyBorder="1" applyAlignment="1">
      <alignment horizontal="center" vertical="center"/>
    </xf>
    <xf numFmtId="10" fontId="4" fillId="2" borderId="7" xfId="0" applyNumberFormat="1" applyFont="1" applyFill="1" applyBorder="1" applyAlignment="1">
      <alignment horizontal="center" vertical="center"/>
    </xf>
    <xf numFmtId="10" fontId="4" fillId="2" borderId="6" xfId="0" applyNumberFormat="1" applyFont="1" applyFill="1" applyBorder="1" applyAlignment="1">
      <alignment horizontal="center" vertical="center"/>
    </xf>
    <xf numFmtId="10" fontId="4" fillId="2" borderId="10" xfId="0" applyNumberFormat="1" applyFont="1" applyFill="1" applyBorder="1" applyAlignment="1">
      <alignment horizontal="center" vertical="center"/>
    </xf>
    <xf numFmtId="4" fontId="4" fillId="2" borderId="7" xfId="0" applyNumberFormat="1" applyFont="1" applyFill="1" applyBorder="1" applyAlignment="1">
      <alignment horizontal="center" vertical="center"/>
    </xf>
    <xf numFmtId="4" fontId="4" fillId="2" borderId="6" xfId="0" applyNumberFormat="1" applyFont="1" applyFill="1" applyBorder="1" applyAlignment="1">
      <alignment horizontal="center" vertical="center"/>
    </xf>
    <xf numFmtId="4" fontId="4" fillId="2" borderId="10" xfId="0" applyNumberFormat="1" applyFont="1" applyFill="1" applyBorder="1" applyAlignment="1">
      <alignment horizontal="center" vertical="center"/>
    </xf>
    <xf numFmtId="9" fontId="4" fillId="6" borderId="1" xfId="2" applyFont="1" applyFill="1" applyBorder="1" applyAlignment="1">
      <alignment horizontal="center"/>
    </xf>
    <xf numFmtId="0" fontId="13" fillId="6" borderId="1" xfId="0" applyFont="1" applyFill="1" applyBorder="1" applyAlignment="1">
      <alignment horizontal="center"/>
    </xf>
  </cellXfs>
  <cellStyles count="5">
    <cellStyle name="Hiperlink" xfId="3" builtinId="8"/>
    <cellStyle name="Normal" xfId="0" builtinId="0"/>
    <cellStyle name="Normal 5" xfId="4" xr:uid="{79C5D39A-35FA-44C7-972A-F4AEC4E04A76}"/>
    <cellStyle name="Porcentagem" xfId="2" builtinId="5"/>
    <cellStyle name="Vírgula" xfId="1" builtinId="3"/>
  </cellStyles>
  <dxfs count="14">
    <dxf>
      <font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FF0000"/>
      </font>
      <border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rgb="FFFF000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PreCalc.xls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1952625</xdr:colOff>
          <xdr:row>0</xdr:row>
          <xdr:rowOff>0</xdr:rowOff>
        </xdr:from>
        <xdr:to>
          <xdr:col>7</xdr:col>
          <xdr:colOff>1771650</xdr:colOff>
          <xdr:row>2</xdr:row>
          <xdr:rowOff>200025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3733800</xdr:colOff>
          <xdr:row>2</xdr:row>
          <xdr:rowOff>19050</xdr:rowOff>
        </xdr:from>
        <xdr:to>
          <xdr:col>17</xdr:col>
          <xdr:colOff>1571625</xdr:colOff>
          <xdr:row>6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628650</xdr:colOff>
          <xdr:row>33</xdr:row>
          <xdr:rowOff>85725</xdr:rowOff>
        </xdr:from>
        <xdr:to>
          <xdr:col>16</xdr:col>
          <xdr:colOff>1524000</xdr:colOff>
          <xdr:row>34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71</xdr:row>
      <xdr:rowOff>86591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1909616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190499</xdr:rowOff>
    </xdr:from>
    <xdr:to>
      <xdr:col>1</xdr:col>
      <xdr:colOff>-1</xdr:colOff>
      <xdr:row>4</xdr:row>
      <xdr:rowOff>202907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70862" y="292819"/>
          <a:ext cx="850608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2</xdr:row>
      <xdr:rowOff>190498</xdr:rowOff>
    </xdr:from>
    <xdr:to>
      <xdr:col>1</xdr:col>
      <xdr:colOff>727364</xdr:colOff>
      <xdr:row>5</xdr:row>
      <xdr:rowOff>86591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73182" y="609598"/>
          <a:ext cx="1373332" cy="610468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2020</a:t>
          </a:r>
        </a:p>
      </xdr:txBody>
    </xdr:sp>
    <xdr:clientData/>
  </xdr:twoCellAnchor>
  <xdr:twoCellAnchor>
    <xdr:from>
      <xdr:col>12</xdr:col>
      <xdr:colOff>1368138</xdr:colOff>
      <xdr:row>33</xdr:row>
      <xdr:rowOff>346365</xdr:rowOff>
    </xdr:from>
    <xdr:to>
      <xdr:col>13</xdr:col>
      <xdr:colOff>710047</xdr:colOff>
      <xdr:row>34</xdr:row>
      <xdr:rowOff>173184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4418638" y="14748165"/>
          <a:ext cx="1199284" cy="588819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PI\Downloads\PreCalc%20teste\PreCalc.xlsm" TargetMode="External"/><Relationship Id="rId1" Type="http://schemas.openxmlformats.org/officeDocument/2006/relationships/externalLinkPath" Target="/Users/TJPI/Downloads/PreCalc%20teste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</sheetNames>
    <definedNames>
      <definedName name="LimparCálculos"/>
    </definedNames>
    <sheetDataSet>
      <sheetData sheetId="0"/>
      <sheetData sheetId="1"/>
      <sheetData sheetId="2">
        <row r="8">
          <cell r="C8" t="str">
            <v>0009297-97.2016.8.18.0000</v>
          </cell>
        </row>
        <row r="10">
          <cell r="C10">
            <v>2018</v>
          </cell>
        </row>
        <row r="12">
          <cell r="C12">
            <v>42607</v>
          </cell>
        </row>
        <row r="14">
          <cell r="C14" t="str">
            <v>MARIA FATIMA DE MACEDO SILVA LOPES</v>
          </cell>
        </row>
        <row r="16">
          <cell r="C16" t="str">
            <v>ESTADO DO PIAUÍ</v>
          </cell>
        </row>
        <row r="18">
          <cell r="AD18" t="str">
            <v>novembro</v>
          </cell>
          <cell r="AE18" t="str">
            <v>2014</v>
          </cell>
          <cell r="AF18">
            <v>54</v>
          </cell>
        </row>
        <row r="19">
          <cell r="AC19" t="str">
            <v>k</v>
          </cell>
        </row>
        <row r="20">
          <cell r="C20">
            <v>21212112</v>
          </cell>
        </row>
        <row r="22">
          <cell r="C22">
            <v>28888.21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>
        <row r="1">
          <cell r="D1">
            <v>1964</v>
          </cell>
          <cell r="E1">
            <v>1965</v>
          </cell>
          <cell r="F1">
            <v>1966</v>
          </cell>
          <cell r="G1">
            <v>1967</v>
          </cell>
          <cell r="H1">
            <v>1968</v>
          </cell>
          <cell r="I1">
            <v>1969</v>
          </cell>
          <cell r="J1">
            <v>1970</v>
          </cell>
          <cell r="K1">
            <v>1971</v>
          </cell>
          <cell r="L1">
            <v>1972</v>
          </cell>
          <cell r="M1">
            <v>1973</v>
          </cell>
          <cell r="N1">
            <v>1974</v>
          </cell>
          <cell r="O1">
            <v>1975</v>
          </cell>
          <cell r="P1">
            <v>1976</v>
          </cell>
          <cell r="Q1">
            <v>1977</v>
          </cell>
          <cell r="R1">
            <v>1978</v>
          </cell>
          <cell r="S1">
            <v>1979</v>
          </cell>
          <cell r="T1">
            <v>1980</v>
          </cell>
          <cell r="U1">
            <v>1981</v>
          </cell>
          <cell r="V1">
            <v>1982</v>
          </cell>
          <cell r="W1">
            <v>1983</v>
          </cell>
          <cell r="X1">
            <v>1984</v>
          </cell>
          <cell r="Y1">
            <v>1985</v>
          </cell>
          <cell r="Z1">
            <v>1986</v>
          </cell>
          <cell r="AA1">
            <v>1987</v>
          </cell>
          <cell r="AB1">
            <v>1988</v>
          </cell>
          <cell r="AC1">
            <v>1989</v>
          </cell>
          <cell r="AD1">
            <v>1990</v>
          </cell>
          <cell r="AE1">
            <v>1991</v>
          </cell>
          <cell r="AF1">
            <v>1992</v>
          </cell>
          <cell r="AG1">
            <v>1993</v>
          </cell>
          <cell r="AH1">
            <v>1994</v>
          </cell>
          <cell r="AI1">
            <v>1995</v>
          </cell>
          <cell r="AJ1">
            <v>1996</v>
          </cell>
          <cell r="AK1">
            <v>1997</v>
          </cell>
          <cell r="AL1">
            <v>1998</v>
          </cell>
          <cell r="AM1">
            <v>1999</v>
          </cell>
          <cell r="AN1">
            <v>2000</v>
          </cell>
          <cell r="AO1">
            <v>2001</v>
          </cell>
          <cell r="AP1">
            <v>2002</v>
          </cell>
          <cell r="AQ1">
            <v>2003</v>
          </cell>
          <cell r="AR1">
            <v>2004</v>
          </cell>
          <cell r="AS1">
            <v>2005</v>
          </cell>
          <cell r="AT1">
            <v>2006</v>
          </cell>
          <cell r="AU1">
            <v>2007</v>
          </cell>
          <cell r="AV1">
            <v>2008</v>
          </cell>
          <cell r="AW1">
            <v>2009</v>
          </cell>
          <cell r="AX1">
            <v>2010</v>
          </cell>
          <cell r="AY1">
            <v>2011</v>
          </cell>
          <cell r="AZ1">
            <v>2012</v>
          </cell>
          <cell r="BA1">
            <v>2013</v>
          </cell>
          <cell r="BB1">
            <v>2014</v>
          </cell>
          <cell r="BC1">
            <v>2015</v>
          </cell>
          <cell r="BD1">
            <v>2016</v>
          </cell>
          <cell r="BE1">
            <v>2017</v>
          </cell>
          <cell r="BF1">
            <v>2018</v>
          </cell>
          <cell r="BG1">
            <v>2019</v>
          </cell>
          <cell r="BH1">
            <v>2020</v>
          </cell>
          <cell r="BI1">
            <v>2021</v>
          </cell>
        </row>
        <row r="2">
          <cell r="A2">
            <v>1</v>
          </cell>
          <cell r="B2">
            <v>2</v>
          </cell>
          <cell r="C2">
            <v>3</v>
          </cell>
          <cell r="D2">
            <v>4</v>
          </cell>
          <cell r="E2">
            <v>5</v>
          </cell>
          <cell r="F2">
            <v>6</v>
          </cell>
          <cell r="G2">
            <v>7</v>
          </cell>
          <cell r="H2">
            <v>8</v>
          </cell>
          <cell r="I2">
            <v>9</v>
          </cell>
          <cell r="J2">
            <v>10</v>
          </cell>
          <cell r="K2">
            <v>11</v>
          </cell>
          <cell r="L2">
            <v>12</v>
          </cell>
          <cell r="M2">
            <v>13</v>
          </cell>
          <cell r="N2">
            <v>14</v>
          </cell>
          <cell r="O2">
            <v>15</v>
          </cell>
          <cell r="P2">
            <v>16</v>
          </cell>
          <cell r="Q2">
            <v>17</v>
          </cell>
          <cell r="R2">
            <v>18</v>
          </cell>
          <cell r="S2">
            <v>19</v>
          </cell>
          <cell r="T2">
            <v>20</v>
          </cell>
          <cell r="U2">
            <v>21</v>
          </cell>
          <cell r="V2">
            <v>22</v>
          </cell>
          <cell r="W2">
            <v>23</v>
          </cell>
          <cell r="X2">
            <v>24</v>
          </cell>
          <cell r="Y2">
            <v>25</v>
          </cell>
          <cell r="Z2">
            <v>26</v>
          </cell>
          <cell r="AA2">
            <v>27</v>
          </cell>
          <cell r="AB2">
            <v>28</v>
          </cell>
          <cell r="AC2">
            <v>29</v>
          </cell>
          <cell r="AD2">
            <v>30</v>
          </cell>
          <cell r="AE2">
            <v>31</v>
          </cell>
          <cell r="AF2">
            <v>32</v>
          </cell>
          <cell r="AG2">
            <v>33</v>
          </cell>
          <cell r="AH2">
            <v>34</v>
          </cell>
          <cell r="AI2">
            <v>35</v>
          </cell>
          <cell r="AJ2">
            <v>36</v>
          </cell>
          <cell r="AK2">
            <v>37</v>
          </cell>
          <cell r="AL2">
            <v>38</v>
          </cell>
          <cell r="AM2">
            <v>39</v>
          </cell>
          <cell r="AN2">
            <v>40</v>
          </cell>
          <cell r="AO2">
            <v>41</v>
          </cell>
          <cell r="AP2">
            <v>42</v>
          </cell>
          <cell r="AQ2">
            <v>43</v>
          </cell>
          <cell r="AR2">
            <v>44</v>
          </cell>
          <cell r="AS2">
            <v>45</v>
          </cell>
          <cell r="AT2">
            <v>46</v>
          </cell>
          <cell r="AU2">
            <v>47</v>
          </cell>
          <cell r="AV2">
            <v>48</v>
          </cell>
          <cell r="AW2">
            <v>49</v>
          </cell>
          <cell r="AX2">
            <v>50</v>
          </cell>
          <cell r="AY2">
            <v>51</v>
          </cell>
          <cell r="AZ2">
            <v>52</v>
          </cell>
          <cell r="BA2">
            <v>53</v>
          </cell>
          <cell r="BB2">
            <v>54</v>
          </cell>
          <cell r="BC2">
            <v>55</v>
          </cell>
          <cell r="BD2">
            <v>56</v>
          </cell>
          <cell r="BE2">
            <v>57</v>
          </cell>
          <cell r="BF2">
            <v>58</v>
          </cell>
          <cell r="BG2">
            <v>59</v>
          </cell>
          <cell r="BH2">
            <v>60</v>
          </cell>
          <cell r="BI2">
            <v>61</v>
          </cell>
          <cell r="BJ2">
            <v>62</v>
          </cell>
          <cell r="BK2">
            <v>63</v>
          </cell>
        </row>
        <row r="3">
          <cell r="A3" t="str">
            <v>a</v>
          </cell>
          <cell r="B3" t="str">
            <v>Janeiro</v>
          </cell>
          <cell r="C3" t="str">
            <v>JAN</v>
          </cell>
          <cell r="E3">
            <v>6.7492000000000003E-3</v>
          </cell>
          <cell r="F3">
            <v>4.5942999999999999E-3</v>
          </cell>
          <cell r="G3">
            <v>3.2831000000000002E-3</v>
          </cell>
          <cell r="H3">
            <v>2.6778762</v>
          </cell>
          <cell r="I3">
            <v>2.1410980999999998</v>
          </cell>
          <cell r="J3">
            <v>1.800848</v>
          </cell>
          <cell r="K3">
            <v>1.5099171</v>
          </cell>
          <cell r="L3">
            <v>1.2396929999999999</v>
          </cell>
          <cell r="M3">
            <v>1.0761381999999999</v>
          </cell>
          <cell r="N3">
            <v>0.94599250000000001</v>
          </cell>
          <cell r="O3">
            <v>0.71436789999999994</v>
          </cell>
          <cell r="P3">
            <v>0.57196579999999997</v>
          </cell>
          <cell r="Q3">
            <v>0.4152786</v>
          </cell>
          <cell r="R3">
            <v>0.32001469999999999</v>
          </cell>
          <cell r="S3">
            <v>0.2333575</v>
          </cell>
          <cell r="T3">
            <v>0.15633710000000001</v>
          </cell>
          <cell r="U3">
            <v>0.1032714</v>
          </cell>
          <cell r="V3">
            <v>5.2453899999999998E-2</v>
          </cell>
          <cell r="W3">
            <v>2.6199799999999999E-2</v>
          </cell>
          <cell r="X3">
            <v>1.0106800000000001E-2</v>
          </cell>
          <cell r="Y3">
            <v>3.1216E-3</v>
          </cell>
          <cell r="Z3">
            <v>9.5279999999999996E-4</v>
          </cell>
          <cell r="AA3">
            <v>0.58675109999999997</v>
          </cell>
          <cell r="AB3">
            <v>0.1277614</v>
          </cell>
          <cell r="AC3">
            <v>12.360383300000001</v>
          </cell>
          <cell r="AD3">
            <v>0.74383440000000001</v>
          </cell>
          <cell r="AE3">
            <v>3.9255900000000003E-2</v>
          </cell>
          <cell r="AF3">
            <v>6.7999999999999996E-3</v>
          </cell>
          <cell r="AG3">
            <v>5.4770000000000003E-4</v>
          </cell>
          <cell r="AH3">
            <v>2.1622099999999998E-2</v>
          </cell>
          <cell r="AI3">
            <v>5.9996803999999999</v>
          </cell>
          <cell r="AJ3">
            <v>4.8992201</v>
          </cell>
          <cell r="AK3">
            <v>4.4576017999999999</v>
          </cell>
          <cell r="AL3">
            <v>4.2243094000000001</v>
          </cell>
          <cell r="AM3">
            <v>4.1555616000000004</v>
          </cell>
          <cell r="AN3">
            <v>3.8154156000000001</v>
          </cell>
          <cell r="AO3">
            <v>3.5982417</v>
          </cell>
          <cell r="AP3">
            <v>3.3468057</v>
          </cell>
          <cell r="AQ3">
            <v>2.9885712999999998</v>
          </cell>
          <cell r="AR3">
            <v>2.7203151000000001</v>
          </cell>
          <cell r="AS3">
            <v>2.5296911999999998</v>
          </cell>
          <cell r="AT3">
            <v>2.3892386000000001</v>
          </cell>
          <cell r="AU3">
            <v>2.3206174000000002</v>
          </cell>
          <cell r="AV3">
            <v>2.2235865000000001</v>
          </cell>
          <cell r="AW3">
            <v>2.0957091000000001</v>
          </cell>
          <cell r="AX3">
            <v>2.0114919000000002</v>
          </cell>
          <cell r="AY3">
            <v>1.9013556</v>
          </cell>
          <cell r="AZ3">
            <v>1.7843784</v>
          </cell>
          <cell r="BA3">
            <v>1.6869392999999999</v>
          </cell>
          <cell r="BB3">
            <v>1.5937357999999999</v>
          </cell>
          <cell r="BC3">
            <v>1.4970131</v>
          </cell>
          <cell r="BD3">
            <v>1.3522358000000001</v>
          </cell>
          <cell r="BE3">
            <v>1.2687124000000001</v>
          </cell>
          <cell r="BF3">
            <v>1.2325123</v>
          </cell>
          <cell r="BG3">
            <v>1.1866992999999999</v>
          </cell>
          <cell r="BH3">
            <v>1.14201</v>
          </cell>
          <cell r="BI3">
            <v>1.0956900999999999</v>
          </cell>
        </row>
        <row r="4">
          <cell r="A4" t="str">
            <v>b</v>
          </cell>
          <cell r="B4" t="str">
            <v>Fevereiro</v>
          </cell>
          <cell r="C4" t="str">
            <v>FEV</v>
          </cell>
          <cell r="E4">
            <v>6.7492000000000003E-3</v>
          </cell>
          <cell r="F4">
            <v>4.4730999999999998E-3</v>
          </cell>
          <cell r="G4">
            <v>3.2071451999999998</v>
          </cell>
          <cell r="H4">
            <v>2.6316739999999998</v>
          </cell>
          <cell r="I4">
            <v>2.1027271000000001</v>
          </cell>
          <cell r="J4">
            <v>1.7613375</v>
          </cell>
          <cell r="K4">
            <v>1.4826188</v>
          </cell>
          <cell r="L4">
            <v>1.2249585000000001</v>
          </cell>
          <cell r="M4">
            <v>1.0656129000000001</v>
          </cell>
          <cell r="N4">
            <v>0.93612269999999997</v>
          </cell>
          <cell r="O4">
            <v>0.70368989999999998</v>
          </cell>
          <cell r="P4">
            <v>0.56119140000000001</v>
          </cell>
          <cell r="Q4">
            <v>0.40821020000000002</v>
          </cell>
          <cell r="R4">
            <v>0.31340010000000001</v>
          </cell>
          <cell r="S4">
            <v>0.2282044</v>
          </cell>
          <cell r="T4">
            <v>0.15003230000000001</v>
          </cell>
          <cell r="U4">
            <v>9.8353099999999999E-2</v>
          </cell>
          <cell r="V4">
            <v>4.9956100000000003E-2</v>
          </cell>
          <cell r="W4">
            <v>2.4716800000000001E-2</v>
          </cell>
          <cell r="X4">
            <v>9.2048000000000008E-3</v>
          </cell>
          <cell r="Y4">
            <v>2.7721999999999998E-3</v>
          </cell>
          <cell r="Z4">
            <v>8.1970000000000003E-4</v>
          </cell>
          <cell r="AA4">
            <v>0.50227809999999995</v>
          </cell>
          <cell r="AB4">
            <v>0.1096562</v>
          </cell>
          <cell r="AC4">
            <v>8.6605825000000003</v>
          </cell>
          <cell r="AD4">
            <v>0.47648249999999998</v>
          </cell>
          <cell r="AE4">
            <v>3.2737799999999997E-2</v>
          </cell>
          <cell r="AF4">
            <v>5.4140000000000004E-3</v>
          </cell>
          <cell r="AG4">
            <v>4.2299999999999998E-4</v>
          </cell>
          <cell r="AH4">
            <v>1.5536400000000001E-2</v>
          </cell>
          <cell r="AI4">
            <v>5.9996803999999999</v>
          </cell>
          <cell r="AJ4">
            <v>4.8992201</v>
          </cell>
          <cell r="AK4">
            <v>4.4576017999999999</v>
          </cell>
          <cell r="AL4">
            <v>4.2243094000000001</v>
          </cell>
          <cell r="AM4">
            <v>4.1555616000000004</v>
          </cell>
          <cell r="AN4">
            <v>3.8154156000000001</v>
          </cell>
          <cell r="AO4">
            <v>3.5757146999999998</v>
          </cell>
          <cell r="AP4">
            <v>3.3261834000000001</v>
          </cell>
          <cell r="AQ4">
            <v>2.9305465000000002</v>
          </cell>
          <cell r="AR4">
            <v>2.7019419</v>
          </cell>
          <cell r="AS4">
            <v>2.5126054999999998</v>
          </cell>
          <cell r="AT4">
            <v>2.3771152999999998</v>
          </cell>
          <cell r="AU4">
            <v>2.3086126999999999</v>
          </cell>
          <cell r="AV4">
            <v>2.2081295999999999</v>
          </cell>
          <cell r="AW4">
            <v>2.0873596999999999</v>
          </cell>
          <cell r="AX4">
            <v>2.0010862</v>
          </cell>
          <cell r="AY4">
            <v>1.8870142999999999</v>
          </cell>
          <cell r="AZ4">
            <v>1.7728548</v>
          </cell>
          <cell r="BA4">
            <v>1.6722237</v>
          </cell>
          <cell r="BB4">
            <v>1.5831287999999999</v>
          </cell>
          <cell r="BC4">
            <v>1.4838072</v>
          </cell>
          <cell r="BD4">
            <v>1.3399087000000001</v>
          </cell>
          <cell r="BE4">
            <v>1.2647915000000001</v>
          </cell>
          <cell r="BF4">
            <v>1.2277241999999999</v>
          </cell>
          <cell r="BG4">
            <v>1.1831498</v>
          </cell>
          <cell r="BH4">
            <v>1.1339589000000001</v>
          </cell>
          <cell r="BI4">
            <v>1.0872099</v>
          </cell>
        </row>
        <row r="5">
          <cell r="A5" t="str">
            <v>c</v>
          </cell>
          <cell r="B5" t="str">
            <v>Março</v>
          </cell>
          <cell r="C5" t="str">
            <v>MAR</v>
          </cell>
          <cell r="E5">
            <v>6.7492000000000003E-3</v>
          </cell>
          <cell r="F5">
            <v>4.4083999999999998E-3</v>
          </cell>
          <cell r="G5">
            <v>3.1411001999999999</v>
          </cell>
          <cell r="H5">
            <v>2.5940786999999998</v>
          </cell>
          <cell r="I5">
            <v>2.0662669999999999</v>
          </cell>
          <cell r="J5">
            <v>1.7266451</v>
          </cell>
          <cell r="K5">
            <v>1.4632753999999999</v>
          </cell>
          <cell r="L5">
            <v>1.2088430999999999</v>
          </cell>
          <cell r="M5">
            <v>1.0545618999999999</v>
          </cell>
          <cell r="N5">
            <v>0.9223112</v>
          </cell>
          <cell r="O5">
            <v>0.69219379999999997</v>
          </cell>
          <cell r="P5">
            <v>0.54891259999999997</v>
          </cell>
          <cell r="Q5">
            <v>0.40032499999999999</v>
          </cell>
          <cell r="R5">
            <v>0.30630109999999999</v>
          </cell>
          <cell r="S5">
            <v>0.2230193</v>
          </cell>
          <cell r="T5">
            <v>0.14467869999999999</v>
          </cell>
          <cell r="U5">
            <v>9.2350600000000005E-2</v>
          </cell>
          <cell r="V5">
            <v>4.7577300000000003E-2</v>
          </cell>
          <cell r="W5">
            <v>2.3164799999999999E-2</v>
          </cell>
          <cell r="X5">
            <v>8.1966000000000001E-3</v>
          </cell>
          <cell r="Y5">
            <v>2.5157000000000001E-3</v>
          </cell>
          <cell r="Z5">
            <v>0.71678489999999995</v>
          </cell>
          <cell r="AA5">
            <v>0.41994340000000002</v>
          </cell>
          <cell r="AB5">
            <v>9.2959600000000003E-2</v>
          </cell>
          <cell r="AC5">
            <v>7.8632489999999997</v>
          </cell>
          <cell r="AD5">
            <v>0.27577360000000001</v>
          </cell>
          <cell r="AE5">
            <v>2.6862899999999999E-2</v>
          </cell>
          <cell r="AF5">
            <v>4.2934000000000002E-3</v>
          </cell>
          <cell r="AG5">
            <v>3.3379999999999998E-4</v>
          </cell>
          <cell r="AH5">
            <v>1.11214E-2</v>
          </cell>
          <cell r="AI5">
            <v>5.9996803999999999</v>
          </cell>
          <cell r="AJ5">
            <v>4.8992201</v>
          </cell>
          <cell r="AK5">
            <v>4.4576017999999999</v>
          </cell>
          <cell r="AL5">
            <v>4.2243094000000001</v>
          </cell>
          <cell r="AM5">
            <v>4.1555616000000004</v>
          </cell>
          <cell r="AN5">
            <v>3.8154156000000001</v>
          </cell>
          <cell r="AO5">
            <v>3.557925</v>
          </cell>
          <cell r="AP5">
            <v>3.3116123000000002</v>
          </cell>
          <cell r="AQ5">
            <v>2.8677429000000001</v>
          </cell>
          <cell r="AR5">
            <v>2.6778412999999999</v>
          </cell>
          <cell r="AS5">
            <v>2.4941488000000001</v>
          </cell>
          <cell r="AT5">
            <v>2.3648182000000002</v>
          </cell>
          <cell r="AU5">
            <v>2.2980417000000002</v>
          </cell>
          <cell r="AV5">
            <v>2.1940875000000002</v>
          </cell>
          <cell r="AW5">
            <v>2.0742916999999998</v>
          </cell>
          <cell r="AX5">
            <v>1.9824512000000001</v>
          </cell>
          <cell r="AY5">
            <v>1.8688861000000001</v>
          </cell>
          <cell r="AZ5">
            <v>1.7635083</v>
          </cell>
          <cell r="BA5">
            <v>1.6609293999999999</v>
          </cell>
          <cell r="BB5">
            <v>1.5721240000000001</v>
          </cell>
          <cell r="BC5">
            <v>1.4643316</v>
          </cell>
          <cell r="BD5">
            <v>1.3211484</v>
          </cell>
          <cell r="BE5">
            <v>1.2579982999999999</v>
          </cell>
          <cell r="BF5">
            <v>1.2230764999999999</v>
          </cell>
          <cell r="BG5">
            <v>1.1791408000000001</v>
          </cell>
          <cell r="BH5">
            <v>1.1314697</v>
          </cell>
          <cell r="BI5">
            <v>1.0820162</v>
          </cell>
        </row>
        <row r="6">
          <cell r="A6" t="str">
            <v>d</v>
          </cell>
          <cell r="B6" t="str">
            <v>Abril</v>
          </cell>
          <cell r="C6" t="str">
            <v>ABR</v>
          </cell>
          <cell r="E6">
            <v>5.6915000000000004E-3</v>
          </cell>
          <cell r="F6">
            <v>4.3333E-3</v>
          </cell>
          <cell r="G6">
            <v>3.0952074999999999</v>
          </cell>
          <cell r="H6">
            <v>2.5566849999999999</v>
          </cell>
          <cell r="I6">
            <v>2.0375611</v>
          </cell>
          <cell r="J6">
            <v>1.7073183999999999</v>
          </cell>
          <cell r="K6">
            <v>1.4488205000000001</v>
          </cell>
          <cell r="L6">
            <v>1.1952031999999999</v>
          </cell>
          <cell r="M6">
            <v>1.0420263999999999</v>
          </cell>
          <cell r="N6">
            <v>0.91085530000000003</v>
          </cell>
          <cell r="O6">
            <v>0.67942910000000001</v>
          </cell>
          <cell r="P6">
            <v>0.53617769999999998</v>
          </cell>
          <cell r="Q6">
            <v>0.39144849999999998</v>
          </cell>
          <cell r="R6">
            <v>0.29860189999999998</v>
          </cell>
          <cell r="S6">
            <v>0.21758559999999999</v>
          </cell>
          <cell r="T6">
            <v>0.13951759999999999</v>
          </cell>
          <cell r="U6">
            <v>8.6877099999999999E-2</v>
          </cell>
          <cell r="V6">
            <v>4.5311700000000003E-2</v>
          </cell>
          <cell r="W6">
            <v>2.1252099999999999E-2</v>
          </cell>
          <cell r="X6">
            <v>7.4514000000000004E-3</v>
          </cell>
          <cell r="Y6">
            <v>2.2322000000000002E-3</v>
          </cell>
          <cell r="Z6">
            <v>0.71759419999999996</v>
          </cell>
          <cell r="AA6">
            <v>0.36671589999999998</v>
          </cell>
          <cell r="AB6">
            <v>8.0130599999999996E-2</v>
          </cell>
          <cell r="AC6">
            <v>7.4118151000000001</v>
          </cell>
          <cell r="AD6">
            <v>0.14961679999999999</v>
          </cell>
          <cell r="AE6">
            <v>2.40298E-2</v>
          </cell>
          <cell r="AF6">
            <v>3.5182999999999998E-3</v>
          </cell>
          <cell r="AG6">
            <v>2.6499999999999999E-4</v>
          </cell>
          <cell r="AH6">
            <v>7.7429999999999999E-3</v>
          </cell>
          <cell r="AI6">
            <v>5.7498706999999998</v>
          </cell>
          <cell r="AJ6">
            <v>4.8992201</v>
          </cell>
          <cell r="AK6">
            <v>4.4576017999999999</v>
          </cell>
          <cell r="AL6">
            <v>4.2243094000000001</v>
          </cell>
          <cell r="AM6">
            <v>4.1555616000000004</v>
          </cell>
          <cell r="AN6">
            <v>3.8154156000000001</v>
          </cell>
          <cell r="AO6">
            <v>3.5451624000000002</v>
          </cell>
          <cell r="AP6">
            <v>3.2984186000000002</v>
          </cell>
          <cell r="AQ6">
            <v>2.8354191000000002</v>
          </cell>
          <cell r="AR6">
            <v>2.6671725999999998</v>
          </cell>
          <cell r="AS6">
            <v>2.4854498</v>
          </cell>
          <cell r="AT6">
            <v>2.3561006999999998</v>
          </cell>
          <cell r="AU6">
            <v>2.2886582</v>
          </cell>
          <cell r="AV6">
            <v>2.1890526000000001</v>
          </cell>
          <cell r="AW6">
            <v>2.0720124000000002</v>
          </cell>
          <cell r="AX6">
            <v>1.9716073000000001</v>
          </cell>
          <cell r="AY6">
            <v>1.8577395999999999</v>
          </cell>
          <cell r="AZ6">
            <v>1.7591105</v>
          </cell>
          <cell r="BA6">
            <v>1.6528305000000001</v>
          </cell>
          <cell r="BB6">
            <v>1.5607306000000001</v>
          </cell>
          <cell r="BC6">
            <v>1.4463963</v>
          </cell>
          <cell r="BD6">
            <v>1.3154918</v>
          </cell>
          <cell r="BE6">
            <v>1.2561142000000001</v>
          </cell>
          <cell r="BF6">
            <v>1.2218547</v>
          </cell>
          <cell r="BG6">
            <v>1.1728076000000001</v>
          </cell>
          <cell r="BH6">
            <v>1.1312434</v>
          </cell>
          <cell r="BI6">
            <v>1.0720461999999999</v>
          </cell>
        </row>
        <row r="7">
          <cell r="A7" t="str">
            <v>e</v>
          </cell>
          <cell r="B7" t="str">
            <v>Maio</v>
          </cell>
          <cell r="C7" t="str">
            <v>MAI</v>
          </cell>
          <cell r="E7">
            <v>5.6915000000000004E-3</v>
          </cell>
          <cell r="F7">
            <v>4.1720999999999998E-3</v>
          </cell>
          <cell r="G7">
            <v>3.0494167999999999</v>
          </cell>
          <cell r="H7">
            <v>2.5095727000000001</v>
          </cell>
          <cell r="I7">
            <v>2.0064696999999998</v>
          </cell>
          <cell r="J7">
            <v>1.6917903999999999</v>
          </cell>
          <cell r="K7">
            <v>1.4322237</v>
          </cell>
          <cell r="L7">
            <v>1.1794914000000001</v>
          </cell>
          <cell r="M7">
            <v>1.0302028000000001</v>
          </cell>
          <cell r="N7">
            <v>0.89619170000000004</v>
          </cell>
          <cell r="O7">
            <v>0.66613599999999995</v>
          </cell>
          <cell r="P7">
            <v>0.52297819999999995</v>
          </cell>
          <cell r="Q7">
            <v>0.38047350000000002</v>
          </cell>
          <cell r="R7">
            <v>0.29012789999999999</v>
          </cell>
          <cell r="S7">
            <v>0.2097292</v>
          </cell>
          <cell r="T7">
            <v>0.13454099999999999</v>
          </cell>
          <cell r="U7">
            <v>8.1959699999999996E-2</v>
          </cell>
          <cell r="V7">
            <v>4.2949500000000002E-2</v>
          </cell>
          <cell r="W7">
            <v>1.9497299999999999E-2</v>
          </cell>
          <cell r="X7">
            <v>6.8424999999999996E-3</v>
          </cell>
          <cell r="Y7">
            <v>1.9959999999999999E-3</v>
          </cell>
          <cell r="Z7">
            <v>0.71203349999999999</v>
          </cell>
          <cell r="AA7">
            <v>0.30317189999999999</v>
          </cell>
          <cell r="AB7">
            <v>6.7178699999999994E-2</v>
          </cell>
          <cell r="AC7">
            <v>6.9071781999999997</v>
          </cell>
          <cell r="AD7">
            <v>0.1033265</v>
          </cell>
          <cell r="AE7">
            <v>2.2883299999999999E-2</v>
          </cell>
          <cell r="AF7">
            <v>2.9361000000000001E-3</v>
          </cell>
          <cell r="AG7">
            <v>2.0809999999999999E-4</v>
          </cell>
          <cell r="AH7">
            <v>5.4818000000000002E-3</v>
          </cell>
          <cell r="AI7">
            <v>5.7498706999999998</v>
          </cell>
          <cell r="AJ7">
            <v>4.8992201</v>
          </cell>
          <cell r="AK7">
            <v>4.4576017999999999</v>
          </cell>
          <cell r="AL7">
            <v>4.2243094000000001</v>
          </cell>
          <cell r="AM7">
            <v>4.1555616000000004</v>
          </cell>
          <cell r="AN7">
            <v>3.8154156000000001</v>
          </cell>
          <cell r="AO7">
            <v>3.5275248000000001</v>
          </cell>
          <cell r="AP7">
            <v>3.2728901000000001</v>
          </cell>
          <cell r="AQ7">
            <v>2.8034596999999999</v>
          </cell>
          <cell r="AR7">
            <v>2.6615833000000002</v>
          </cell>
          <cell r="AS7">
            <v>2.4671924999999999</v>
          </cell>
          <cell r="AT7">
            <v>2.3521021000000002</v>
          </cell>
          <cell r="AU7">
            <v>2.2836341999999998</v>
          </cell>
          <cell r="AV7">
            <v>2.1762130000000002</v>
          </cell>
          <cell r="AW7">
            <v>2.0645799999999999</v>
          </cell>
          <cell r="AX7">
            <v>1.9621888000000001</v>
          </cell>
          <cell r="AY7">
            <v>1.8435443</v>
          </cell>
          <cell r="AZ7">
            <v>1.7515787</v>
          </cell>
          <cell r="BA7">
            <v>1.6444439</v>
          </cell>
          <cell r="BB7">
            <v>1.5486511999999999</v>
          </cell>
          <cell r="BC7">
            <v>1.4310837000000001</v>
          </cell>
          <cell r="BD7">
            <v>1.3088168</v>
          </cell>
          <cell r="BE7">
            <v>1.2534818999999999</v>
          </cell>
          <cell r="BF7">
            <v>1.2192942</v>
          </cell>
          <cell r="BG7">
            <v>1.1644237</v>
          </cell>
          <cell r="BH7">
            <v>1.1313565000000001</v>
          </cell>
          <cell r="BI7">
            <v>1.0656523</v>
          </cell>
        </row>
        <row r="8">
          <cell r="A8" t="str">
            <v>f</v>
          </cell>
          <cell r="B8" t="str">
            <v>Junho</v>
          </cell>
          <cell r="C8" t="str">
            <v>JUN</v>
          </cell>
          <cell r="E8">
            <v>5.6915000000000004E-3</v>
          </cell>
          <cell r="F8">
            <v>3.9950999999999997E-3</v>
          </cell>
          <cell r="G8">
            <v>2.9955189999999998</v>
          </cell>
          <cell r="H8">
            <v>2.4444203</v>
          </cell>
          <cell r="I8">
            <v>1.9819624</v>
          </cell>
          <cell r="J8">
            <v>1.6761739</v>
          </cell>
          <cell r="K8">
            <v>1.4120702000000001</v>
          </cell>
          <cell r="L8">
            <v>1.1599378</v>
          </cell>
          <cell r="M8">
            <v>1.0172858</v>
          </cell>
          <cell r="N8">
            <v>0.87752750000000002</v>
          </cell>
          <cell r="O8">
            <v>0.65112190000000003</v>
          </cell>
          <cell r="P8">
            <v>0.50786379999999998</v>
          </cell>
          <cell r="Q8">
            <v>0.36861240000000001</v>
          </cell>
          <cell r="R8">
            <v>0.28154869999999999</v>
          </cell>
          <cell r="S8">
            <v>0.20200750000000001</v>
          </cell>
          <cell r="T8">
            <v>0.1301177</v>
          </cell>
          <cell r="U8">
            <v>7.7320600000000003E-2</v>
          </cell>
          <cell r="V8">
            <v>4.0710499999999997E-2</v>
          </cell>
          <cell r="W8">
            <v>1.8053099999999999E-2</v>
          </cell>
          <cell r="X8">
            <v>6.2832000000000001E-3</v>
          </cell>
          <cell r="Y8">
            <v>1.8144999999999999E-3</v>
          </cell>
          <cell r="Z8">
            <v>0.70219969999999998</v>
          </cell>
          <cell r="AA8">
            <v>0.24559919999999999</v>
          </cell>
          <cell r="AB8">
            <v>5.7037400000000002E-2</v>
          </cell>
          <cell r="AC8">
            <v>6.2828366000000004</v>
          </cell>
          <cell r="AD8">
            <v>9.5787999999999998E-2</v>
          </cell>
          <cell r="AE8">
            <v>2.1450400000000001E-2</v>
          </cell>
          <cell r="AF8">
            <v>2.3784000000000001E-3</v>
          </cell>
          <cell r="AG8">
            <v>1.616E-4</v>
          </cell>
          <cell r="AH8">
            <v>3.8013000000000001E-3</v>
          </cell>
          <cell r="AI8">
            <v>5.7498706999999998</v>
          </cell>
          <cell r="AJ8">
            <v>4.8992201</v>
          </cell>
          <cell r="AK8">
            <v>4.4576017999999999</v>
          </cell>
          <cell r="AL8">
            <v>4.2243094000000001</v>
          </cell>
          <cell r="AM8">
            <v>4.1555616000000004</v>
          </cell>
          <cell r="AN8">
            <v>3.8154156000000001</v>
          </cell>
          <cell r="AO8">
            <v>3.5103241999999999</v>
          </cell>
          <cell r="AP8">
            <v>3.2592013999999998</v>
          </cell>
          <cell r="AQ8">
            <v>2.7798311</v>
          </cell>
          <cell r="AR8">
            <v>2.6472878999999998</v>
          </cell>
          <cell r="AS8">
            <v>2.4468833999999999</v>
          </cell>
          <cell r="AT8">
            <v>2.3457685000000001</v>
          </cell>
          <cell r="AU8">
            <v>2.2777121</v>
          </cell>
          <cell r="AV8">
            <v>2.1640940999999998</v>
          </cell>
          <cell r="AW8">
            <v>2.0524703999999998</v>
          </cell>
          <cell r="AX8">
            <v>1.9499044000000001</v>
          </cell>
          <cell r="AY8">
            <v>1.8307291999999999</v>
          </cell>
          <cell r="AZ8">
            <v>1.742691</v>
          </cell>
          <cell r="BA8">
            <v>1.6369141</v>
          </cell>
          <cell r="BB8">
            <v>1.5397208</v>
          </cell>
          <cell r="BC8">
            <v>1.4225483999999999</v>
          </cell>
          <cell r="BD8">
            <v>1.2976569</v>
          </cell>
          <cell r="BE8">
            <v>1.2504807</v>
          </cell>
          <cell r="BF8">
            <v>1.2175895000000001</v>
          </cell>
          <cell r="BG8">
            <v>1.1603625</v>
          </cell>
          <cell r="BH8">
            <v>1.1380711999999999</v>
          </cell>
          <cell r="BI8">
            <v>1.0609839999999999</v>
          </cell>
        </row>
        <row r="9">
          <cell r="A9" t="str">
            <v>g</v>
          </cell>
          <cell r="B9" t="str">
            <v>Julho</v>
          </cell>
          <cell r="C9" t="str">
            <v>JUL</v>
          </cell>
          <cell r="E9">
            <v>5.0175000000000003E-3</v>
          </cell>
          <cell r="F9">
            <v>3.8381999999999999E-3</v>
          </cell>
          <cell r="G9">
            <v>2.9131364999999998</v>
          </cell>
          <cell r="H9">
            <v>2.3766254999999998</v>
          </cell>
          <cell r="I9">
            <v>1.9555362000000001</v>
          </cell>
          <cell r="J9">
            <v>1.6507772999999999</v>
          </cell>
          <cell r="K9">
            <v>1.3846388999999999</v>
          </cell>
          <cell r="L9">
            <v>1.1394877000000001</v>
          </cell>
          <cell r="M9">
            <v>1.0061465999999999</v>
          </cell>
          <cell r="N9">
            <v>0.84928630000000005</v>
          </cell>
          <cell r="O9">
            <v>0.63943919999999999</v>
          </cell>
          <cell r="P9">
            <v>0.49331120000000001</v>
          </cell>
          <cell r="Q9">
            <v>0.35671619999999998</v>
          </cell>
          <cell r="R9">
            <v>0.27331529999999998</v>
          </cell>
          <cell r="S9">
            <v>0.1955035</v>
          </cell>
          <cell r="T9">
            <v>0.12608230000000001</v>
          </cell>
          <cell r="U9">
            <v>7.2943999999999995E-2</v>
          </cell>
          <cell r="V9">
            <v>3.85881E-2</v>
          </cell>
          <cell r="W9">
            <v>1.6746799999999999E-2</v>
          </cell>
          <cell r="X9">
            <v>5.7539000000000002E-3</v>
          </cell>
          <cell r="Y9">
            <v>1.6615E-3</v>
          </cell>
          <cell r="Z9">
            <v>0.69338949999999999</v>
          </cell>
          <cell r="AA9">
            <v>0.20809820000000001</v>
          </cell>
          <cell r="AB9">
            <v>4.7718099999999999E-2</v>
          </cell>
          <cell r="AC9">
            <v>5.0329457</v>
          </cell>
          <cell r="AD9">
            <v>8.7437699999999993E-2</v>
          </cell>
          <cell r="AE9">
            <v>1.9354400000000001E-2</v>
          </cell>
          <cell r="AF9">
            <v>1.9294E-3</v>
          </cell>
          <cell r="AG9">
            <v>1.2400000000000001E-4</v>
          </cell>
          <cell r="AH9">
            <v>7.2267421000000001</v>
          </cell>
          <cell r="AI9">
            <v>5.3675088999999998</v>
          </cell>
          <cell r="AJ9">
            <v>4.5891079000000001</v>
          </cell>
          <cell r="AK9">
            <v>4.4576017999999999</v>
          </cell>
          <cell r="AL9">
            <v>4.2243094000000001</v>
          </cell>
          <cell r="AM9">
            <v>4.1555616000000004</v>
          </cell>
          <cell r="AN9">
            <v>3.8154156000000001</v>
          </cell>
          <cell r="AO9">
            <v>3.4970355</v>
          </cell>
          <cell r="AP9">
            <v>3.2484814000000002</v>
          </cell>
          <cell r="AQ9">
            <v>2.7737289000000001</v>
          </cell>
          <cell r="AR9">
            <v>2.6325457000000001</v>
          </cell>
          <cell r="AS9">
            <v>2.4439506999999998</v>
          </cell>
          <cell r="AT9">
            <v>2.3492924999999998</v>
          </cell>
          <cell r="AU9">
            <v>2.2711258999999999</v>
          </cell>
          <cell r="AV9">
            <v>2.1447908999999998</v>
          </cell>
          <cell r="AW9">
            <v>2.0447004999999998</v>
          </cell>
          <cell r="AX9">
            <v>1.9462066</v>
          </cell>
          <cell r="AY9">
            <v>1.8265282</v>
          </cell>
          <cell r="AZ9">
            <v>1.7395598000000001</v>
          </cell>
          <cell r="BA9">
            <v>1.6307174</v>
          </cell>
          <cell r="BB9">
            <v>1.532518</v>
          </cell>
          <cell r="BC9">
            <v>1.4086031999999999</v>
          </cell>
          <cell r="BD9">
            <v>1.2924869999999999</v>
          </cell>
          <cell r="BE9">
            <v>1.2484831000000001</v>
          </cell>
          <cell r="BF9">
            <v>1.2042227000000001</v>
          </cell>
          <cell r="BG9">
            <v>1.1596667000000001</v>
          </cell>
          <cell r="BH9">
            <v>1.1378436000000001</v>
          </cell>
          <cell r="BI9">
            <v>1.0522503000000001</v>
          </cell>
        </row>
        <row r="10">
          <cell r="A10" t="str">
            <v>h</v>
          </cell>
          <cell r="B10" t="str">
            <v>Agosto</v>
          </cell>
          <cell r="C10" t="str">
            <v>AGO</v>
          </cell>
          <cell r="E10">
            <v>5.0175000000000003E-3</v>
          </cell>
          <cell r="F10">
            <v>3.7330000000000002E-3</v>
          </cell>
          <cell r="G10">
            <v>2.8415020000000002</v>
          </cell>
          <cell r="H10">
            <v>2.3244715999999999</v>
          </cell>
          <cell r="I10">
            <v>1.942091</v>
          </cell>
          <cell r="J10">
            <v>1.6362565</v>
          </cell>
          <cell r="K10">
            <v>1.3575278</v>
          </cell>
          <cell r="L10">
            <v>1.1233747999999999</v>
          </cell>
          <cell r="M10">
            <v>0.99720070000000005</v>
          </cell>
          <cell r="N10">
            <v>0.81350310000000003</v>
          </cell>
          <cell r="O10">
            <v>0.62868610000000003</v>
          </cell>
          <cell r="P10">
            <v>0.48102119999999998</v>
          </cell>
          <cell r="Q10">
            <v>0.3474371</v>
          </cell>
          <cell r="R10">
            <v>0.26519890000000002</v>
          </cell>
          <cell r="S10">
            <v>0.190327</v>
          </cell>
          <cell r="T10">
            <v>0.12217210000000001</v>
          </cell>
          <cell r="U10">
            <v>6.8815299999999996E-2</v>
          </cell>
          <cell r="V10">
            <v>3.6403999999999999E-2</v>
          </cell>
          <cell r="W10">
            <v>1.53641E-2</v>
          </cell>
          <cell r="X10">
            <v>5.2166000000000001E-3</v>
          </cell>
          <cell r="Y10">
            <v>1.5439E-3</v>
          </cell>
          <cell r="Z10">
            <v>0.68522830000000001</v>
          </cell>
          <cell r="AA10">
            <v>0.20193800000000001</v>
          </cell>
          <cell r="AB10">
            <v>3.8469999999999997E-2</v>
          </cell>
          <cell r="AC10">
            <v>3.9086105</v>
          </cell>
          <cell r="AD10">
            <v>7.7433299999999997E-2</v>
          </cell>
          <cell r="AE10">
            <v>1.7259099999999999E-2</v>
          </cell>
          <cell r="AF10">
            <v>1.5943999999999999E-3</v>
          </cell>
          <cell r="AG10">
            <v>9.4881599999999996E-2</v>
          </cell>
          <cell r="AH10">
            <v>6.8685226000000004</v>
          </cell>
          <cell r="AI10">
            <v>5.3675088999999998</v>
          </cell>
          <cell r="AJ10">
            <v>4.5891079000000001</v>
          </cell>
          <cell r="AK10">
            <v>4.4576017999999999</v>
          </cell>
          <cell r="AL10">
            <v>4.2243094000000001</v>
          </cell>
          <cell r="AM10">
            <v>4.1555616000000004</v>
          </cell>
          <cell r="AN10">
            <v>3.8154156000000001</v>
          </cell>
          <cell r="AO10">
            <v>3.4644694999999999</v>
          </cell>
          <cell r="AP10">
            <v>3.2236593</v>
          </cell>
          <cell r="AQ10">
            <v>2.7787305999999998</v>
          </cell>
          <cell r="AR10">
            <v>2.6082885999999998</v>
          </cell>
          <cell r="AS10">
            <v>2.4412653</v>
          </cell>
          <cell r="AT10">
            <v>2.3497623999999999</v>
          </cell>
          <cell r="AU10">
            <v>2.2656882</v>
          </cell>
          <cell r="AV10">
            <v>2.1313634000000001</v>
          </cell>
          <cell r="AW10">
            <v>2.0402121000000002</v>
          </cell>
          <cell r="AX10">
            <v>1.9479598</v>
          </cell>
          <cell r="AY10">
            <v>1.8247035</v>
          </cell>
          <cell r="AZ10">
            <v>1.7338381</v>
          </cell>
          <cell r="BA10">
            <v>1.6295766</v>
          </cell>
          <cell r="BB10">
            <v>1.5299171</v>
          </cell>
          <cell r="BC10">
            <v>1.4003412</v>
          </cell>
          <cell r="BD10">
            <v>1.2855451</v>
          </cell>
          <cell r="BE10">
            <v>1.2507344</v>
          </cell>
          <cell r="BF10">
            <v>1.1965646000000001</v>
          </cell>
          <cell r="BG10">
            <v>1.1586239</v>
          </cell>
          <cell r="BH10">
            <v>1.1344403000000001</v>
          </cell>
          <cell r="BI10">
            <v>1.0447282</v>
          </cell>
        </row>
        <row r="11">
          <cell r="A11" t="str">
            <v>i</v>
          </cell>
          <cell r="B11" t="str">
            <v>Setembro</v>
          </cell>
          <cell r="C11" t="str">
            <v>SET</v>
          </cell>
          <cell r="E11">
            <v>4.8577000000000004E-3</v>
          </cell>
          <cell r="F11">
            <v>3.63E-3</v>
          </cell>
          <cell r="G11">
            <v>2.7987491000000002</v>
          </cell>
          <cell r="H11">
            <v>2.2827270999999998</v>
          </cell>
          <cell r="I11">
            <v>1.9278542000000001</v>
          </cell>
          <cell r="J11">
            <v>1.6209545999999999</v>
          </cell>
          <cell r="K11">
            <v>1.329601</v>
          </cell>
          <cell r="L11">
            <v>1.1140215</v>
          </cell>
          <cell r="M11">
            <v>0.98892519999999995</v>
          </cell>
          <cell r="N11">
            <v>0.77648050000000002</v>
          </cell>
          <cell r="O11">
            <v>0.61904150000000002</v>
          </cell>
          <cell r="P11">
            <v>0.46797519999999998</v>
          </cell>
          <cell r="Q11">
            <v>0.34045760000000003</v>
          </cell>
          <cell r="R11">
            <v>0.25802999999999998</v>
          </cell>
          <cell r="S11">
            <v>0.18500369999999999</v>
          </cell>
          <cell r="T11">
            <v>0.1183831</v>
          </cell>
          <cell r="U11">
            <v>6.5042799999999998E-2</v>
          </cell>
          <cell r="V11">
            <v>3.4022400000000001E-2</v>
          </cell>
          <cell r="W11">
            <v>1.41604E-2</v>
          </cell>
          <cell r="X11">
            <v>4.7165999999999996E-3</v>
          </cell>
          <cell r="Y11">
            <v>1.4272E-3</v>
          </cell>
          <cell r="Z11">
            <v>0.67390570000000005</v>
          </cell>
          <cell r="AA11">
            <v>0.18986259999999999</v>
          </cell>
          <cell r="AB11">
            <v>3.1882899999999999E-2</v>
          </cell>
          <cell r="AC11">
            <v>3.0220826000000001</v>
          </cell>
          <cell r="AD11">
            <v>6.9118399999999997E-2</v>
          </cell>
          <cell r="AE11">
            <v>1.49274E-2</v>
          </cell>
          <cell r="AF11">
            <v>1.2948E-3</v>
          </cell>
          <cell r="AG11">
            <v>7.1883600000000006E-2</v>
          </cell>
          <cell r="AH11">
            <v>6.5409759000000003</v>
          </cell>
          <cell r="AI11">
            <v>5.3675088999999998</v>
          </cell>
          <cell r="AJ11">
            <v>4.5891079000000001</v>
          </cell>
          <cell r="AK11">
            <v>4.4576017999999999</v>
          </cell>
          <cell r="AL11">
            <v>4.2243094000000001</v>
          </cell>
          <cell r="AM11">
            <v>4.1555616000000004</v>
          </cell>
          <cell r="AN11">
            <v>3.8154156000000001</v>
          </cell>
          <cell r="AO11">
            <v>3.4240655000000002</v>
          </cell>
          <cell r="AP11">
            <v>3.1917418</v>
          </cell>
          <cell r="AQ11">
            <v>2.7712482999999999</v>
          </cell>
          <cell r="AR11">
            <v>2.5878445999999999</v>
          </cell>
          <cell r="AS11">
            <v>2.4344488000000002</v>
          </cell>
          <cell r="AT11">
            <v>2.3453062999999998</v>
          </cell>
          <cell r="AU11">
            <v>2.2562120999999999</v>
          </cell>
          <cell r="AV11">
            <v>2.1239295999999999</v>
          </cell>
          <cell r="AW11">
            <v>2.0355303</v>
          </cell>
          <cell r="AX11">
            <v>1.9489342999999999</v>
          </cell>
          <cell r="AY11">
            <v>1.8197901000000001</v>
          </cell>
          <cell r="AZ11">
            <v>1.7271023999999999</v>
          </cell>
          <cell r="BA11">
            <v>1.6269735000000001</v>
          </cell>
          <cell r="BB11">
            <v>1.5277782</v>
          </cell>
          <cell r="BC11">
            <v>1.3943455</v>
          </cell>
          <cell r="BD11">
            <v>1.2797860000000001</v>
          </cell>
          <cell r="BE11">
            <v>1.2463721000000001</v>
          </cell>
          <cell r="BF11">
            <v>1.1950111000000001</v>
          </cell>
          <cell r="BG11">
            <v>1.1576978</v>
          </cell>
          <cell r="BH11">
            <v>1.1318371</v>
          </cell>
          <cell r="BI11">
            <v>1.0355122000000001</v>
          </cell>
        </row>
        <row r="12">
          <cell r="A12" t="str">
            <v>j</v>
          </cell>
          <cell r="B12" t="str">
            <v>Outubro</v>
          </cell>
          <cell r="C12" t="str">
            <v>OUT</v>
          </cell>
          <cell r="D12">
            <v>7.6265999999999999E-3</v>
          </cell>
          <cell r="E12">
            <v>4.7965999999999998E-3</v>
          </cell>
          <cell r="F12">
            <v>3.5292000000000001E-3</v>
          </cell>
          <cell r="G12">
            <v>2.7854606999999998</v>
          </cell>
          <cell r="H12">
            <v>2.2510599999999998</v>
          </cell>
          <cell r="I12">
            <v>1.9104688000000001</v>
          </cell>
          <cell r="J12">
            <v>1.6018885</v>
          </cell>
          <cell r="K12">
            <v>1.3012440000000001</v>
          </cell>
          <cell r="L12">
            <v>1.1061046000000001</v>
          </cell>
          <cell r="M12">
            <v>0.97940050000000001</v>
          </cell>
          <cell r="N12">
            <v>0.74843879999999996</v>
          </cell>
          <cell r="O12">
            <v>0.60672959999999998</v>
          </cell>
          <cell r="P12">
            <v>0.45307380000000003</v>
          </cell>
          <cell r="Q12">
            <v>0.33575129999999997</v>
          </cell>
          <cell r="R12">
            <v>0.25146200000000002</v>
          </cell>
          <cell r="S12">
            <v>0.17785889999999999</v>
          </cell>
          <cell r="T12">
            <v>0.1149345</v>
          </cell>
          <cell r="U12">
            <v>6.1534999999999999E-2</v>
          </cell>
          <cell r="V12">
            <v>3.1796699999999997E-2</v>
          </cell>
          <cell r="W12">
            <v>1.29319E-2</v>
          </cell>
          <cell r="X12">
            <v>4.2684000000000003E-3</v>
          </cell>
          <cell r="Y12">
            <v>1.3082E-3</v>
          </cell>
          <cell r="Z12">
            <v>0.66249060000000004</v>
          </cell>
          <cell r="AA12">
            <v>0.17965629999999999</v>
          </cell>
          <cell r="AB12">
            <v>2.571E-2</v>
          </cell>
          <cell r="AC12">
            <v>2.2229176000000002</v>
          </cell>
          <cell r="AD12">
            <v>6.1296900000000001E-2</v>
          </cell>
          <cell r="AE12">
            <v>1.29108E-2</v>
          </cell>
          <cell r="AF12">
            <v>1.0499000000000001E-3</v>
          </cell>
          <cell r="AG12">
            <v>5.3491200000000003E-2</v>
          </cell>
          <cell r="AH12">
            <v>6.4362456000000003</v>
          </cell>
          <cell r="AI12">
            <v>5.1056132999999999</v>
          </cell>
          <cell r="AJ12">
            <v>4.5891079000000001</v>
          </cell>
          <cell r="AK12">
            <v>4.4576017999999999</v>
          </cell>
          <cell r="AL12">
            <v>4.2243094000000001</v>
          </cell>
          <cell r="AM12">
            <v>4.1555616000000004</v>
          </cell>
          <cell r="AN12">
            <v>3.8154156000000001</v>
          </cell>
          <cell r="AO12">
            <v>3.4111033000000002</v>
          </cell>
          <cell r="AP12">
            <v>3.172075</v>
          </cell>
          <cell r="AQ12">
            <v>2.7555417000000002</v>
          </cell>
          <cell r="AR12">
            <v>2.5752259999999998</v>
          </cell>
          <cell r="AS12">
            <v>2.4305599</v>
          </cell>
          <cell r="AT12">
            <v>2.3441342999999999</v>
          </cell>
          <cell r="AU12">
            <v>2.2496879999999999</v>
          </cell>
          <cell r="AV12">
            <v>2.1184216999999999</v>
          </cell>
          <cell r="AW12">
            <v>2.0316702000000002</v>
          </cell>
          <cell r="AX12">
            <v>1.9429111999999999</v>
          </cell>
          <cell r="AY12">
            <v>1.8101961</v>
          </cell>
          <cell r="AZ12">
            <v>1.7188519</v>
          </cell>
          <cell r="BA12">
            <v>1.6225925000000001</v>
          </cell>
          <cell r="BB12">
            <v>1.5218430000000001</v>
          </cell>
          <cell r="BC12">
            <v>1.3889286999999999</v>
          </cell>
          <cell r="BD12">
            <v>1.2768493000000001</v>
          </cell>
          <cell r="BE12">
            <v>1.2450026000000001</v>
          </cell>
          <cell r="BF12">
            <v>1.1939366</v>
          </cell>
          <cell r="BG12">
            <v>1.1566567999999999</v>
          </cell>
          <cell r="BH12">
            <v>1.1267666000000001</v>
          </cell>
          <cell r="BI12">
            <v>1.0238404000000001</v>
          </cell>
        </row>
        <row r="13">
          <cell r="A13" t="str">
            <v>k</v>
          </cell>
          <cell r="B13" t="str">
            <v>Novembro</v>
          </cell>
          <cell r="C13" t="str">
            <v>NOV</v>
          </cell>
          <cell r="D13">
            <v>7.6265999999999999E-3</v>
          </cell>
          <cell r="E13">
            <v>4.7517999999999996E-3</v>
          </cell>
          <cell r="F13">
            <v>3.4385000000000002E-3</v>
          </cell>
          <cell r="G13">
            <v>2.7662645000000001</v>
          </cell>
          <cell r="H13">
            <v>2.2176770000000001</v>
          </cell>
          <cell r="I13">
            <v>1.8798598</v>
          </cell>
          <cell r="J13">
            <v>1.5721689000000001</v>
          </cell>
          <cell r="K13">
            <v>1.275563</v>
          </cell>
          <cell r="L13">
            <v>1.0956172</v>
          </cell>
          <cell r="M13">
            <v>0.97277950000000002</v>
          </cell>
          <cell r="N13">
            <v>0.73262159999999998</v>
          </cell>
          <cell r="O13">
            <v>0.59383249999999999</v>
          </cell>
          <cell r="P13">
            <v>0.43730449999999998</v>
          </cell>
          <cell r="Q13">
            <v>0.33115899999999998</v>
          </cell>
          <cell r="R13">
            <v>0.24563080000000001</v>
          </cell>
          <cell r="S13">
            <v>0.17005799999999999</v>
          </cell>
          <cell r="T13">
            <v>0.1113712</v>
          </cell>
          <cell r="U13">
            <v>5.8216499999999997E-2</v>
          </cell>
          <cell r="V13">
            <v>2.97165E-2</v>
          </cell>
          <cell r="W13">
            <v>1.1788399999999999E-2</v>
          </cell>
          <cell r="X13">
            <v>3.7908E-3</v>
          </cell>
          <cell r="Y13">
            <v>1.2001E-3</v>
          </cell>
          <cell r="Z13">
            <v>0.65012289999999995</v>
          </cell>
          <cell r="AA13">
            <v>0.16455059999999999</v>
          </cell>
          <cell r="AB13">
            <v>2.0204300000000001E-2</v>
          </cell>
          <cell r="AC13">
            <v>1.6152449</v>
          </cell>
          <cell r="AD13">
            <v>5.3675E-2</v>
          </cell>
          <cell r="AE13">
            <v>1.0663000000000001E-2</v>
          </cell>
          <cell r="AF13">
            <v>8.3670000000000001E-4</v>
          </cell>
          <cell r="AG13">
            <v>3.95748E-2</v>
          </cell>
          <cell r="AH13">
            <v>6.3160917000000003</v>
          </cell>
          <cell r="AI13">
            <v>5.1056132999999999</v>
          </cell>
          <cell r="AJ13">
            <v>4.5891079000000001</v>
          </cell>
          <cell r="AK13">
            <v>4.4576017999999999</v>
          </cell>
          <cell r="AL13">
            <v>4.2243094000000001</v>
          </cell>
          <cell r="AM13">
            <v>4.1555616000000004</v>
          </cell>
          <cell r="AN13">
            <v>3.8154156000000001</v>
          </cell>
          <cell r="AO13">
            <v>3.3985287999999998</v>
          </cell>
          <cell r="AP13">
            <v>3.1437808999999999</v>
          </cell>
          <cell r="AQ13">
            <v>2.7374743000000001</v>
          </cell>
          <cell r="AR13">
            <v>2.5670115999999998</v>
          </cell>
          <cell r="AS13">
            <v>2.4170246</v>
          </cell>
          <cell r="AT13">
            <v>2.3373558999999999</v>
          </cell>
          <cell r="AU13">
            <v>2.2443016999999998</v>
          </cell>
          <cell r="AV13">
            <v>2.1120853999999998</v>
          </cell>
          <cell r="AW13">
            <v>2.0280197000000002</v>
          </cell>
          <cell r="AX13">
            <v>1.9309394</v>
          </cell>
          <cell r="AY13">
            <v>1.8026249999999999</v>
          </cell>
          <cell r="AZ13">
            <v>1.7077515000000001</v>
          </cell>
          <cell r="BA13">
            <v>1.6148412999999999</v>
          </cell>
          <cell r="BB13">
            <v>1.5145731</v>
          </cell>
          <cell r="BC13">
            <v>1.3798219</v>
          </cell>
          <cell r="BD13">
            <v>1.2744279000000001</v>
          </cell>
          <cell r="BE13">
            <v>1.2407840000000001</v>
          </cell>
          <cell r="BF13">
            <v>1.1870517</v>
          </cell>
          <cell r="BG13">
            <v>1.1556166999999999</v>
          </cell>
          <cell r="BH13">
            <v>1.1162736</v>
          </cell>
          <cell r="BI13">
            <v>1.0117</v>
          </cell>
        </row>
        <row r="14">
          <cell r="A14" t="str">
            <v>l</v>
          </cell>
          <cell r="B14" t="str">
            <v>Dezembro</v>
          </cell>
          <cell r="C14" t="str">
            <v>DEZ</v>
          </cell>
          <cell r="D14">
            <v>7.6265999999999999E-3</v>
          </cell>
          <cell r="E14">
            <v>4.6788999999999997E-3</v>
          </cell>
          <cell r="F14">
            <v>3.3612E-3</v>
          </cell>
          <cell r="G14">
            <v>2.7276793000000001</v>
          </cell>
          <cell r="H14">
            <v>2.1821434000000002</v>
          </cell>
          <cell r="I14">
            <v>1.8412823</v>
          </cell>
          <cell r="J14">
            <v>1.5394814999999999</v>
          </cell>
          <cell r="K14">
            <v>1.2549927999999999</v>
          </cell>
          <cell r="L14">
            <v>1.0884246</v>
          </cell>
          <cell r="M14">
            <v>0.96453670000000002</v>
          </cell>
          <cell r="N14">
            <v>0.72351690000000002</v>
          </cell>
          <cell r="O14">
            <v>0.58249379999999995</v>
          </cell>
          <cell r="P14">
            <v>0.4244541</v>
          </cell>
          <cell r="Q14">
            <v>0.3262852</v>
          </cell>
          <cell r="R14">
            <v>0.2394985</v>
          </cell>
          <cell r="S14">
            <v>0.16271450000000001</v>
          </cell>
          <cell r="T14">
            <v>0.1079184</v>
          </cell>
          <cell r="U14">
            <v>5.5181599999999997E-2</v>
          </cell>
          <cell r="V14">
            <v>2.7902799999999998E-2</v>
          </cell>
          <cell r="W14">
            <v>1.08749E-2</v>
          </cell>
          <cell r="X14">
            <v>3.4493000000000002E-3</v>
          </cell>
          <cell r="Y14">
            <v>1.08E-3</v>
          </cell>
          <cell r="Z14">
            <v>0.62941250000000004</v>
          </cell>
          <cell r="AA14">
            <v>0.1458267</v>
          </cell>
          <cell r="AB14">
            <v>1.59189E-2</v>
          </cell>
          <cell r="AC14">
            <v>1.1421577999999999</v>
          </cell>
          <cell r="AD14">
            <v>4.64397E-2</v>
          </cell>
          <cell r="AE14">
            <v>8.4305999999999999E-3</v>
          </cell>
          <cell r="AF14">
            <v>6.7639999999999996E-4</v>
          </cell>
          <cell r="AG14">
            <v>2.9555100000000001E-2</v>
          </cell>
          <cell r="AH14">
            <v>6.1347592999999998</v>
          </cell>
          <cell r="AI14">
            <v>5.1056132999999999</v>
          </cell>
          <cell r="AJ14">
            <v>4.5891079000000001</v>
          </cell>
          <cell r="AK14">
            <v>4.4576017999999999</v>
          </cell>
          <cell r="AL14">
            <v>4.2243094000000001</v>
          </cell>
          <cell r="AM14">
            <v>4.1555616000000004</v>
          </cell>
          <cell r="AN14">
            <v>3.8154156000000001</v>
          </cell>
          <cell r="AO14">
            <v>3.3652131999999999</v>
          </cell>
          <cell r="AP14">
            <v>3.0797227</v>
          </cell>
          <cell r="AQ14">
            <v>2.7328285000000001</v>
          </cell>
          <cell r="AR14">
            <v>2.5509406999999999</v>
          </cell>
          <cell r="AS14">
            <v>2.3983177000000002</v>
          </cell>
          <cell r="AT14">
            <v>2.3287396</v>
          </cell>
          <cell r="AU14">
            <v>2.2391516</v>
          </cell>
          <cell r="AV14">
            <v>2.1017866999999999</v>
          </cell>
          <cell r="AW14">
            <v>2.0191355</v>
          </cell>
          <cell r="AX14">
            <v>1.9144749000000001</v>
          </cell>
          <cell r="AY14">
            <v>1.7943709000000001</v>
          </cell>
          <cell r="AZ14">
            <v>1.6985792</v>
          </cell>
          <cell r="BA14">
            <v>1.6056888</v>
          </cell>
          <cell r="BB14">
            <v>1.5088394999999999</v>
          </cell>
          <cell r="BC14">
            <v>1.3681922</v>
          </cell>
          <cell r="BD14">
            <v>1.2711228999999999</v>
          </cell>
          <cell r="BE14">
            <v>1.2368261</v>
          </cell>
          <cell r="BF14">
            <v>1.1848006</v>
          </cell>
          <cell r="BG14">
            <v>1.1540010999999999</v>
          </cell>
          <cell r="BH14">
            <v>1.1073044999999999</v>
          </cell>
          <cell r="BI14">
            <v>1</v>
          </cell>
        </row>
        <row r="17">
          <cell r="C17" t="str">
            <v># MENU</v>
          </cell>
        </row>
      </sheetData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>
            <v>0.247256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>
            <v>0</v>
          </cell>
        </row>
      </sheetData>
      <sheetData sheetId="5">
        <row r="8">
          <cell r="P8">
            <v>36.200000000000003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I151"/>
  <sheetViews>
    <sheetView tabSelected="1" zoomScale="55" zoomScaleNormal="55" zoomScaleSheetLayoutView="70" workbookViewId="0">
      <selection activeCell="B1" sqref="B1"/>
    </sheetView>
  </sheetViews>
  <sheetFormatPr defaultColWidth="12.28515625" defaultRowHeight="15.6" customHeight="1"/>
  <cols>
    <col min="1" max="2" width="12.28515625" style="6"/>
    <col min="3" max="3" width="3" style="6" customWidth="1"/>
    <col min="4" max="4" width="33.5703125" style="202" customWidth="1"/>
    <col min="5" max="5" width="37.140625" style="202" customWidth="1"/>
    <col min="6" max="6" width="30.140625" style="202" customWidth="1"/>
    <col min="7" max="7" width="37.42578125" style="202" customWidth="1"/>
    <col min="8" max="8" width="30.85546875" style="202" customWidth="1"/>
    <col min="9" max="9" width="38.5703125" style="202" bestFit="1" customWidth="1"/>
    <col min="10" max="10" width="38.7109375" style="202" bestFit="1" customWidth="1"/>
    <col min="11" max="11" width="33.140625" style="6" bestFit="1" customWidth="1"/>
    <col min="12" max="12" width="38.5703125" style="7" bestFit="1" customWidth="1"/>
    <col min="13" max="13" width="27.85546875" style="201" bestFit="1" customWidth="1"/>
    <col min="14" max="14" width="24.28515625" style="201" bestFit="1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24.28515625" style="6" bestFit="1" customWidth="1"/>
    <col min="21" max="21" width="45.5703125" style="6" customWidth="1"/>
    <col min="22" max="22" width="86.28515625" style="6" bestFit="1" customWidth="1"/>
    <col min="23" max="23" width="35.5703125" style="6" bestFit="1" customWidth="1"/>
    <col min="24" max="24" width="24.140625" style="6" bestFit="1" customWidth="1"/>
    <col min="25" max="25" width="11.7109375" style="6" customWidth="1"/>
    <col min="26" max="26" width="0.5703125" style="6" customWidth="1"/>
    <col min="27" max="27" width="24.42578125" style="6" customWidth="1"/>
    <col min="28" max="28" width="11" style="6" customWidth="1"/>
    <col min="29" max="29" width="11.28515625" style="6" bestFit="1" customWidth="1"/>
    <col min="30" max="30" width="40.28515625" style="6" bestFit="1" customWidth="1"/>
    <col min="31" max="31" width="16.7109375" style="6" bestFit="1" customWidth="1"/>
    <col min="32" max="32" width="10.5703125" style="6" bestFit="1" customWidth="1"/>
    <col min="33" max="33" width="6.85546875" style="6" bestFit="1" customWidth="1"/>
    <col min="34" max="257" width="11.85546875" style="6" customWidth="1"/>
    <col min="258" max="16384" width="12.28515625" style="6"/>
  </cols>
  <sheetData>
    <row r="1" spans="1:35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5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5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9" t="s">
        <v>0</v>
      </c>
      <c r="R3" s="5"/>
      <c r="S3" s="5"/>
      <c r="T3" s="5"/>
      <c r="U3" s="5"/>
      <c r="V3" s="5"/>
      <c r="W3" s="5"/>
      <c r="X3" s="5"/>
      <c r="Y3" s="5"/>
      <c r="AI3" s="7"/>
    </row>
    <row r="4" spans="1:35" ht="17.100000000000001" customHeight="1">
      <c r="A4" s="1"/>
      <c r="B4" s="1"/>
      <c r="C4" s="231" t="s">
        <v>1</v>
      </c>
      <c r="D4" s="231"/>
      <c r="E4" s="231"/>
      <c r="F4" s="231"/>
      <c r="G4" s="231"/>
      <c r="H4" s="231"/>
      <c r="I4" s="231"/>
      <c r="J4" s="231"/>
      <c r="K4" s="231"/>
      <c r="L4" s="231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5" ht="23.25">
      <c r="A5" s="1"/>
      <c r="B5" s="1"/>
      <c r="C5" s="231" t="s">
        <v>2</v>
      </c>
      <c r="D5" s="231"/>
      <c r="E5" s="231"/>
      <c r="F5" s="231"/>
      <c r="G5" s="231"/>
      <c r="H5" s="231"/>
      <c r="I5" s="231"/>
      <c r="J5" s="231"/>
      <c r="K5" s="231"/>
      <c r="L5" s="231"/>
      <c r="M5" s="8"/>
      <c r="N5" s="4"/>
      <c r="O5" s="1"/>
      <c r="P5" s="5"/>
      <c r="Q5" s="5"/>
      <c r="R5" s="10"/>
      <c r="S5" s="5"/>
      <c r="T5" s="5"/>
      <c r="U5" s="5"/>
      <c r="V5" s="5"/>
      <c r="W5" s="5"/>
      <c r="X5" s="5"/>
      <c r="Y5" s="5"/>
      <c r="AI5" s="7"/>
    </row>
    <row r="6" spans="1:35" ht="24.75" customHeight="1">
      <c r="A6" s="1"/>
      <c r="B6" s="1"/>
      <c r="C6" s="11"/>
      <c r="D6" s="11"/>
      <c r="E6" s="11"/>
      <c r="F6" s="11"/>
      <c r="G6" s="11"/>
      <c r="H6" s="11"/>
      <c r="I6" s="11"/>
      <c r="J6" s="11"/>
      <c r="K6" s="12"/>
      <c r="L6" s="13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5" ht="23.25">
      <c r="A7" s="1"/>
      <c r="B7" s="1"/>
      <c r="C7" s="14"/>
      <c r="D7" s="15" t="s">
        <v>3</v>
      </c>
      <c r="E7" s="15" t="str">
        <f>[1]MENU!C8</f>
        <v>0009297-97.2016.8.18.0000</v>
      </c>
      <c r="F7" s="16"/>
      <c r="G7" s="16"/>
      <c r="H7" s="16"/>
      <c r="I7" s="17"/>
      <c r="J7" s="16"/>
      <c r="K7" s="14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5" ht="23.25">
      <c r="A8" s="1"/>
      <c r="B8" s="1"/>
      <c r="C8" s="14"/>
      <c r="D8" s="15" t="s">
        <v>4</v>
      </c>
      <c r="E8" s="15">
        <f>[1]MENU!C10</f>
        <v>2018</v>
      </c>
      <c r="F8" s="16"/>
      <c r="G8" s="16"/>
      <c r="H8" s="16"/>
      <c r="I8" s="17"/>
      <c r="J8" s="16"/>
      <c r="K8" s="14"/>
      <c r="L8" s="3"/>
      <c r="M8" s="4"/>
      <c r="N8" s="4"/>
      <c r="O8" s="1"/>
      <c r="P8" s="5"/>
      <c r="Q8" s="18" t="s">
        <v>5</v>
      </c>
      <c r="R8" s="243" t="s">
        <v>6</v>
      </c>
      <c r="S8" s="243"/>
      <c r="T8" s="5"/>
      <c r="U8" s="5"/>
      <c r="V8" s="5"/>
      <c r="W8" s="5"/>
      <c r="X8" s="5"/>
      <c r="Y8" s="5"/>
      <c r="AI8" s="7"/>
    </row>
    <row r="9" spans="1:35" ht="48.75" customHeight="1">
      <c r="A9" s="1"/>
      <c r="B9" s="1"/>
      <c r="C9" s="14"/>
      <c r="D9" s="15" t="s">
        <v>7</v>
      </c>
      <c r="E9" s="19">
        <f>[1]MENU!C12</f>
        <v>42607</v>
      </c>
      <c r="F9" s="16"/>
      <c r="G9" s="16"/>
      <c r="H9" s="20"/>
      <c r="I9" s="21" t="s">
        <v>8</v>
      </c>
      <c r="J9" s="22" t="str">
        <f>IF(E9&lt;DATE(2021,7,2),
    IF(MONTH(E9)&gt;7,
        TEXT(DATE(YEAR(E9)+1,7,2),"dd/mm/aaaa") &amp; " até " &amp; TEXT(DATE(YEAR(E9)+2,12,31),"dd/mm/aaaa") &amp; " - IPCA-E",
        TEXT(DATE(YEAR(E9),7,2),"dd/mm/aaaa") &amp; " até " &amp; TEXT(DATE(YEAR(E9)+1,12,31),"dd/mm/aaaa") &amp; " - IPCA-E"
    ),
    IF(MONTH(E9)&gt;7,
        TEXT(DATE(YEAR(E9)+1,4,3),"dd/mm/aaaa") &amp; " até " &amp; TEXT(DATE(YEAR(E9)+2,12,31),"dd/mm/aaaa") &amp; " - IPCA-E",
        TEXT(DATE(YEAR(E9),4,3),"dd/mm/aaaa") &amp; " até " &amp; TEXT(DATE(YEAR(E9)+1,12,31),"dd/mm/aaaa") &amp; " - IPCA-E"
    )
)</f>
        <v>02/07/2017 até 31/12/2018 - IPCA-E</v>
      </c>
      <c r="K9" s="12"/>
      <c r="L9" s="3"/>
      <c r="M9" s="4"/>
      <c r="N9" s="23"/>
      <c r="O9" s="1"/>
      <c r="P9" s="5"/>
      <c r="Q9" s="24" t="s">
        <v>9</v>
      </c>
      <c r="R9" s="242">
        <v>0.26</v>
      </c>
      <c r="S9" s="242"/>
      <c r="T9" s="5"/>
      <c r="U9" s="5"/>
      <c r="V9" s="5"/>
      <c r="W9" s="5"/>
      <c r="X9" s="5"/>
      <c r="Y9" s="5"/>
      <c r="AI9" s="7"/>
    </row>
    <row r="10" spans="1:35" ht="23.25">
      <c r="A10" s="1"/>
      <c r="B10" s="1"/>
      <c r="C10" s="14"/>
      <c r="D10" s="15" t="s">
        <v>10</v>
      </c>
      <c r="E10" s="15" t="str">
        <f>[1]MENU!C14</f>
        <v>MARIA FATIMA DE MACEDO SILVA LOPES</v>
      </c>
      <c r="F10" s="16"/>
      <c r="G10" s="16"/>
      <c r="H10" s="16"/>
      <c r="I10" s="16"/>
      <c r="J10" s="16"/>
      <c r="K10" s="12"/>
      <c r="L10" s="3"/>
      <c r="M10" s="4"/>
      <c r="N10" s="4"/>
      <c r="O10" s="1"/>
      <c r="P10" s="5"/>
      <c r="Q10" s="18" t="s">
        <v>11</v>
      </c>
      <c r="R10" s="243" t="s">
        <v>6</v>
      </c>
      <c r="S10" s="243"/>
      <c r="T10" s="5"/>
      <c r="U10" s="5"/>
      <c r="V10" s="5"/>
      <c r="W10" s="5"/>
      <c r="X10" s="5"/>
      <c r="Y10" s="5"/>
      <c r="AC10" s="25"/>
      <c r="AD10" s="25"/>
      <c r="AE10" s="25"/>
      <c r="AF10" s="25"/>
      <c r="AG10" s="25"/>
      <c r="AI10" s="7"/>
    </row>
    <row r="11" spans="1:35" ht="27" customHeight="1">
      <c r="A11" s="1"/>
      <c r="B11" s="1"/>
      <c r="C11" s="14"/>
      <c r="D11" s="15" t="s">
        <v>12</v>
      </c>
      <c r="E11" s="15" t="str">
        <f>[1]MENU!C16</f>
        <v>ESTADO DO PIAUÍ</v>
      </c>
      <c r="F11" s="16"/>
      <c r="G11" s="16"/>
      <c r="H11" s="16"/>
      <c r="I11" s="16"/>
      <c r="J11" s="16"/>
      <c r="K11" s="12"/>
      <c r="L11" s="3"/>
      <c r="M11" s="4"/>
      <c r="N11" s="4"/>
      <c r="O11" s="1"/>
      <c r="P11" s="5"/>
      <c r="Q11" s="24" t="s">
        <v>13</v>
      </c>
      <c r="R11" s="242">
        <v>0.01</v>
      </c>
      <c r="S11" s="242"/>
      <c r="T11" s="5"/>
      <c r="U11" s="5"/>
      <c r="V11" s="5"/>
      <c r="W11" s="5"/>
      <c r="X11" s="5"/>
      <c r="Y11" s="5"/>
      <c r="AC11" s="25"/>
      <c r="AD11" s="25"/>
      <c r="AE11" s="25"/>
      <c r="AF11" s="25"/>
      <c r="AG11" s="25"/>
      <c r="AI11" s="7"/>
    </row>
    <row r="12" spans="1:35" ht="27" customHeight="1">
      <c r="A12" s="1"/>
      <c r="B12" s="1"/>
      <c r="C12" s="14"/>
      <c r="D12" s="16"/>
      <c r="E12" s="16"/>
      <c r="F12" s="16"/>
      <c r="G12" s="16"/>
      <c r="H12" s="16"/>
      <c r="I12" s="16"/>
      <c r="J12" s="16"/>
      <c r="K12" s="12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6"/>
      <c r="X12" s="5"/>
      <c r="Y12" s="5"/>
      <c r="AC12" s="25"/>
      <c r="AD12" s="25"/>
      <c r="AE12" s="25"/>
      <c r="AF12" s="25"/>
      <c r="AG12" s="25"/>
      <c r="AI12" s="7"/>
    </row>
    <row r="13" spans="1:35" ht="27.75" customHeight="1">
      <c r="A13" s="1"/>
      <c r="B13" s="1"/>
      <c r="C13" s="231" t="s">
        <v>14</v>
      </c>
      <c r="D13" s="231"/>
      <c r="E13" s="231"/>
      <c r="F13" s="231"/>
      <c r="G13" s="231"/>
      <c r="H13" s="231"/>
      <c r="I13" s="231"/>
      <c r="J13" s="231"/>
      <c r="K13" s="231"/>
      <c r="L13" s="231"/>
      <c r="M13" s="4"/>
      <c r="N13" s="4"/>
      <c r="O13" s="1"/>
      <c r="P13" s="5"/>
      <c r="Q13" s="27" t="s">
        <v>15</v>
      </c>
      <c r="R13" s="232" t="s">
        <v>16</v>
      </c>
      <c r="S13" s="232"/>
      <c r="T13" s="5"/>
      <c r="U13" s="5"/>
      <c r="V13" s="5"/>
      <c r="W13" s="5"/>
      <c r="X13" s="5"/>
      <c r="Y13" s="5"/>
      <c r="AD13" s="28"/>
      <c r="AI13" s="7"/>
    </row>
    <row r="14" spans="1:35" ht="93">
      <c r="A14" s="1"/>
      <c r="B14" s="1"/>
      <c r="C14" s="11"/>
      <c r="D14" s="29" t="s">
        <v>17</v>
      </c>
      <c r="E14" s="29" t="str">
        <f>"Valor Devido Atualizado com juros até " &amp; PROPER(TEXT([1]MENU!AD18, "mmmm")) &amp; "/" &amp; [1]MENU!AE18</f>
        <v>Valor Devido Atualizado com juros até Novembro/2014</v>
      </c>
      <c r="F14" s="29" t="s">
        <v>18</v>
      </c>
      <c r="G14" s="29" t="s">
        <v>19</v>
      </c>
      <c r="H14" s="29" t="s">
        <v>20</v>
      </c>
      <c r="I14" s="29" t="s">
        <v>21</v>
      </c>
      <c r="J14" s="29" t="s">
        <v>22</v>
      </c>
      <c r="K14" s="29" t="s">
        <v>23</v>
      </c>
      <c r="L14" s="29" t="str">
        <f ca="1">"Valor Atualizado com Juros "&amp;UPPER(TEXT(TODAY(),"mmmm"))&amp;"/"&amp;YEAR(TODAY())</f>
        <v>Valor Atualizado com Juros FEVEREIRO/2025</v>
      </c>
      <c r="M14" s="4"/>
      <c r="N14" s="4"/>
      <c r="O14" s="1"/>
      <c r="P14" s="5"/>
      <c r="Q14" s="30" t="s">
        <v>6</v>
      </c>
      <c r="R14" s="233" t="s">
        <v>24</v>
      </c>
      <c r="S14" s="234"/>
      <c r="T14" s="5"/>
      <c r="U14" s="5"/>
      <c r="V14" s="5"/>
      <c r="W14" s="5"/>
      <c r="X14" s="5"/>
      <c r="Y14" s="5"/>
      <c r="AI14" s="7"/>
    </row>
    <row r="15" spans="1:35" ht="47.25" customHeight="1">
      <c r="A15" s="1"/>
      <c r="B15" s="1"/>
      <c r="C15" s="11"/>
      <c r="D15" s="31" t="s">
        <v>25</v>
      </c>
      <c r="E15" s="32">
        <f>[1]MENU!C20</f>
        <v>21212112</v>
      </c>
      <c r="F15" s="33">
        <f>IFERROR(VLOOKUP([1]MENU!$AC$19,[1]GILBERTO!$A:$BK,[1]MENU!$AF$18), 1)</f>
        <v>1.5145731</v>
      </c>
      <c r="G15" s="32">
        <f>ROUND(E15*F15,2)</f>
        <v>32127294.23</v>
      </c>
      <c r="H15" s="34" t="s">
        <v>26</v>
      </c>
      <c r="I15" s="32">
        <v>0</v>
      </c>
      <c r="J15" s="32">
        <f>ROUND(G15+I15,2)</f>
        <v>32127294.23</v>
      </c>
      <c r="K15" s="35">
        <v>1</v>
      </c>
      <c r="L15" s="32">
        <f>ROUND(J15*K15,2)</f>
        <v>32127294.23</v>
      </c>
      <c r="M15" s="4"/>
      <c r="N15" s="4"/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</row>
    <row r="16" spans="1:35" ht="32.65" customHeight="1">
      <c r="A16" s="1"/>
      <c r="B16" s="1"/>
      <c r="C16" s="11"/>
      <c r="D16" s="31" t="s">
        <v>27</v>
      </c>
      <c r="E16" s="32">
        <f>[1]MENU!C22</f>
        <v>28888.21</v>
      </c>
      <c r="F16" s="33">
        <f>IFERROR(VLOOKUP([1]MENU!$AC$19,[1]GILBERTO!$A:$BK,[1]MENU!$AF$18), 1)</f>
        <v>1.5145731</v>
      </c>
      <c r="G16" s="32">
        <f>ROUND(E16*F16,2)</f>
        <v>43753.31</v>
      </c>
      <c r="H16" s="36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0.247256</v>
      </c>
      <c r="I16" s="32">
        <f>ROUND(G15*H16,2)</f>
        <v>7943666.2599999998</v>
      </c>
      <c r="J16" s="32">
        <f>ROUND(G16+I16,2)</f>
        <v>7987419.5700000003</v>
      </c>
      <c r="K16" s="35">
        <v>1</v>
      </c>
      <c r="L16" s="32">
        <f>ROUND(J16*K16,2)</f>
        <v>7987419.5700000003</v>
      </c>
      <c r="M16" s="4"/>
      <c r="N16" s="4"/>
      <c r="O16" s="1"/>
      <c r="P16" s="5"/>
      <c r="Q16" s="5"/>
      <c r="R16" s="5"/>
      <c r="S16" s="5"/>
      <c r="T16" s="5"/>
      <c r="U16" s="5"/>
      <c r="V16" s="5"/>
      <c r="W16" s="5"/>
      <c r="X16" s="5"/>
      <c r="Y16" s="5"/>
    </row>
    <row r="17" spans="1:25" ht="34.5" customHeight="1">
      <c r="A17" s="1"/>
      <c r="B17" s="1"/>
      <c r="C17" s="11"/>
      <c r="D17" s="37" t="s">
        <v>28</v>
      </c>
      <c r="E17" s="38">
        <f>SUM(E15:E16)</f>
        <v>21241000.210000001</v>
      </c>
      <c r="F17" s="39" t="s">
        <v>26</v>
      </c>
      <c r="G17" s="38">
        <f>SUM(G15:G16)</f>
        <v>32171047.539999999</v>
      </c>
      <c r="H17" s="40" t="s">
        <v>26</v>
      </c>
      <c r="I17" s="38">
        <f>SUM(I15:I16)</f>
        <v>7943666.2599999998</v>
      </c>
      <c r="J17" s="38">
        <f>SUM(J15:J16)</f>
        <v>40114713.799999997</v>
      </c>
      <c r="K17" s="39" t="s">
        <v>26</v>
      </c>
      <c r="L17" s="38">
        <f>SUM(L15:L16)</f>
        <v>40114713.799999997</v>
      </c>
      <c r="M17" s="4"/>
      <c r="N17" s="4"/>
      <c r="O17" s="1"/>
      <c r="P17" s="5"/>
      <c r="Q17" s="41"/>
      <c r="R17" s="235" t="s">
        <v>29</v>
      </c>
      <c r="S17" s="235"/>
      <c r="T17" s="235"/>
      <c r="U17" s="235"/>
      <c r="V17" s="235"/>
      <c r="W17" s="235"/>
      <c r="X17" s="5"/>
      <c r="Y17" s="5"/>
    </row>
    <row r="18" spans="1:25" ht="23.25">
      <c r="A18" s="1"/>
      <c r="B18" s="1"/>
      <c r="C18" s="11"/>
      <c r="D18" s="4"/>
      <c r="E18" s="4" t="s">
        <v>109</v>
      </c>
      <c r="F18" s="4"/>
      <c r="G18" s="4"/>
      <c r="H18" s="4"/>
      <c r="I18" s="4"/>
      <c r="J18" s="42" t="s">
        <v>30</v>
      </c>
      <c r="K18" s="236">
        <f>IFERROR('[1]Selic e IPCA'!P8%,0)</f>
        <v>0.36200000000000004</v>
      </c>
      <c r="L18" s="239">
        <f>ROUND(L17*K18,2)</f>
        <v>14521526.4</v>
      </c>
      <c r="M18" s="4"/>
      <c r="N18" s="4"/>
      <c r="O18" s="1"/>
      <c r="P18" s="5"/>
      <c r="Q18" s="41"/>
      <c r="R18" s="43">
        <f>ROUND(E15,2)</f>
        <v>21212112</v>
      </c>
      <c r="S18" s="44">
        <f>ROUND(G15,2)</f>
        <v>32127294.23</v>
      </c>
      <c r="T18" s="44">
        <f>ROUND(I15,2)</f>
        <v>0</v>
      </c>
      <c r="U18" s="44">
        <f>ROUND(J15,2)</f>
        <v>32127294.23</v>
      </c>
      <c r="V18" s="44">
        <f>ROUND(L15,2)</f>
        <v>32127294.23</v>
      </c>
      <c r="W18" s="45">
        <f>ROUND(L17,2)</f>
        <v>40114713.799999997</v>
      </c>
      <c r="X18" s="5"/>
      <c r="Y18" s="5"/>
    </row>
    <row r="19" spans="1:25" ht="23.25">
      <c r="A19" s="1"/>
      <c r="B19" s="1"/>
      <c r="C19" s="11"/>
      <c r="D19" s="4"/>
      <c r="E19" s="4"/>
      <c r="F19" s="4"/>
      <c r="G19" s="4"/>
      <c r="H19" s="4"/>
      <c r="I19" s="4"/>
      <c r="J19" s="46">
        <v>44531</v>
      </c>
      <c r="K19" s="237"/>
      <c r="L19" s="240"/>
      <c r="M19" s="4"/>
      <c r="N19" s="4"/>
      <c r="O19" s="1"/>
      <c r="P19" s="5"/>
      <c r="Q19" s="41"/>
      <c r="R19" s="43">
        <f>ROUND(E16,2)</f>
        <v>28888.21</v>
      </c>
      <c r="S19" s="44">
        <f>ROUND(G16,2)</f>
        <v>43753.31</v>
      </c>
      <c r="T19" s="44">
        <f>ROUND(I16,2)</f>
        <v>7943666.2599999998</v>
      </c>
      <c r="U19" s="44">
        <f>ROUND(J16,2)</f>
        <v>7987419.5700000003</v>
      </c>
      <c r="V19" s="44">
        <f>ROUND(L16,2)</f>
        <v>7987419.5700000003</v>
      </c>
      <c r="W19" s="45">
        <f>ROUND(L18,2)</f>
        <v>14521526.4</v>
      </c>
      <c r="X19" s="5"/>
      <c r="Y19" s="5"/>
    </row>
    <row r="20" spans="1:25" ht="23.25">
      <c r="A20" s="1"/>
      <c r="B20" s="1"/>
      <c r="C20" s="11"/>
      <c r="D20" s="4"/>
      <c r="E20" s="4"/>
      <c r="F20" s="4"/>
      <c r="G20" s="4"/>
      <c r="H20" s="4"/>
      <c r="I20" s="4"/>
      <c r="J20" s="47">
        <f ca="1">DATE(YEAR(TODAY()), MONTH(1 &amp; TEXT(TODAY(), "mmmm")), 1)</f>
        <v>45689</v>
      </c>
      <c r="K20" s="238"/>
      <c r="L20" s="241"/>
      <c r="M20" s="4"/>
      <c r="N20" s="4"/>
      <c r="O20" s="1"/>
      <c r="P20" s="5"/>
      <c r="Q20" s="41"/>
      <c r="R20" s="43">
        <f t="shared" ref="R20:W20" si="0">SUM(R18:R19)</f>
        <v>21241000.210000001</v>
      </c>
      <c r="S20" s="44">
        <f t="shared" si="0"/>
        <v>32171047.539999999</v>
      </c>
      <c r="T20" s="44">
        <f t="shared" si="0"/>
        <v>7943666.2599999998</v>
      </c>
      <c r="U20" s="44">
        <f t="shared" si="0"/>
        <v>40114713.799999997</v>
      </c>
      <c r="V20" s="44">
        <f t="shared" si="0"/>
        <v>40114713.799999997</v>
      </c>
      <c r="W20" s="45">
        <f t="shared" si="0"/>
        <v>54636240.199999996</v>
      </c>
      <c r="X20" s="5"/>
      <c r="Y20" s="5"/>
    </row>
    <row r="21" spans="1:25" ht="51.75" customHeight="1">
      <c r="A21" s="1"/>
      <c r="B21" s="1"/>
      <c r="C21" s="11"/>
      <c r="D21" s="16"/>
      <c r="E21" s="16"/>
      <c r="F21" s="16"/>
      <c r="G21" s="16"/>
      <c r="H21" s="16"/>
      <c r="I21" s="48"/>
      <c r="J21" s="224" t="str">
        <f ca="1">"Valor Total Devido em "&amp;UPPER(TEXT(TODAY(),"mmmm"))&amp;"/"&amp;YEAR(TODAY())</f>
        <v>Valor Total Devido em FEVEREIRO/2025</v>
      </c>
      <c r="K21" s="224"/>
      <c r="L21" s="49">
        <f>L17+L18</f>
        <v>54636240.199999996</v>
      </c>
      <c r="M21" s="4"/>
      <c r="N21" s="4"/>
      <c r="O21" s="1"/>
      <c r="P21" s="5"/>
      <c r="Q21" s="41"/>
      <c r="R21" s="50">
        <f>R20-E17</f>
        <v>0</v>
      </c>
      <c r="S21" s="51">
        <f>S20-G17</f>
        <v>0</v>
      </c>
      <c r="T21" s="51">
        <f>T20-I17</f>
        <v>0</v>
      </c>
      <c r="U21" s="51">
        <f>U20-J17</f>
        <v>0</v>
      </c>
      <c r="V21" s="51">
        <f>V20-L17</f>
        <v>0</v>
      </c>
      <c r="W21" s="52">
        <f>W20-L21</f>
        <v>0</v>
      </c>
      <c r="X21" s="5"/>
      <c r="Y21" s="5"/>
    </row>
    <row r="22" spans="1:25" ht="48" customHeight="1">
      <c r="A22" s="1"/>
      <c r="B22" s="1"/>
      <c r="C22" s="11"/>
      <c r="D22" s="16"/>
      <c r="E22" s="16"/>
      <c r="F22" s="16"/>
      <c r="G22" s="16"/>
      <c r="H22" s="16"/>
      <c r="I22" s="48"/>
      <c r="J22" s="4"/>
      <c r="K22" s="4"/>
      <c r="L22" s="4"/>
      <c r="M22" s="4"/>
      <c r="N22" s="4"/>
      <c r="O22" s="1"/>
      <c r="P22" s="5"/>
      <c r="Q22" s="41"/>
      <c r="R22" s="5"/>
      <c r="S22" s="5"/>
      <c r="T22" s="5"/>
      <c r="U22" s="5"/>
      <c r="V22" s="5"/>
      <c r="W22" s="5"/>
      <c r="X22" s="5"/>
      <c r="Y22" s="5"/>
    </row>
    <row r="23" spans="1:25" ht="55.5" customHeight="1">
      <c r="A23" s="1"/>
      <c r="B23" s="1"/>
      <c r="C23" s="11"/>
      <c r="D23" s="53"/>
      <c r="E23" s="16"/>
      <c r="F23" s="16"/>
      <c r="G23" s="16"/>
      <c r="H23" s="16"/>
      <c r="I23" s="48"/>
      <c r="J23" s="4"/>
      <c r="K23" s="4"/>
      <c r="L23" s="4"/>
      <c r="M23" s="4"/>
      <c r="N23" s="4"/>
      <c r="O23" s="1"/>
      <c r="P23" s="5"/>
      <c r="Q23" s="41"/>
      <c r="R23" s="225" t="str">
        <f ca="1">"DIVISÃO "&amp;UPPER(TEXT(TODAY(),"mmmm"))&amp;"/"&amp;YEAR(TODAY())&amp;""</f>
        <v>DIVISÃO FEVEREIRO/2025</v>
      </c>
      <c r="S23" s="225"/>
      <c r="T23" s="225"/>
      <c r="U23" s="225"/>
      <c r="V23" s="225"/>
      <c r="W23" s="225"/>
      <c r="X23" s="5"/>
      <c r="Y23" s="5"/>
    </row>
    <row r="24" spans="1:25" ht="48.75" customHeight="1">
      <c r="A24" s="1"/>
      <c r="B24" s="1"/>
      <c r="C24" s="11"/>
      <c r="D24" s="13"/>
      <c r="E24" s="13"/>
      <c r="F24" s="13"/>
      <c r="G24" s="13"/>
      <c r="H24" s="13"/>
      <c r="I24" s="13"/>
      <c r="J24" s="226" t="s">
        <v>31</v>
      </c>
      <c r="K24" s="227"/>
      <c r="L24" s="227"/>
      <c r="M24" s="54">
        <f>L21</f>
        <v>54636240.199999996</v>
      </c>
      <c r="N24" s="55">
        <f>ROUND(L21*$R$11,2)</f>
        <v>546362.4</v>
      </c>
      <c r="O24" s="1"/>
      <c r="P24" s="5"/>
      <c r="Q24" s="41"/>
      <c r="R24" s="228" t="s">
        <v>32</v>
      </c>
      <c r="S24" s="229"/>
      <c r="T24" s="229" t="s">
        <v>33</v>
      </c>
      <c r="U24" s="229"/>
      <c r="V24" s="229" t="s">
        <v>34</v>
      </c>
      <c r="W24" s="230"/>
      <c r="X24" s="5"/>
      <c r="Y24" s="5"/>
    </row>
    <row r="25" spans="1:25" ht="33.75" customHeight="1">
      <c r="A25" s="1"/>
      <c r="B25" s="1"/>
      <c r="C25" s="11"/>
      <c r="D25" s="13"/>
      <c r="E25" s="13"/>
      <c r="F25" s="13"/>
      <c r="G25" s="13"/>
      <c r="H25" s="13"/>
      <c r="I25" s="13"/>
      <c r="J25" s="13"/>
      <c r="K25" s="13"/>
      <c r="L25" s="13"/>
      <c r="M25" s="4"/>
      <c r="N25" s="4"/>
      <c r="O25" s="1"/>
      <c r="P25" s="5"/>
      <c r="Q25" s="41"/>
      <c r="R25" s="56">
        <f>$L$21</f>
        <v>54636240.199999996</v>
      </c>
      <c r="S25" s="57">
        <v>1</v>
      </c>
      <c r="T25" s="58">
        <f>R25</f>
        <v>54636240.199999996</v>
      </c>
      <c r="U25" s="59">
        <f>S25</f>
        <v>1</v>
      </c>
      <c r="V25" s="58">
        <f>T25</f>
        <v>54636240.199999996</v>
      </c>
      <c r="W25" s="60">
        <f>U25</f>
        <v>1</v>
      </c>
      <c r="X25" s="5"/>
      <c r="Y25" s="5"/>
    </row>
    <row r="26" spans="1:25" ht="38.25" customHeight="1">
      <c r="A26" s="1"/>
      <c r="B26" s="1"/>
      <c r="C26" s="11"/>
      <c r="D26" s="13"/>
      <c r="E26" s="13"/>
      <c r="F26" s="13"/>
      <c r="G26" s="13"/>
      <c r="H26" s="13"/>
      <c r="I26" s="13"/>
      <c r="J26" s="216" t="str">
        <f>"(-)Honorários Contratuais- (" &amp; IF(AND(R5="Sim", V8="Não"), "C", IF(AND(R5="Não", V8="Sim"), "C", IF(AND(R5="Não", V8="Não"), "B", "D"))) &amp; ")– " &amp; TEXT(R9, "0%") &amp; " sobre"</f>
        <v>(-)Honorários Contratuais- (D)– 26% sobre</v>
      </c>
      <c r="K26" s="217"/>
      <c r="L26" s="217"/>
      <c r="M26" s="61">
        <f>L21</f>
        <v>54636240.199999996</v>
      </c>
      <c r="N26" s="62">
        <f>ROUND(L21*$R$9,2)</f>
        <v>14205422.449999999</v>
      </c>
      <c r="O26" s="1"/>
      <c r="P26" s="5"/>
      <c r="Q26" s="41"/>
      <c r="R26" s="63">
        <f>G15+G25</f>
        <v>32127294.23</v>
      </c>
      <c r="S26" s="64">
        <f>R26*S25/R25</f>
        <v>0.58802168876181204</v>
      </c>
      <c r="T26" s="65">
        <f>G16+I16</f>
        <v>7987419.5699999994</v>
      </c>
      <c r="U26" s="64">
        <f>T26*U25/T25</f>
        <v>0.1461927017811156</v>
      </c>
      <c r="V26" s="65">
        <f>L21-L17 + I26-G26</f>
        <v>14521526.399999999</v>
      </c>
      <c r="W26" s="66">
        <f>V26*W25/V25</f>
        <v>0.26578560945707241</v>
      </c>
      <c r="X26" s="5"/>
      <c r="Y26" s="5"/>
    </row>
    <row r="27" spans="1:25" ht="18.600000000000001" customHeight="1">
      <c r="A27" s="1"/>
      <c r="B27" s="1"/>
      <c r="C27" s="11"/>
      <c r="D27" s="16"/>
      <c r="E27" s="16"/>
      <c r="F27" s="16"/>
      <c r="G27" s="16"/>
      <c r="H27" s="16"/>
      <c r="I27" s="48"/>
      <c r="J27" s="67"/>
      <c r="K27" s="67"/>
      <c r="L27" s="67"/>
      <c r="M27" s="67"/>
      <c r="N27" s="68"/>
      <c r="O27" s="1"/>
      <c r="P27" s="5"/>
      <c r="Q27" s="41"/>
      <c r="R27" s="69"/>
      <c r="S27" s="69"/>
      <c r="T27" s="69"/>
      <c r="U27" s="69"/>
      <c r="V27" s="69"/>
      <c r="W27" s="69"/>
      <c r="X27" s="5"/>
      <c r="Y27" s="5"/>
    </row>
    <row r="28" spans="1:25" ht="25.5" customHeight="1">
      <c r="A28" s="1"/>
      <c r="B28" s="1"/>
      <c r="C28" s="11"/>
      <c r="D28" s="16"/>
      <c r="E28" s="16"/>
      <c r="F28" s="16"/>
      <c r="G28" s="16"/>
      <c r="H28" s="16"/>
      <c r="I28" s="48"/>
      <c r="J28" s="67"/>
      <c r="K28" s="218" t="str">
        <f>IF(AND(R5="Sim",R8="Sim",V8="Sim"),"TOTAL DEVIDO AO EXEQUENTE – (E) = (A + B – C - D)",
IF(AND(R5="Sim",R8="Sim"),"TOTAL DEVIDO AO EXEQUENTE – (D) = (A + "&amp;IF(R5="Sim","B","-B")&amp;" – C)",
IF(AND(R5="Sim",V8="Sim"),"TOTAL DEVIDO AO EXEQUENTE – (D) = (A + "&amp;IF(R5="Sim","B","-B")&amp;" – C)",
IF(AND(R8="Sim",V8="Sim"),"TOTAL DEVIDO AO EXEQUENTE – (D) = (A - "&amp;IF(R5="Sim","B","-B")&amp;" – C)",
IF(AND(R5="Sim",NOT(AND(R8="Sim",V8="Sim"))),"TOTAL DEVIDO AO EXEQUENTE – (C) = (A + "&amp;IF(R5="Sim","B","-B")&amp;")",
IF(AND(R8="Sim",NOT(AND(R5="Sim",V8="Sim"))),"TOTAL DEVIDO AO EXEQUENTE – (C) = (A - "&amp;IF(R5="Sim","B","-B")&amp;")",
IF(AND(V8="Sim",NOT(AND(R5="Sim",R8="Sim"))),"TOTAL DEVIDO AO EXEQUENTE – (C) = (A - "&amp;IF(R5="Sim","B","-B")&amp;")",
"TOTAL DEVIDO AO EXEQUENTE – (A) = (A)")))))))</f>
        <v>TOTAL DEVIDO AO EXEQUENTE – (C) = (A - -B)</v>
      </c>
      <c r="L28" s="219"/>
      <c r="M28" s="220"/>
      <c r="N28" s="70">
        <f>L21+I26 - N24 - N26</f>
        <v>39884455.349999994</v>
      </c>
      <c r="O28" s="1"/>
      <c r="P28" s="5"/>
      <c r="Q28" s="41"/>
      <c r="R28" s="69"/>
      <c r="S28" s="69"/>
      <c r="T28" s="69"/>
      <c r="U28" s="69"/>
      <c r="V28" s="69"/>
      <c r="W28" s="69"/>
      <c r="X28" s="5"/>
      <c r="Y28" s="5"/>
    </row>
    <row r="29" spans="1:25" ht="18.600000000000001" customHeight="1">
      <c r="A29" s="1"/>
      <c r="B29" s="1"/>
      <c r="C29" s="11"/>
      <c r="D29" s="16"/>
      <c r="E29" s="16"/>
      <c r="F29" s="16"/>
      <c r="G29" s="16"/>
      <c r="H29" s="16"/>
      <c r="I29" s="48"/>
      <c r="J29" s="13"/>
      <c r="K29" s="13"/>
      <c r="L29" s="13"/>
      <c r="M29" s="13"/>
      <c r="N29" s="13"/>
      <c r="O29" s="1"/>
      <c r="P29" s="5"/>
      <c r="Q29" s="41"/>
      <c r="R29" s="69"/>
      <c r="S29" s="69"/>
      <c r="T29" s="69"/>
      <c r="U29" s="69"/>
      <c r="V29" s="69"/>
      <c r="W29" s="69"/>
      <c r="X29" s="5"/>
      <c r="Y29" s="5"/>
    </row>
    <row r="30" spans="1:25" ht="26.25" customHeight="1">
      <c r="A30" s="1"/>
      <c r="B30" s="1"/>
      <c r="C30" s="11"/>
      <c r="D30" s="16"/>
      <c r="E30" s="16"/>
      <c r="F30" s="16"/>
      <c r="G30" s="16"/>
      <c r="H30" s="2"/>
      <c r="I30" s="48"/>
      <c r="J30" s="13"/>
      <c r="K30" s="13"/>
      <c r="L30" s="13"/>
      <c r="M30" s="13"/>
      <c r="N30" s="13"/>
      <c r="O30" s="71"/>
      <c r="P30" s="69"/>
      <c r="Q30" s="5"/>
      <c r="R30" s="5"/>
      <c r="S30" s="5"/>
      <c r="T30" s="5"/>
      <c r="U30" s="5"/>
      <c r="V30" s="5"/>
      <c r="W30" s="5"/>
      <c r="X30" s="5"/>
      <c r="Y30" s="5"/>
    </row>
    <row r="31" spans="1:25" ht="18.600000000000001" customHeight="1">
      <c r="A31" s="1"/>
      <c r="B31" s="1"/>
      <c r="C31" s="11"/>
      <c r="D31" s="2"/>
      <c r="E31" s="2"/>
      <c r="F31" s="2"/>
      <c r="G31" s="2"/>
      <c r="H31" s="16"/>
      <c r="I31" s="48"/>
      <c r="J31" s="13"/>
      <c r="K31" s="13"/>
      <c r="L31" s="13"/>
      <c r="M31" s="13"/>
      <c r="N31" s="13"/>
      <c r="O31" s="1"/>
      <c r="P31" s="5"/>
      <c r="Q31" s="5"/>
      <c r="R31" s="5"/>
      <c r="S31" s="221" t="s">
        <v>35</v>
      </c>
      <c r="T31" s="72">
        <f>R26+T26+V26</f>
        <v>54636240.199999996</v>
      </c>
      <c r="U31" s="5"/>
      <c r="V31" s="5"/>
      <c r="W31" s="73"/>
      <c r="X31" s="5"/>
      <c r="Y31" s="5"/>
    </row>
    <row r="32" spans="1:25" ht="23.25">
      <c r="A32" s="1"/>
      <c r="B32" s="1"/>
      <c r="C32" s="11"/>
      <c r="D32" s="222" t="s">
        <v>36</v>
      </c>
      <c r="E32" s="222"/>
      <c r="F32" s="222"/>
      <c r="G32" s="222"/>
      <c r="H32" s="222"/>
      <c r="I32" s="222"/>
      <c r="J32" s="222"/>
      <c r="K32" s="222"/>
      <c r="L32" s="222"/>
      <c r="M32" s="13"/>
      <c r="N32" s="13"/>
      <c r="O32" s="1"/>
      <c r="P32" s="69"/>
      <c r="Q32" s="41"/>
      <c r="R32" s="5"/>
      <c r="S32" s="221"/>
      <c r="T32" s="74">
        <f>S26+U26+W26</f>
        <v>1</v>
      </c>
      <c r="U32" s="5"/>
      <c r="V32" s="5"/>
      <c r="W32" s="73"/>
      <c r="X32" s="73"/>
      <c r="Y32" s="5"/>
    </row>
    <row r="33" spans="1:25" ht="68.25">
      <c r="A33" s="1"/>
      <c r="B33" s="1"/>
      <c r="C33" s="11"/>
      <c r="D33" s="223" t="s">
        <v>37</v>
      </c>
      <c r="E33" s="223"/>
      <c r="F33" s="75" t="s">
        <v>38</v>
      </c>
      <c r="G33" s="75" t="s">
        <v>39</v>
      </c>
      <c r="H33" s="75" t="s">
        <v>40</v>
      </c>
      <c r="I33" s="76" t="s">
        <v>41</v>
      </c>
      <c r="J33" s="77" t="s">
        <v>42</v>
      </c>
      <c r="K33" s="76" t="s">
        <v>43</v>
      </c>
      <c r="L33" s="76" t="s">
        <v>44</v>
      </c>
      <c r="M33" s="13"/>
      <c r="N33" s="13"/>
      <c r="O33" s="1"/>
      <c r="P33" s="5"/>
      <c r="Q33" s="5"/>
      <c r="R33" s="5"/>
      <c r="S33" s="5"/>
      <c r="T33" s="5"/>
      <c r="U33" s="5"/>
      <c r="V33" s="5"/>
      <c r="W33" s="73"/>
      <c r="X33" s="5"/>
      <c r="Y33" s="5"/>
    </row>
    <row r="34" spans="1:25" ht="60" customHeight="1">
      <c r="A34" s="1"/>
      <c r="B34" s="1"/>
      <c r="C34" s="11"/>
      <c r="D34" s="212" t="s">
        <v>45</v>
      </c>
      <c r="E34" s="212"/>
      <c r="F34" s="78">
        <f>IF($Q$14="Sim",T45,0)</f>
        <v>1092724.8</v>
      </c>
      <c r="G34" s="78">
        <f>ROUND(F34*0.4,2)</f>
        <v>437089.92</v>
      </c>
      <c r="H34" s="78">
        <f>F34-G34</f>
        <v>655634.88000000012</v>
      </c>
      <c r="I34" s="79">
        <v>0</v>
      </c>
      <c r="J34" s="79">
        <f>ROUND(H34*[1]IR!$C$10,2)</f>
        <v>9834.52</v>
      </c>
      <c r="K34" s="79">
        <f>H34-I34-J34</f>
        <v>645800.3600000001</v>
      </c>
      <c r="L34" s="80" t="s">
        <v>26</v>
      </c>
      <c r="M34" s="81"/>
      <c r="N34" s="81"/>
      <c r="O34" s="1"/>
      <c r="P34" s="5"/>
      <c r="Q34" s="5"/>
      <c r="R34" s="82"/>
      <c r="S34" s="83"/>
      <c r="T34" s="211" t="s">
        <v>46</v>
      </c>
      <c r="U34" s="211"/>
      <c r="V34" s="211"/>
      <c r="W34" s="73"/>
      <c r="X34" s="73"/>
      <c r="Y34" s="84"/>
    </row>
    <row r="35" spans="1:25" ht="64.5" customHeight="1">
      <c r="A35" s="1"/>
      <c r="B35" s="1"/>
      <c r="C35" s="11"/>
      <c r="D35" s="212" t="s">
        <v>47</v>
      </c>
      <c r="E35" s="212"/>
      <c r="F35" s="78">
        <f>IF($Q$14="Sim",T50,0)</f>
        <v>546362.402</v>
      </c>
      <c r="G35" s="78">
        <f>ROUND(F35*0.4,2)</f>
        <v>218544.96</v>
      </c>
      <c r="H35" s="78">
        <f>F35-G35</f>
        <v>327817.44200000004</v>
      </c>
      <c r="I35" s="79">
        <v>0</v>
      </c>
      <c r="J35" s="79">
        <f>ROUND(IF(H35&gt;=[1]IR!$B$4, H35*[1]IR!$C$4-[1]IR!$D$4, IF(H35&gt;=[1]IR!$B$5, H35*[1]IR!$C$5-[1]IR!$D$5, IF(H35&gt;=[1]IR!$B$6, H35*[1]IR!$C$6-[1]IR!$D$6, IF(H35&gt;=[1]IR!$B$7, H35*[1]IR!$C$7-[1]IR!$D$7, 0)))),2)</f>
        <v>89253.8</v>
      </c>
      <c r="K35" s="79">
        <f>H35-I35-J35</f>
        <v>238563.64200000005</v>
      </c>
      <c r="L35" s="80" t="s">
        <v>26</v>
      </c>
      <c r="M35" s="2"/>
      <c r="N35" s="2"/>
      <c r="O35" s="1"/>
      <c r="P35" s="5"/>
      <c r="Q35" s="5"/>
      <c r="R35" s="85" t="s">
        <v>48</v>
      </c>
      <c r="S35" s="86">
        <f>R25</f>
        <v>54636240.199999996</v>
      </c>
      <c r="T35" s="82"/>
      <c r="U35" s="87"/>
      <c r="V35" s="87"/>
      <c r="W35" s="73"/>
      <c r="X35" s="73"/>
      <c r="Y35" s="5"/>
    </row>
    <row r="36" spans="1:25" ht="48.75" customHeight="1">
      <c r="A36" s="1"/>
      <c r="B36" s="1"/>
      <c r="C36" s="11"/>
      <c r="D36" s="213" t="s">
        <v>49</v>
      </c>
      <c r="E36" s="213"/>
      <c r="F36" s="88">
        <f t="shared" ref="F36:I36" si="1">SUM(F34:F35)</f>
        <v>1639087.202</v>
      </c>
      <c r="G36" s="88">
        <f t="shared" si="1"/>
        <v>655634.88</v>
      </c>
      <c r="H36" s="88">
        <f>SUM(H34:H35)</f>
        <v>983452.32200000016</v>
      </c>
      <c r="I36" s="88">
        <f t="shared" si="1"/>
        <v>0</v>
      </c>
      <c r="J36" s="88">
        <f>SUM(J34:J35)</f>
        <v>99088.320000000007</v>
      </c>
      <c r="K36" s="88">
        <f>SUM(K34:K35)</f>
        <v>884364.00200000009</v>
      </c>
      <c r="L36" s="88" t="s">
        <v>26</v>
      </c>
      <c r="M36" s="2"/>
      <c r="N36" s="2"/>
      <c r="O36" s="1"/>
      <c r="P36" s="5"/>
      <c r="Q36" s="5"/>
      <c r="R36" s="89" t="s">
        <v>50</v>
      </c>
      <c r="S36" s="90">
        <f>S35*S26</f>
        <v>32127294.23</v>
      </c>
      <c r="T36" s="82">
        <f>K18*S36</f>
        <v>11630080.511260001</v>
      </c>
      <c r="U36" s="91">
        <f>SUM(S36:T36)</f>
        <v>43757374.74126</v>
      </c>
      <c r="V36" s="92" t="s">
        <v>51</v>
      </c>
      <c r="W36" s="73"/>
      <c r="X36" s="73"/>
      <c r="Y36" s="5"/>
    </row>
    <row r="37" spans="1:25" ht="23.25">
      <c r="A37" s="1"/>
      <c r="B37" s="1"/>
      <c r="C37" s="11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1"/>
      <c r="P37" s="5"/>
      <c r="Q37" s="5"/>
      <c r="R37" s="89" t="s">
        <v>52</v>
      </c>
      <c r="S37" s="90">
        <f>U26*S35</f>
        <v>7987419.5699999994</v>
      </c>
      <c r="T37" s="82">
        <f>K18*S37</f>
        <v>2891445.8843400003</v>
      </c>
      <c r="U37" s="93">
        <f>SUM(S37:T37)</f>
        <v>10878865.45434</v>
      </c>
      <c r="V37" s="94" t="s">
        <v>53</v>
      </c>
      <c r="W37" s="73"/>
      <c r="X37" s="73"/>
      <c r="Y37" s="5"/>
    </row>
    <row r="38" spans="1:25" ht="38.25" customHeight="1">
      <c r="A38" s="1"/>
      <c r="B38" s="1"/>
      <c r="C38" s="11"/>
      <c r="D38" s="14" t="str" cm="1">
        <f t="array" ref="D38">"Importa a presente conta o valor bruto de R$ " &amp; TEXT(ROUND(H36,2), "#.##0,00") &amp; " (" &amp; PROPER(Converter_numero(ROUND(H36,2))) &amp; ")"</f>
        <v>Importa a presente conta o valor bruto de R$ 983.452,32 (Novecentos E Oitenta E Três Mil, Quatrocentos E Cinquenta E Dois Reais E Trinta E Dois Centavos)</v>
      </c>
      <c r="E38" s="2"/>
      <c r="F38" s="2"/>
      <c r="G38" s="2"/>
      <c r="H38" s="2"/>
      <c r="I38" s="2"/>
      <c r="J38" s="2"/>
      <c r="K38" s="2"/>
      <c r="L38" s="2"/>
      <c r="M38" s="95"/>
      <c r="N38" s="2"/>
      <c r="O38" s="1"/>
      <c r="P38" s="5"/>
      <c r="Q38" s="5"/>
      <c r="R38" s="89" t="s">
        <v>54</v>
      </c>
      <c r="S38" s="90">
        <f>S35*W26</f>
        <v>14521526.399999999</v>
      </c>
      <c r="T38" s="96">
        <f>SUM(T36:T37)</f>
        <v>14521526.395600002</v>
      </c>
      <c r="U38" s="97">
        <f>SUM(U36:U37)</f>
        <v>54636240.195600003</v>
      </c>
      <c r="V38" s="98" t="s">
        <v>55</v>
      </c>
      <c r="W38" s="73"/>
      <c r="X38" s="73"/>
      <c r="Y38" s="5"/>
    </row>
    <row r="39" spans="1:25" ht="23.25">
      <c r="A39" s="1"/>
      <c r="B39" s="1"/>
      <c r="C39" s="11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1"/>
      <c r="P39" s="5"/>
      <c r="Q39" s="5"/>
      <c r="R39" s="99"/>
      <c r="S39" s="100"/>
      <c r="T39" s="99"/>
      <c r="U39" s="100"/>
      <c r="V39" s="73"/>
      <c r="W39" s="73"/>
      <c r="X39" s="73"/>
      <c r="Y39" s="5"/>
    </row>
    <row r="40" spans="1:25" ht="23.25">
      <c r="A40" s="1"/>
      <c r="B40" s="1"/>
      <c r="C40" s="11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1"/>
      <c r="P40" s="5"/>
      <c r="Q40" s="5"/>
      <c r="R40" s="73"/>
      <c r="S40" s="73"/>
      <c r="T40" s="73"/>
      <c r="U40" s="73"/>
      <c r="V40" s="73"/>
      <c r="W40" s="73"/>
      <c r="X40" s="73"/>
      <c r="Y40" s="5"/>
    </row>
    <row r="41" spans="1:25" ht="23.25">
      <c r="A41" s="1"/>
      <c r="B41" s="1"/>
      <c r="C41" s="11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1"/>
      <c r="P41" s="5"/>
      <c r="Q41" s="5"/>
      <c r="R41" s="73"/>
      <c r="S41" s="73"/>
      <c r="T41" s="73"/>
      <c r="U41" s="73"/>
      <c r="V41" s="73"/>
      <c r="W41" s="73"/>
      <c r="X41" s="73"/>
      <c r="Y41" s="5"/>
    </row>
    <row r="42" spans="1:25" ht="23.25">
      <c r="A42" s="1"/>
      <c r="B42" s="1"/>
      <c r="C42" s="101" t="s">
        <v>56</v>
      </c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1"/>
      <c r="P42" s="5"/>
      <c r="Q42" s="5"/>
      <c r="R42" s="73"/>
      <c r="S42" s="214" t="s">
        <v>57</v>
      </c>
      <c r="T42" s="214"/>
      <c r="U42" s="100"/>
      <c r="V42" s="215" t="s">
        <v>58</v>
      </c>
      <c r="W42" s="215"/>
      <c r="X42" s="73"/>
      <c r="Y42" s="5"/>
    </row>
    <row r="43" spans="1:25" ht="30.75" customHeight="1">
      <c r="A43" s="1"/>
      <c r="B43" s="1"/>
      <c r="C43" s="11"/>
      <c r="D43" s="68" t="s">
        <v>59</v>
      </c>
      <c r="E43" s="2"/>
      <c r="F43" s="2"/>
      <c r="G43" s="2"/>
      <c r="H43" s="2"/>
      <c r="I43" s="2"/>
      <c r="J43" s="2"/>
      <c r="K43" s="2"/>
      <c r="L43" s="2"/>
      <c r="M43" s="2"/>
      <c r="N43" s="2"/>
      <c r="O43" s="1"/>
      <c r="P43" s="5"/>
      <c r="Q43" s="5"/>
      <c r="R43" s="73"/>
      <c r="S43" s="102" t="s">
        <v>60</v>
      </c>
      <c r="T43" s="103">
        <f>S35</f>
        <v>54636240.199999996</v>
      </c>
      <c r="U43" s="100"/>
      <c r="V43" s="104" t="s">
        <v>61</v>
      </c>
      <c r="W43" s="105">
        <v>0.73</v>
      </c>
      <c r="X43" s="73"/>
      <c r="Y43" s="5"/>
    </row>
    <row r="44" spans="1:25" ht="46.5">
      <c r="A44" s="1"/>
      <c r="B44" s="1"/>
      <c r="C44" s="11"/>
      <c r="D44" s="106" t="s">
        <v>62</v>
      </c>
      <c r="E44" s="2"/>
      <c r="F44" s="2"/>
      <c r="G44" s="2"/>
      <c r="H44" s="2"/>
      <c r="I44" s="2"/>
      <c r="J44" s="2"/>
      <c r="K44" s="2"/>
      <c r="L44" s="2"/>
      <c r="M44" s="2"/>
      <c r="N44" s="2"/>
      <c r="O44" s="1"/>
      <c r="P44" s="5"/>
      <c r="Q44" s="5"/>
      <c r="R44" s="73"/>
      <c r="S44" s="107" t="s">
        <v>63</v>
      </c>
      <c r="T44" s="108">
        <f>ROUND($T$43*W44,2)</f>
        <v>7649073.6299999999</v>
      </c>
      <c r="U44" s="100"/>
      <c r="V44" s="107" t="s">
        <v>64</v>
      </c>
      <c r="W44" s="109">
        <v>0.14000000000000001</v>
      </c>
      <c r="X44" s="73"/>
      <c r="Y44" s="5"/>
    </row>
    <row r="45" spans="1:25" ht="23.25">
      <c r="A45" s="1"/>
      <c r="B45" s="1"/>
      <c r="C45" s="11"/>
      <c r="D45" s="106" t="s">
        <v>65</v>
      </c>
      <c r="E45" s="2"/>
      <c r="F45" s="2"/>
      <c r="G45" s="2"/>
      <c r="H45" s="2"/>
      <c r="I45" s="2"/>
      <c r="J45" s="2"/>
      <c r="K45" s="2"/>
      <c r="L45" s="2"/>
      <c r="M45" s="2"/>
      <c r="N45" s="2"/>
      <c r="O45" s="1"/>
      <c r="P45" s="5"/>
      <c r="Q45" s="5"/>
      <c r="R45" s="73"/>
      <c r="S45" s="110" t="s">
        <v>66</v>
      </c>
      <c r="T45" s="111">
        <f>ROUND(T43*W45,2)</f>
        <v>1092724.8</v>
      </c>
      <c r="U45" s="100"/>
      <c r="V45" s="110" t="s">
        <v>67</v>
      </c>
      <c r="W45" s="112">
        <v>0.02</v>
      </c>
      <c r="X45" s="73"/>
      <c r="Y45" s="5"/>
    </row>
    <row r="46" spans="1:25" ht="69.75">
      <c r="A46" s="1"/>
      <c r="B46" s="1"/>
      <c r="C46" s="11"/>
      <c r="D46" s="68" t="s">
        <v>68</v>
      </c>
      <c r="E46" s="2"/>
      <c r="F46" s="2"/>
      <c r="G46" s="2"/>
      <c r="H46" s="2"/>
      <c r="I46" s="2"/>
      <c r="J46" s="2"/>
      <c r="K46" s="2"/>
      <c r="L46" s="2"/>
      <c r="M46" s="2"/>
      <c r="N46" s="2"/>
      <c r="O46" s="1"/>
      <c r="P46" s="5"/>
      <c r="Q46" s="5"/>
      <c r="R46" s="73"/>
      <c r="S46" s="113" t="s">
        <v>69</v>
      </c>
      <c r="T46" s="114">
        <f>$T$43*W46</f>
        <v>728483.20266666659</v>
      </c>
      <c r="U46" s="100"/>
      <c r="V46" s="113" t="s">
        <v>70</v>
      </c>
      <c r="W46" s="115">
        <f>1/3*4%</f>
        <v>1.3333333333333332E-2</v>
      </c>
      <c r="X46" s="73"/>
      <c r="Y46" s="5"/>
    </row>
    <row r="47" spans="1:25" ht="46.5">
      <c r="A47" s="1"/>
      <c r="B47" s="1"/>
      <c r="C47" s="11"/>
      <c r="D47" s="68" t="s">
        <v>71</v>
      </c>
      <c r="E47" s="2"/>
      <c r="F47" s="2"/>
      <c r="G47" s="2"/>
      <c r="H47" s="2"/>
      <c r="I47" s="2"/>
      <c r="J47" s="2"/>
      <c r="K47" s="2"/>
      <c r="L47" s="2"/>
      <c r="M47" s="2"/>
      <c r="N47" s="2"/>
      <c r="O47" s="1"/>
      <c r="P47" s="5"/>
      <c r="Q47" s="5"/>
      <c r="R47" s="99"/>
      <c r="S47" s="116" t="s">
        <v>72</v>
      </c>
      <c r="T47" s="117">
        <f>$T$43*W47</f>
        <v>1112758.0920733332</v>
      </c>
      <c r="U47" s="100"/>
      <c r="V47" s="118" t="s">
        <v>72</v>
      </c>
      <c r="W47" s="119">
        <f>2/3*4%-0.63%</f>
        <v>2.0366666666666665E-2</v>
      </c>
      <c r="X47" s="73"/>
      <c r="Y47" s="5"/>
    </row>
    <row r="48" spans="1:25" ht="23.25">
      <c r="A48" s="1"/>
      <c r="B48" s="1"/>
      <c r="C48" s="11"/>
      <c r="D48" s="68" t="s">
        <v>73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1"/>
      <c r="P48" s="5"/>
      <c r="Q48" s="5"/>
      <c r="R48" s="99"/>
      <c r="S48" s="120" t="s">
        <v>67</v>
      </c>
      <c r="T48" s="121">
        <f>ROUND(T43*W48,2)</f>
        <v>344208.31</v>
      </c>
      <c r="U48" s="100"/>
      <c r="V48" s="118" t="s">
        <v>67</v>
      </c>
      <c r="W48" s="119">
        <v>6.3E-3</v>
      </c>
      <c r="X48" s="73"/>
      <c r="Y48" s="5"/>
    </row>
    <row r="49" spans="1:25" ht="46.5">
      <c r="A49" s="1"/>
      <c r="B49" s="1"/>
      <c r="C49" s="11"/>
      <c r="D49" s="68" t="s">
        <v>74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1"/>
      <c r="P49" s="5"/>
      <c r="Q49" s="5"/>
      <c r="R49" s="99"/>
      <c r="S49" s="122" t="s">
        <v>75</v>
      </c>
      <c r="T49" s="123">
        <f>T43*W49</f>
        <v>2185449.608</v>
      </c>
      <c r="U49" s="100"/>
      <c r="V49" s="122" t="s">
        <v>75</v>
      </c>
      <c r="W49" s="124">
        <v>0.04</v>
      </c>
      <c r="X49" s="73"/>
      <c r="Y49" s="5"/>
    </row>
    <row r="50" spans="1:25" ht="27.75" customHeight="1">
      <c r="A50" s="1"/>
      <c r="B50" s="1"/>
      <c r="C50" s="11"/>
      <c r="D50" s="68" t="s">
        <v>76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1"/>
      <c r="P50" s="5"/>
      <c r="Q50" s="5"/>
      <c r="R50" s="99"/>
      <c r="S50" s="125" t="s">
        <v>77</v>
      </c>
      <c r="T50" s="126">
        <f>T43*W50</f>
        <v>546362.402</v>
      </c>
      <c r="U50" s="100"/>
      <c r="V50" s="125" t="s">
        <v>67</v>
      </c>
      <c r="W50" s="127">
        <v>0.01</v>
      </c>
      <c r="X50" s="73"/>
      <c r="Y50" s="5"/>
    </row>
    <row r="51" spans="1:25" ht="23.25">
      <c r="A51" s="1"/>
      <c r="B51" s="1"/>
      <c r="C51" s="11"/>
      <c r="D51" s="128" t="s">
        <v>78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1"/>
      <c r="P51" s="5"/>
      <c r="Q51" s="5"/>
      <c r="R51" s="99"/>
      <c r="S51" s="129" t="s">
        <v>79</v>
      </c>
      <c r="T51" s="130">
        <f>T43*W51</f>
        <v>546362.402</v>
      </c>
      <c r="U51" s="73"/>
      <c r="V51" s="129" t="s">
        <v>80</v>
      </c>
      <c r="W51" s="131">
        <v>0.01</v>
      </c>
      <c r="X51" s="73"/>
      <c r="Y51" s="5"/>
    </row>
    <row r="52" spans="1:25" ht="23.25">
      <c r="A52" s="1"/>
      <c r="B52" s="1"/>
      <c r="C52" s="11"/>
      <c r="D52" s="128" t="s">
        <v>81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1"/>
      <c r="P52" s="5"/>
      <c r="Q52" s="5"/>
      <c r="R52" s="99"/>
      <c r="S52" s="132" t="s">
        <v>82</v>
      </c>
      <c r="T52" s="133">
        <f>T43*W52</f>
        <v>546362.402</v>
      </c>
      <c r="U52" s="73"/>
      <c r="V52" s="132" t="s">
        <v>82</v>
      </c>
      <c r="W52" s="134">
        <v>0.01</v>
      </c>
      <c r="X52" s="73"/>
      <c r="Y52" s="5"/>
    </row>
    <row r="53" spans="1:25" ht="23.25">
      <c r="A53" s="1"/>
      <c r="B53" s="1"/>
      <c r="C53" s="11"/>
      <c r="D53" s="128" t="s">
        <v>83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1"/>
      <c r="P53" s="5"/>
      <c r="Q53" s="5"/>
      <c r="R53" s="99"/>
      <c r="S53" s="135" t="s">
        <v>84</v>
      </c>
      <c r="T53" s="136">
        <v>0</v>
      </c>
      <c r="U53" s="73"/>
      <c r="V53" s="137" t="s">
        <v>85</v>
      </c>
      <c r="W53" s="138">
        <f>SUM(W43:W52)</f>
        <v>1</v>
      </c>
      <c r="X53" s="73"/>
      <c r="Y53" s="5"/>
    </row>
    <row r="54" spans="1:25" ht="23.25">
      <c r="A54" s="1"/>
      <c r="B54" s="1"/>
      <c r="C54" s="11"/>
      <c r="D54" s="128" t="str">
        <f>IF(H35&gt;=[1]IR!$B$4, CONCATENATE("e MP n° 1171/2023 (LAGUZ - Francinetti Ribeiro do Carmo- Aliquota: " &amp; [1]IR!$C$4*100 &amp;"%"),
  IF(H35&gt;=[1]IR!$B$5, CONCATENATE("e MP n° 1171/2023 (LAGUZ - Francinetti Ribeiro do Carmo- Aliquota: " &amp; [1]IR!$C$5*100 &amp;"%"),
    IF(H35&gt;=[1]IR!$B$6, CONCATENATE("e MP n° 1171/2023 (LAGUZ - Francinetti Ribeiro do Carmo- Aliquota: " &amp; [1]IR!$C$6*100 &amp;"%"),
      IF(H35&gt;=[1]IR!$B$7, CONCATENATE("e MP n° 1171/2023 (LAGUZ - Francinetti Ribeiro do Carmo- Aliquota: " &amp; [1]IR!$C$7*100 &amp;"%"),
        CONCATENATE("e MP n° 1171/2023 (LAGUZ - Francinetti Ribeiro do Carmo- Aliquota Isento)")))))</f>
        <v>e MP n° 1171/2023 (LAGUZ - Francinetti Ribeiro do Carmo- Aliquota: 27,5%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1"/>
      <c r="P54" s="5"/>
      <c r="Q54" s="5"/>
      <c r="R54" s="99"/>
      <c r="S54" s="139" t="s">
        <v>86</v>
      </c>
      <c r="T54" s="140">
        <f>T43-SUM(T44:T53)</f>
        <v>39884455.351259992</v>
      </c>
      <c r="U54" s="73"/>
      <c r="V54" s="73"/>
      <c r="W54" s="73"/>
      <c r="X54" s="73"/>
      <c r="Y54" s="5"/>
    </row>
    <row r="55" spans="1:25" ht="23.25">
      <c r="A55" s="1"/>
      <c r="B55" s="1"/>
      <c r="C55" s="11"/>
      <c r="D55" s="141" t="s">
        <v>87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1"/>
      <c r="P55" s="5"/>
      <c r="Q55" s="5"/>
      <c r="R55" s="99"/>
      <c r="S55" s="142" t="s">
        <v>88</v>
      </c>
      <c r="T55" s="143">
        <f>T54*0.6</f>
        <v>23930673.210755993</v>
      </c>
      <c r="U55" s="73"/>
      <c r="V55" s="73"/>
      <c r="W55" s="73"/>
      <c r="X55" s="73"/>
      <c r="Y55" s="5"/>
    </row>
    <row r="56" spans="1:25" ht="23.25">
      <c r="A56" s="1"/>
      <c r="B56" s="1"/>
      <c r="C56" s="11"/>
      <c r="D56" s="141" t="s">
        <v>89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1"/>
      <c r="P56" s="5"/>
      <c r="Q56" s="5"/>
      <c r="R56" s="99"/>
      <c r="S56" s="5"/>
      <c r="T56" s="5"/>
      <c r="U56" s="5"/>
      <c r="V56" s="5"/>
      <c r="W56" s="5"/>
      <c r="X56" s="73"/>
      <c r="Y56" s="5"/>
    </row>
    <row r="57" spans="1:25" ht="33" customHeight="1">
      <c r="A57" s="1"/>
      <c r="B57" s="1"/>
      <c r="C57" s="11"/>
      <c r="D57" s="128"/>
      <c r="E57" s="2"/>
      <c r="F57" s="2"/>
      <c r="G57" s="2"/>
      <c r="H57" s="2"/>
      <c r="I57" s="2"/>
      <c r="J57" s="2"/>
      <c r="K57" s="2"/>
      <c r="L57" s="2"/>
      <c r="M57" s="2"/>
      <c r="N57" s="2"/>
      <c r="O57" s="1"/>
      <c r="P57" s="5"/>
      <c r="Q57" s="5"/>
      <c r="R57" s="99"/>
      <c r="S57" s="5"/>
      <c r="T57" s="5"/>
      <c r="U57" s="5"/>
      <c r="V57" s="5"/>
      <c r="W57" s="5"/>
      <c r="X57" s="73"/>
      <c r="Y57" s="5"/>
    </row>
    <row r="58" spans="1:25" ht="33.75" customHeight="1">
      <c r="A58" s="1"/>
      <c r="B58" s="1"/>
      <c r="C58" s="11"/>
      <c r="D58" s="128"/>
      <c r="E58" s="2"/>
      <c r="F58" s="2"/>
      <c r="G58" s="2"/>
      <c r="H58" s="2"/>
      <c r="I58" s="2"/>
      <c r="J58" s="2"/>
      <c r="K58" s="2"/>
      <c r="L58" s="2"/>
      <c r="M58" s="2"/>
      <c r="N58" s="2"/>
      <c r="O58" s="1"/>
      <c r="P58" s="5"/>
      <c r="Q58" s="5"/>
      <c r="R58" s="99"/>
      <c r="S58" s="144" t="s">
        <v>90</v>
      </c>
      <c r="T58" s="145" t="s">
        <v>6</v>
      </c>
      <c r="U58" s="146">
        <v>0.08</v>
      </c>
      <c r="V58" s="147" t="s">
        <v>91</v>
      </c>
      <c r="W58" s="73"/>
      <c r="X58" s="73"/>
      <c r="Y58" s="5"/>
    </row>
    <row r="59" spans="1:25" ht="51" customHeight="1">
      <c r="A59" s="1"/>
      <c r="B59" s="1"/>
      <c r="C59" s="11"/>
      <c r="D59" s="128"/>
      <c r="E59" s="128"/>
      <c r="F59" s="128"/>
      <c r="G59" s="128"/>
      <c r="H59" s="128"/>
      <c r="I59" s="128"/>
      <c r="J59" s="128"/>
      <c r="K59" s="128"/>
      <c r="L59" s="128"/>
      <c r="M59" s="128"/>
      <c r="N59" s="2"/>
      <c r="O59" s="1"/>
      <c r="P59" s="5"/>
      <c r="Q59" s="5"/>
      <c r="R59" s="99"/>
      <c r="S59" s="148" t="s">
        <v>92</v>
      </c>
      <c r="T59" s="149">
        <f>IF(T58="Sim", U36, "R$ 0,00")</f>
        <v>43757374.74126</v>
      </c>
      <c r="U59" s="5"/>
      <c r="V59" s="5"/>
      <c r="W59" s="73"/>
      <c r="X59" s="73"/>
      <c r="Y59" s="5"/>
    </row>
    <row r="60" spans="1:25" ht="26.25" customHeight="1">
      <c r="A60" s="1"/>
      <c r="B60" s="1"/>
      <c r="C60" s="11"/>
      <c r="D60" s="206" t="str">
        <f ca="1">"Teresina, " &amp; TEXT(TODAY(), "dd") &amp; " de " &amp; TEXT(TODAY(), "mmmm") &amp; " de " &amp; TEXT(TODAY(), "aaaa")</f>
        <v>Teresina, 17 de fevereiro de 2025</v>
      </c>
      <c r="E60" s="206"/>
      <c r="F60" s="206"/>
      <c r="G60" s="206"/>
      <c r="H60" s="206"/>
      <c r="I60" s="206"/>
      <c r="J60" s="206"/>
      <c r="K60" s="206"/>
      <c r="L60" s="206"/>
      <c r="M60" s="206"/>
      <c r="N60" s="2"/>
      <c r="O60" s="1"/>
      <c r="P60" s="5"/>
      <c r="Q60" s="5"/>
      <c r="R60" s="99"/>
      <c r="S60" s="148" t="str">
        <f>CONCATENATE("Aliquota ", TEXT(U58, "0%"))</f>
        <v>Aliquota 8%</v>
      </c>
      <c r="T60" s="149">
        <f>T59*U58</f>
        <v>3500589.9793008002</v>
      </c>
      <c r="U60" s="5"/>
      <c r="V60" s="5"/>
      <c r="W60" s="73"/>
      <c r="X60" s="73"/>
      <c r="Y60" s="5"/>
    </row>
    <row r="61" spans="1:25" ht="44.25" customHeight="1">
      <c r="A61" s="1"/>
      <c r="B61" s="1"/>
      <c r="C61" s="11"/>
      <c r="D61" s="206" t="str">
        <f>[1]MENU!$AD$24</f>
        <v>Gabriel de Jesus Silva</v>
      </c>
      <c r="E61" s="206"/>
      <c r="F61" s="206"/>
      <c r="G61" s="206"/>
      <c r="H61" s="206"/>
      <c r="I61" s="206"/>
      <c r="J61" s="206"/>
      <c r="K61" s="206"/>
      <c r="L61" s="206"/>
      <c r="M61" s="206"/>
      <c r="N61" s="2"/>
      <c r="O61" s="1"/>
      <c r="P61" s="5"/>
      <c r="Q61" s="5"/>
      <c r="R61" s="99"/>
      <c r="S61" s="150" t="s">
        <v>93</v>
      </c>
      <c r="T61" s="149">
        <v>0</v>
      </c>
      <c r="U61" s="151">
        <v>0</v>
      </c>
      <c r="V61" s="147" t="s">
        <v>94</v>
      </c>
      <c r="W61" s="73"/>
      <c r="X61" s="73"/>
      <c r="Y61" s="5"/>
    </row>
    <row r="62" spans="1:25" ht="42" customHeight="1">
      <c r="A62" s="1"/>
      <c r="B62" s="1"/>
      <c r="C62" s="11"/>
      <c r="D62" s="206" t="str">
        <f>[1]MENU!$AD$25</f>
        <v>Servidor TJ/PI - Coordenadoria de Precatórios</v>
      </c>
      <c r="E62" s="206"/>
      <c r="F62" s="206"/>
      <c r="G62" s="206"/>
      <c r="H62" s="206"/>
      <c r="I62" s="206"/>
      <c r="J62" s="206"/>
      <c r="K62" s="206"/>
      <c r="L62" s="206"/>
      <c r="M62" s="206"/>
      <c r="N62" s="2"/>
      <c r="O62" s="1"/>
      <c r="P62" s="5"/>
      <c r="Q62" s="5"/>
      <c r="R62" s="99"/>
      <c r="S62" s="152" t="s">
        <v>95</v>
      </c>
      <c r="T62" s="149">
        <f>IF(T58="Sim",T60-T61,"R$ 0,00")</f>
        <v>3500589.9793008002</v>
      </c>
      <c r="U62" s="153"/>
      <c r="V62" s="154"/>
      <c r="W62" s="73"/>
      <c r="X62" s="73"/>
      <c r="Y62" s="5"/>
    </row>
    <row r="63" spans="1:25" ht="30.75" customHeight="1">
      <c r="A63" s="1"/>
      <c r="B63" s="1"/>
      <c r="C63" s="11"/>
      <c r="D63" s="206"/>
      <c r="E63" s="206"/>
      <c r="F63" s="206"/>
      <c r="G63" s="206"/>
      <c r="H63" s="206"/>
      <c r="I63" s="206"/>
      <c r="J63" s="206"/>
      <c r="K63" s="206"/>
      <c r="L63" s="206"/>
      <c r="M63" s="206"/>
      <c r="N63" s="2"/>
      <c r="O63" s="1"/>
      <c r="P63" s="5"/>
      <c r="Q63" s="5"/>
      <c r="R63" s="73"/>
      <c r="S63" s="150" t="s">
        <v>96</v>
      </c>
      <c r="T63" s="149">
        <f>T62*0.4</f>
        <v>1400235.9917203202</v>
      </c>
      <c r="U63" s="5"/>
      <c r="V63" s="5"/>
      <c r="W63" s="73"/>
      <c r="X63" s="73"/>
      <c r="Y63" s="5"/>
    </row>
    <row r="64" spans="1:25" ht="38.25" customHeight="1">
      <c r="A64" s="1"/>
      <c r="B64" s="1"/>
      <c r="C64" s="11"/>
      <c r="D64" s="128"/>
      <c r="E64" s="128"/>
      <c r="F64" s="128"/>
      <c r="G64" s="128"/>
      <c r="H64" s="128"/>
      <c r="I64" s="128"/>
      <c r="J64" s="128"/>
      <c r="K64" s="128"/>
      <c r="L64" s="128"/>
      <c r="M64" s="128"/>
      <c r="N64" s="2"/>
      <c r="O64" s="1"/>
      <c r="P64" s="5"/>
      <c r="Q64" s="5"/>
      <c r="R64" s="73"/>
      <c r="S64" s="155" t="s">
        <v>38</v>
      </c>
      <c r="T64" s="156">
        <f>T62-T63</f>
        <v>2100353.9875804801</v>
      </c>
      <c r="U64" s="73"/>
      <c r="V64" s="73"/>
      <c r="W64" s="73"/>
      <c r="X64" s="73"/>
      <c r="Y64" s="5"/>
    </row>
    <row r="65" spans="1:25" ht="38.25" customHeight="1">
      <c r="A65" s="1"/>
      <c r="B65" s="1"/>
      <c r="C65" s="11"/>
      <c r="D65" s="128"/>
      <c r="E65" s="128"/>
      <c r="F65" s="128"/>
      <c r="G65" s="128"/>
      <c r="H65" s="128"/>
      <c r="I65" s="128"/>
      <c r="J65" s="128"/>
      <c r="K65" s="128"/>
      <c r="L65" s="128"/>
      <c r="M65" s="128"/>
      <c r="N65" s="4"/>
      <c r="O65" s="1"/>
      <c r="P65" s="5"/>
      <c r="Q65" s="5"/>
      <c r="R65" s="5"/>
      <c r="S65" s="5"/>
      <c r="T65" s="5"/>
      <c r="U65" s="5"/>
      <c r="V65" s="5"/>
      <c r="W65" s="73"/>
      <c r="X65" s="73"/>
      <c r="Y65" s="5"/>
    </row>
    <row r="66" spans="1:25" ht="33" customHeight="1">
      <c r="A66" s="1"/>
      <c r="B66" s="1"/>
      <c r="C66" s="14"/>
      <c r="D66" s="128"/>
      <c r="E66" s="128"/>
      <c r="F66" s="128"/>
      <c r="G66" s="128"/>
      <c r="H66" s="128"/>
      <c r="I66" s="128"/>
      <c r="J66" s="128"/>
      <c r="K66" s="128"/>
      <c r="L66" s="128"/>
      <c r="M66" s="128"/>
      <c r="N66" s="4"/>
      <c r="O66" s="1"/>
      <c r="P66" s="5"/>
      <c r="Q66" s="5"/>
      <c r="R66" s="5"/>
      <c r="S66" s="207" t="s">
        <v>44</v>
      </c>
      <c r="T66" s="207"/>
      <c r="U66" s="5"/>
      <c r="V66" s="5"/>
      <c r="W66" s="73"/>
      <c r="X66" s="73"/>
      <c r="Y66" s="5"/>
    </row>
    <row r="67" spans="1:25" ht="26.25" customHeight="1">
      <c r="A67" s="1"/>
      <c r="B67" s="1"/>
      <c r="C67" s="14"/>
      <c r="D67" s="128"/>
      <c r="E67" s="128"/>
      <c r="F67" s="128"/>
      <c r="G67" s="128"/>
      <c r="H67" s="128"/>
      <c r="I67" s="128"/>
      <c r="J67" s="128"/>
      <c r="K67" s="128"/>
      <c r="L67" s="128"/>
      <c r="M67" s="128"/>
      <c r="N67" s="4"/>
      <c r="O67" s="1"/>
      <c r="P67" s="5"/>
      <c r="Q67" s="41"/>
      <c r="R67" s="5"/>
      <c r="S67" s="207"/>
      <c r="T67" s="207"/>
      <c r="U67" s="5"/>
      <c r="V67" s="5"/>
      <c r="W67" s="73"/>
      <c r="X67" s="73"/>
      <c r="Y67" s="5"/>
    </row>
    <row r="68" spans="1:25" ht="40.5" customHeight="1">
      <c r="A68" s="1"/>
      <c r="B68" s="1"/>
      <c r="C68" s="11"/>
      <c r="D68" s="128"/>
      <c r="E68" s="128"/>
      <c r="F68" s="128"/>
      <c r="G68" s="128"/>
      <c r="H68" s="128"/>
      <c r="I68" s="128"/>
      <c r="J68" s="128"/>
      <c r="K68" s="128"/>
      <c r="L68" s="128"/>
      <c r="M68" s="128"/>
      <c r="N68" s="4"/>
      <c r="O68" s="1"/>
      <c r="P68" s="5"/>
      <c r="Q68" s="157"/>
      <c r="R68" s="5"/>
      <c r="S68" s="158">
        <f>(IF(V72="Sim",R25,0))</f>
        <v>54636240.199999996</v>
      </c>
      <c r="T68" s="159">
        <v>94</v>
      </c>
      <c r="U68" s="5"/>
      <c r="V68" s="5"/>
      <c r="W68" s="73"/>
      <c r="X68" s="73"/>
      <c r="Y68" s="5"/>
    </row>
    <row r="69" spans="1:25" ht="51.2" customHeight="1">
      <c r="A69" s="1"/>
      <c r="B69" s="1"/>
      <c r="C69" s="160"/>
      <c r="D69" s="128"/>
      <c r="E69" s="128"/>
      <c r="F69" s="128"/>
      <c r="G69" s="128"/>
      <c r="H69" s="128"/>
      <c r="I69" s="128"/>
      <c r="J69" s="128"/>
      <c r="K69" s="128"/>
      <c r="L69" s="128"/>
      <c r="M69" s="128"/>
      <c r="N69" s="4"/>
      <c r="O69" s="1"/>
      <c r="P69" s="5"/>
      <c r="Q69" s="5"/>
      <c r="R69" s="5"/>
      <c r="S69" s="158">
        <f>T55</f>
        <v>23930673.210755993</v>
      </c>
      <c r="T69" s="161" t="s">
        <v>97</v>
      </c>
      <c r="U69" s="5"/>
      <c r="V69" s="5"/>
      <c r="W69" s="73"/>
      <c r="X69" s="73"/>
      <c r="Y69" s="5"/>
    </row>
    <row r="70" spans="1:25" ht="51.2" customHeight="1">
      <c r="A70" s="1"/>
      <c r="B70" s="1"/>
      <c r="C70" s="160"/>
      <c r="D70" s="128"/>
      <c r="E70" s="128"/>
      <c r="F70" s="128"/>
      <c r="G70" s="128"/>
      <c r="H70" s="128"/>
      <c r="I70" s="128"/>
      <c r="J70" s="128"/>
      <c r="K70" s="128"/>
      <c r="L70" s="128"/>
      <c r="M70" s="128"/>
      <c r="N70" s="4"/>
      <c r="O70" s="1"/>
      <c r="P70" s="5"/>
      <c r="Q70" s="5"/>
      <c r="R70" s="5"/>
      <c r="S70" s="161"/>
      <c r="T70" s="161">
        <f>(S69*T68)/S68</f>
        <v>41.172000005429794</v>
      </c>
      <c r="U70" s="5"/>
      <c r="V70" s="5"/>
      <c r="W70" s="5"/>
      <c r="X70" s="5"/>
      <c r="Y70" s="5"/>
    </row>
    <row r="71" spans="1:25" ht="51.2" customHeight="1">
      <c r="A71" s="1"/>
      <c r="B71" s="1"/>
      <c r="C71" s="160"/>
      <c r="D71" s="128"/>
      <c r="E71" s="128"/>
      <c r="F71" s="128"/>
      <c r="G71" s="128"/>
      <c r="H71" s="128"/>
      <c r="I71" s="128"/>
      <c r="J71" s="128"/>
      <c r="K71" s="128"/>
      <c r="L71" s="128"/>
      <c r="M71" s="128"/>
      <c r="N71" s="4"/>
      <c r="O71" s="1"/>
      <c r="P71" s="5"/>
      <c r="Q71" s="5"/>
      <c r="R71" s="5"/>
      <c r="S71" s="5"/>
      <c r="T71" s="5"/>
      <c r="U71" s="5"/>
      <c r="V71" s="5"/>
      <c r="W71" s="73"/>
      <c r="X71" s="73"/>
      <c r="Y71" s="73"/>
    </row>
    <row r="72" spans="1:25" ht="38.25" customHeight="1">
      <c r="A72" s="1"/>
      <c r="B72" s="1"/>
      <c r="C72" s="160"/>
      <c r="D72" s="128"/>
      <c r="E72" s="128"/>
      <c r="F72" s="128"/>
      <c r="G72" s="128"/>
      <c r="H72" s="128"/>
      <c r="I72" s="128"/>
      <c r="J72" s="128"/>
      <c r="K72" s="128"/>
      <c r="L72" s="128"/>
      <c r="M72" s="128"/>
      <c r="N72" s="4"/>
      <c r="O72" s="1"/>
      <c r="P72" s="5"/>
      <c r="Q72" s="5"/>
      <c r="R72" s="5"/>
      <c r="S72" s="208" t="s">
        <v>98</v>
      </c>
      <c r="T72" s="162" t="s">
        <v>99</v>
      </c>
      <c r="U72" s="163">
        <f>U36</f>
        <v>43757374.74126</v>
      </c>
      <c r="V72" s="209" t="s">
        <v>6</v>
      </c>
      <c r="W72" s="73"/>
      <c r="X72" s="73"/>
      <c r="Y72" s="73"/>
    </row>
    <row r="73" spans="1:25" ht="69.75">
      <c r="A73" s="1"/>
      <c r="B73" s="1"/>
      <c r="C73" s="160"/>
      <c r="D73" s="2"/>
      <c r="E73" s="2"/>
      <c r="F73" s="2"/>
      <c r="G73" s="2"/>
      <c r="H73" s="2"/>
      <c r="I73" s="2"/>
      <c r="J73" s="2"/>
      <c r="K73" s="2"/>
      <c r="L73" s="2"/>
      <c r="M73" s="2"/>
      <c r="N73" s="4"/>
      <c r="O73" s="1"/>
      <c r="P73" s="5"/>
      <c r="Q73" s="5"/>
      <c r="R73" s="5"/>
      <c r="S73" s="208"/>
      <c r="T73" s="164" t="s">
        <v>93</v>
      </c>
      <c r="U73" s="165">
        <v>0</v>
      </c>
      <c r="V73" s="210"/>
      <c r="W73" s="73"/>
      <c r="X73" s="73"/>
      <c r="Y73" s="73"/>
    </row>
    <row r="74" spans="1:25" ht="23.25">
      <c r="A74" s="1"/>
      <c r="B74" s="1"/>
      <c r="C74" s="14"/>
      <c r="D74" s="2"/>
      <c r="E74" s="2"/>
      <c r="F74" s="2"/>
      <c r="G74" s="2"/>
      <c r="H74" s="2"/>
      <c r="I74" s="2"/>
      <c r="J74" s="2"/>
      <c r="K74" s="2"/>
      <c r="L74" s="2"/>
      <c r="M74" s="2"/>
      <c r="N74" s="4"/>
      <c r="O74" s="1"/>
      <c r="P74" s="5"/>
      <c r="Q74" s="5"/>
      <c r="R74" s="5"/>
      <c r="S74" s="166" t="s">
        <v>100</v>
      </c>
      <c r="T74" s="167"/>
      <c r="U74" s="168">
        <f>R9*(U72+U73)</f>
        <v>11376917.4327276</v>
      </c>
      <c r="V74" s="169"/>
      <c r="W74" s="73"/>
      <c r="X74" s="73"/>
      <c r="Y74" s="73"/>
    </row>
    <row r="75" spans="1:25" ht="23.25">
      <c r="A75" s="1"/>
      <c r="B75" s="1"/>
      <c r="C75" s="14"/>
      <c r="D75" s="2"/>
      <c r="E75" s="2"/>
      <c r="F75" s="2"/>
      <c r="G75" s="2"/>
      <c r="H75" s="2"/>
      <c r="I75" s="2"/>
      <c r="J75" s="2"/>
      <c r="K75" s="2"/>
      <c r="L75" s="2"/>
      <c r="M75" s="2"/>
      <c r="N75" s="4"/>
      <c r="O75" s="1"/>
      <c r="P75" s="5"/>
      <c r="Q75" s="5"/>
      <c r="R75" s="5"/>
      <c r="S75" s="170" t="s">
        <v>101</v>
      </c>
      <c r="T75" s="154"/>
      <c r="U75" s="171">
        <f>R11*(U72+U73)</f>
        <v>437573.74741260003</v>
      </c>
      <c r="V75" s="169"/>
      <c r="W75" s="73"/>
      <c r="X75" s="73"/>
      <c r="Y75" s="73"/>
    </row>
    <row r="76" spans="1:25" ht="22.5" customHeight="1">
      <c r="A76" s="1"/>
      <c r="B76" s="1"/>
      <c r="C76" s="14"/>
      <c r="D76" s="67"/>
      <c r="E76" s="67"/>
      <c r="F76" s="67"/>
      <c r="G76" s="67"/>
      <c r="H76" s="14"/>
      <c r="I76" s="14"/>
      <c r="J76" s="14"/>
      <c r="K76" s="12"/>
      <c r="L76" s="3"/>
      <c r="M76" s="3"/>
      <c r="N76" s="4"/>
      <c r="O76" s="1"/>
      <c r="P76" s="5"/>
      <c r="Q76" s="5"/>
      <c r="R76" s="5"/>
      <c r="S76" s="172" t="s">
        <v>92</v>
      </c>
      <c r="T76" s="73"/>
      <c r="U76" s="173">
        <f>U72-U73-U74-U75</f>
        <v>31942883.561119802</v>
      </c>
      <c r="V76" s="169"/>
      <c r="W76" s="73"/>
      <c r="X76" s="73"/>
      <c r="Y76" s="73"/>
    </row>
    <row r="77" spans="1:25" ht="18.95" customHeight="1">
      <c r="A77" s="1"/>
      <c r="B77" s="1"/>
      <c r="D77" s="67"/>
      <c r="E77" s="67"/>
      <c r="F77" s="67"/>
      <c r="G77" s="67"/>
      <c r="H77" s="14"/>
      <c r="I77" s="16"/>
      <c r="J77" s="16"/>
      <c r="K77" s="12"/>
      <c r="L77" s="3"/>
      <c r="M77" s="3"/>
      <c r="N77" s="4"/>
      <c r="O77" s="1"/>
      <c r="P77" s="5"/>
      <c r="Q77" s="5"/>
      <c r="R77" s="5"/>
      <c r="S77" s="170" t="s">
        <v>102</v>
      </c>
      <c r="T77" s="73"/>
      <c r="U77" s="173">
        <f>U76*0.4</f>
        <v>12777153.424447922</v>
      </c>
      <c r="V77" s="174"/>
      <c r="W77" s="73"/>
      <c r="X77" s="73"/>
      <c r="Y77" s="73"/>
    </row>
    <row r="78" spans="1:25" ht="23.25">
      <c r="A78" s="1"/>
      <c r="B78" s="1"/>
      <c r="C78" s="175"/>
      <c r="D78" s="67"/>
      <c r="E78" s="67"/>
      <c r="F78" s="67"/>
      <c r="G78" s="67"/>
      <c r="H78" s="68"/>
      <c r="I78" s="14"/>
      <c r="J78" s="176"/>
      <c r="K78" s="12"/>
      <c r="L78" s="3"/>
      <c r="M78" s="4"/>
      <c r="N78" s="4"/>
      <c r="O78" s="1"/>
      <c r="P78" s="5"/>
      <c r="Q78" s="177"/>
      <c r="R78" s="5"/>
      <c r="S78" s="172" t="s">
        <v>92</v>
      </c>
      <c r="T78" s="73"/>
      <c r="U78" s="173">
        <f>U76-U77</f>
        <v>19165730.136671878</v>
      </c>
      <c r="V78" s="153"/>
      <c r="W78" s="73"/>
      <c r="X78" s="73"/>
      <c r="Y78" s="73"/>
    </row>
    <row r="79" spans="1:25" ht="23.25">
      <c r="A79" s="1"/>
      <c r="B79" s="1"/>
      <c r="C79" s="175"/>
      <c r="D79" s="67"/>
      <c r="E79" s="67"/>
      <c r="F79" s="67"/>
      <c r="G79" s="67"/>
      <c r="H79" s="175"/>
      <c r="I79" s="178"/>
      <c r="J79" s="176"/>
      <c r="K79" s="12"/>
      <c r="L79" s="3"/>
      <c r="M79" s="4"/>
      <c r="N79" s="4"/>
      <c r="O79" s="1"/>
      <c r="P79" s="5"/>
      <c r="Q79" s="177"/>
      <c r="R79" s="5"/>
      <c r="S79" s="179" t="s">
        <v>103</v>
      </c>
      <c r="T79" s="73"/>
      <c r="U79" s="173">
        <f>T64</f>
        <v>2100353.9875804801</v>
      </c>
      <c r="V79" s="169"/>
      <c r="W79" s="73"/>
      <c r="X79" s="73"/>
      <c r="Y79" s="73"/>
    </row>
    <row r="80" spans="1:25" ht="23.25">
      <c r="A80" s="1"/>
      <c r="B80" s="1"/>
      <c r="C80" s="175"/>
      <c r="D80" s="67"/>
      <c r="E80" s="67"/>
      <c r="F80" s="67"/>
      <c r="G80" s="67"/>
      <c r="H80" s="68"/>
      <c r="I80" s="14"/>
      <c r="J80" s="14"/>
      <c r="K80" s="12"/>
      <c r="L80" s="3"/>
      <c r="M80" s="4"/>
      <c r="N80" s="4"/>
      <c r="O80" s="1"/>
      <c r="P80" s="5"/>
      <c r="Q80" s="180"/>
      <c r="R80" s="5"/>
      <c r="S80" s="181" t="s">
        <v>92</v>
      </c>
      <c r="T80" s="182"/>
      <c r="U80" s="183">
        <f>U78-U79</f>
        <v>17065376.1490914</v>
      </c>
      <c r="V80" s="184"/>
      <c r="W80" s="73"/>
      <c r="X80" s="73"/>
      <c r="Y80" s="73"/>
    </row>
    <row r="81" spans="1:26" ht="23.25">
      <c r="A81" s="1"/>
      <c r="B81" s="1"/>
      <c r="C81" s="175"/>
      <c r="D81" s="67"/>
      <c r="E81" s="67"/>
      <c r="F81" s="67"/>
      <c r="G81" s="67"/>
      <c r="H81" s="68"/>
      <c r="I81" s="14"/>
      <c r="J81" s="14"/>
      <c r="K81" s="12"/>
      <c r="L81" s="3"/>
      <c r="M81" s="4"/>
      <c r="N81" s="4"/>
      <c r="O81" s="1"/>
      <c r="P81" s="5"/>
      <c r="Q81" s="185"/>
      <c r="R81" s="5"/>
      <c r="S81" s="170" t="s">
        <v>44</v>
      </c>
      <c r="T81" s="154"/>
      <c r="U81" s="186">
        <f>Z95</f>
        <v>41</v>
      </c>
      <c r="V81" s="169"/>
      <c r="W81" s="73"/>
      <c r="X81" s="73"/>
      <c r="Y81" s="73"/>
    </row>
    <row r="82" spans="1:26" ht="28.5" customHeight="1">
      <c r="A82" s="1"/>
      <c r="B82" s="1"/>
      <c r="C82" s="68"/>
      <c r="D82" s="67"/>
      <c r="E82" s="67"/>
      <c r="F82" s="67"/>
      <c r="G82" s="67"/>
      <c r="H82" s="68"/>
      <c r="I82" s="14"/>
      <c r="J82" s="14"/>
      <c r="K82" s="12"/>
      <c r="L82" s="3"/>
      <c r="M82" s="4"/>
      <c r="N82" s="4"/>
      <c r="O82" s="1"/>
      <c r="P82" s="5"/>
      <c r="Q82" s="5"/>
      <c r="R82" s="5"/>
      <c r="S82" s="170" t="s">
        <v>104</v>
      </c>
      <c r="T82" s="154"/>
      <c r="U82" s="187">
        <f>U80/U81</f>
        <v>416228.68656320486</v>
      </c>
      <c r="V82" s="169"/>
      <c r="W82" s="73"/>
      <c r="X82" s="73"/>
      <c r="Y82" s="73"/>
    </row>
    <row r="83" spans="1:26" ht="23.25">
      <c r="A83" s="1"/>
      <c r="B83" s="1"/>
      <c r="C83" s="68"/>
      <c r="D83" s="67"/>
      <c r="E83" s="67"/>
      <c r="F83" s="67"/>
      <c r="G83" s="67"/>
      <c r="H83" s="68"/>
      <c r="I83" s="14"/>
      <c r="J83" s="14"/>
      <c r="K83" s="12"/>
      <c r="L83" s="3"/>
      <c r="M83" s="4"/>
      <c r="N83" s="4"/>
      <c r="O83" s="1"/>
      <c r="P83" s="5"/>
      <c r="Q83" s="5"/>
      <c r="R83" s="5"/>
      <c r="S83" s="170" t="s">
        <v>105</v>
      </c>
      <c r="T83" s="154"/>
      <c r="U83" s="188">
        <f>IF(U82&gt;=[1]IR!$B$4, [1]IR!$C$4, IF(U82&gt;=[1]IR!$B$5, [1]IR!$C$5, IF(U82&gt;=[1]IR!$B$6, [1]IR!$C$6, IF(U82&gt;=[1]IR!$B$7, [1]IR!$C$7, [1]IR!$C$8))))</f>
        <v>0.27500000000000002</v>
      </c>
      <c r="V83" s="169"/>
      <c r="W83" s="73"/>
      <c r="X83" s="73"/>
      <c r="Y83" s="73"/>
    </row>
    <row r="84" spans="1:26" ht="27" customHeight="1">
      <c r="A84" s="1"/>
      <c r="B84" s="1"/>
      <c r="C84" s="68"/>
      <c r="D84" s="67"/>
      <c r="E84" s="67"/>
      <c r="F84" s="67"/>
      <c r="G84" s="67"/>
      <c r="H84" s="68"/>
      <c r="I84" s="14"/>
      <c r="J84" s="14"/>
      <c r="K84" s="12"/>
      <c r="L84" s="3"/>
      <c r="M84" s="4"/>
      <c r="N84" s="4"/>
      <c r="O84" s="1"/>
      <c r="P84" s="5"/>
      <c r="Q84" s="5"/>
      <c r="R84" s="5"/>
      <c r="S84" s="170" t="s">
        <v>106</v>
      </c>
      <c r="T84" s="154"/>
      <c r="U84" s="187">
        <f>IF(U83=[1]IR!$C$7, U82*U83-[1]IR!$D$7, IF(U83=[1]IR!$C$6, U82*U83-[1]IR!$D$6, IF(U83=[1]IR!$C$5, U82*U83-[1]IR!$D$5, IF(U83=[1]IR!$C$4, U82*U83-[1]IR!$D$4, 0))))</f>
        <v>113566.88880488134</v>
      </c>
      <c r="V84" s="169"/>
      <c r="W84" s="73"/>
      <c r="X84" s="73"/>
      <c r="Y84" s="73"/>
    </row>
    <row r="85" spans="1:26" ht="21" customHeight="1">
      <c r="A85" s="1"/>
      <c r="B85" s="1"/>
      <c r="C85" s="68"/>
      <c r="D85" s="67"/>
      <c r="E85" s="67"/>
      <c r="F85" s="67"/>
      <c r="G85" s="67"/>
      <c r="H85" s="68"/>
      <c r="I85" s="189"/>
      <c r="J85" s="189"/>
      <c r="K85" s="189"/>
      <c r="L85" s="189"/>
      <c r="M85" s="4"/>
      <c r="N85" s="4"/>
      <c r="O85" s="1"/>
      <c r="P85" s="5"/>
      <c r="Q85" s="5"/>
      <c r="R85" s="5"/>
      <c r="S85" s="190" t="s">
        <v>107</v>
      </c>
      <c r="T85" s="191" t="str">
        <f>"(" &amp; U81 &amp; " meses)"</f>
        <v>(41 meses)</v>
      </c>
      <c r="U85" s="192">
        <f>IF(V72="sim", U84*U81, 0)</f>
        <v>4656242.4410001347</v>
      </c>
      <c r="V85" s="169"/>
      <c r="W85" s="73"/>
      <c r="X85" s="73"/>
      <c r="Y85" s="73"/>
    </row>
    <row r="86" spans="1:26" ht="23.25">
      <c r="A86" s="1"/>
      <c r="B86" s="1"/>
      <c r="C86" s="68"/>
      <c r="D86" s="67"/>
      <c r="E86" s="67"/>
      <c r="F86" s="67"/>
      <c r="G86" s="67"/>
      <c r="H86" s="68"/>
      <c r="I86" s="189"/>
      <c r="J86" s="189"/>
      <c r="K86" s="189"/>
      <c r="L86" s="189"/>
      <c r="M86" s="4"/>
      <c r="N86" s="4"/>
      <c r="O86" s="1"/>
      <c r="P86" s="5"/>
      <c r="Q86" s="169"/>
      <c r="R86" s="169"/>
      <c r="S86" s="169"/>
      <c r="T86" s="169"/>
      <c r="U86" s="169"/>
      <c r="V86" s="169"/>
      <c r="W86" s="169"/>
      <c r="X86" s="73"/>
      <c r="Y86" s="73"/>
    </row>
    <row r="87" spans="1:26" ht="23.25">
      <c r="A87" s="1"/>
      <c r="B87" s="1"/>
      <c r="C87" s="68"/>
      <c r="D87" s="67"/>
      <c r="E87" s="67"/>
      <c r="F87" s="67"/>
      <c r="G87" s="67"/>
      <c r="H87" s="68"/>
      <c r="I87" s="189"/>
      <c r="J87" s="189"/>
      <c r="K87" s="189"/>
      <c r="L87" s="189"/>
      <c r="M87" s="4"/>
      <c r="N87" s="4"/>
      <c r="O87" s="1"/>
      <c r="P87" s="5"/>
      <c r="Q87" s="5"/>
      <c r="R87" s="203" t="s">
        <v>108</v>
      </c>
      <c r="S87" s="204"/>
      <c r="T87" s="204"/>
      <c r="U87" s="204"/>
      <c r="V87" s="204"/>
      <c r="W87" s="204"/>
      <c r="X87" s="205"/>
      <c r="Y87" s="73"/>
    </row>
    <row r="88" spans="1:26" ht="23.25">
      <c r="A88" s="1"/>
      <c r="B88" s="1"/>
      <c r="C88" s="68"/>
      <c r="D88" s="67"/>
      <c r="E88" s="67"/>
      <c r="F88" s="67"/>
      <c r="G88" s="67"/>
      <c r="H88" s="68"/>
      <c r="I88" s="189"/>
      <c r="J88" s="189"/>
      <c r="K88" s="189"/>
      <c r="L88" s="189"/>
      <c r="M88" s="4"/>
      <c r="N88" s="4"/>
      <c r="O88" s="1"/>
      <c r="P88" s="5"/>
      <c r="Q88" s="5"/>
      <c r="R88" s="193"/>
      <c r="S88" s="194"/>
      <c r="T88" s="194"/>
      <c r="U88" s="194"/>
      <c r="V88" s="194"/>
      <c r="W88" s="194"/>
      <c r="X88" s="195">
        <f>T88-U88-V88-W88</f>
        <v>0</v>
      </c>
      <c r="Y88" s="5"/>
    </row>
    <row r="89" spans="1:26" ht="23.25">
      <c r="A89" s="1"/>
      <c r="B89" s="1"/>
      <c r="C89" s="196"/>
      <c r="D89" s="67"/>
      <c r="E89" s="67"/>
      <c r="F89" s="67"/>
      <c r="G89" s="67"/>
      <c r="H89" s="14"/>
      <c r="I89" s="14"/>
      <c r="J89" s="14"/>
      <c r="K89" s="12"/>
      <c r="L89" s="3"/>
      <c r="M89" s="4"/>
      <c r="N89" s="4"/>
      <c r="O89" s="1"/>
      <c r="P89" s="5"/>
      <c r="Q89" s="5"/>
      <c r="R89" s="193">
        <f t="shared" ref="R89:W90" si="2">ROUND(F34,2)</f>
        <v>1092724.8</v>
      </c>
      <c r="S89" s="194">
        <f t="shared" si="2"/>
        <v>437089.92</v>
      </c>
      <c r="T89" s="194">
        <f t="shared" si="2"/>
        <v>655634.88</v>
      </c>
      <c r="U89" s="194">
        <f t="shared" si="2"/>
        <v>0</v>
      </c>
      <c r="V89" s="194">
        <f t="shared" si="2"/>
        <v>9834.52</v>
      </c>
      <c r="W89" s="194">
        <f t="shared" si="2"/>
        <v>645800.36</v>
      </c>
      <c r="X89" s="195">
        <f t="shared" ref="X89:X90" si="3">T89-U89-V89-W89</f>
        <v>0</v>
      </c>
      <c r="Y89" s="5"/>
    </row>
    <row r="90" spans="1:26" ht="23.25">
      <c r="A90" s="1"/>
      <c r="B90" s="1"/>
      <c r="C90" s="196"/>
      <c r="D90" s="67"/>
      <c r="E90" s="67"/>
      <c r="F90" s="67"/>
      <c r="G90" s="67"/>
      <c r="H90" s="14"/>
      <c r="I90" s="14"/>
      <c r="J90" s="14"/>
      <c r="K90" s="12"/>
      <c r="L90" s="3"/>
      <c r="M90" s="4"/>
      <c r="N90" s="4"/>
      <c r="O90" s="1"/>
      <c r="P90" s="5"/>
      <c r="Q90" s="5"/>
      <c r="R90" s="193">
        <f t="shared" si="2"/>
        <v>546362.4</v>
      </c>
      <c r="S90" s="194">
        <f t="shared" si="2"/>
        <v>218544.96</v>
      </c>
      <c r="T90" s="194">
        <f t="shared" si="2"/>
        <v>327817.44</v>
      </c>
      <c r="U90" s="194">
        <f t="shared" si="2"/>
        <v>0</v>
      </c>
      <c r="V90" s="194">
        <f t="shared" si="2"/>
        <v>89253.8</v>
      </c>
      <c r="W90" s="194">
        <f t="shared" si="2"/>
        <v>238563.64</v>
      </c>
      <c r="X90" s="195">
        <f t="shared" si="3"/>
        <v>0</v>
      </c>
      <c r="Y90" s="5"/>
    </row>
    <row r="91" spans="1:26" ht="23.25">
      <c r="A91" s="1"/>
      <c r="B91" s="1"/>
      <c r="C91" s="196"/>
      <c r="D91" s="67"/>
      <c r="E91" s="67"/>
      <c r="F91" s="67"/>
      <c r="G91" s="67"/>
      <c r="H91" s="14"/>
      <c r="I91" s="14"/>
      <c r="J91" s="14"/>
      <c r="K91" s="14"/>
      <c r="L91" s="3"/>
      <c r="M91" s="4"/>
      <c r="N91" s="4"/>
      <c r="O91" s="1"/>
      <c r="P91" s="5"/>
      <c r="Q91" s="5"/>
      <c r="R91" s="193">
        <f>SUM(R88:R90)</f>
        <v>1639087.2000000002</v>
      </c>
      <c r="S91" s="194">
        <f>SUM(S88:S90)</f>
        <v>655634.88</v>
      </c>
      <c r="T91" s="194">
        <f t="shared" ref="T91:V91" si="4">SUM(T88:T90)</f>
        <v>983452.32000000007</v>
      </c>
      <c r="U91" s="194">
        <f t="shared" si="4"/>
        <v>0</v>
      </c>
      <c r="V91" s="194">
        <f t="shared" si="4"/>
        <v>99088.320000000007</v>
      </c>
      <c r="W91" s="194">
        <f>SUM(W88:W90)</f>
        <v>884364</v>
      </c>
      <c r="X91" s="195">
        <f>T91-U91-V91-W91</f>
        <v>0</v>
      </c>
      <c r="Y91" s="5"/>
    </row>
    <row r="92" spans="1:26" ht="23.25">
      <c r="A92" s="1"/>
      <c r="B92" s="1"/>
      <c r="C92" s="196"/>
      <c r="D92" s="67"/>
      <c r="E92" s="67"/>
      <c r="F92" s="67"/>
      <c r="G92" s="67"/>
      <c r="H92" s="14"/>
      <c r="I92" s="14"/>
      <c r="J92" s="14"/>
      <c r="K92" s="14"/>
      <c r="L92" s="3"/>
      <c r="M92" s="4"/>
      <c r="N92" s="4"/>
      <c r="O92" s="1"/>
      <c r="P92" s="5"/>
      <c r="Q92" s="5"/>
      <c r="R92" s="197">
        <f t="shared" ref="R92:W92" si="5">R91-F36</f>
        <v>-1.999999862164259E-3</v>
      </c>
      <c r="S92" s="198">
        <f t="shared" si="5"/>
        <v>0</v>
      </c>
      <c r="T92" s="198">
        <f t="shared" si="5"/>
        <v>-2.0000000949949026E-3</v>
      </c>
      <c r="U92" s="198">
        <f t="shared" si="5"/>
        <v>0</v>
      </c>
      <c r="V92" s="198">
        <f t="shared" si="5"/>
        <v>0</v>
      </c>
      <c r="W92" s="198">
        <f t="shared" si="5"/>
        <v>-2.0000000949949026E-3</v>
      </c>
      <c r="X92" s="199"/>
      <c r="Y92" s="5"/>
    </row>
    <row r="93" spans="1:26" ht="23.25">
      <c r="A93" s="1"/>
      <c r="B93" s="1"/>
      <c r="C93" s="196"/>
      <c r="D93" s="67"/>
      <c r="E93" s="67"/>
      <c r="F93" s="67"/>
      <c r="G93" s="67"/>
      <c r="H93" s="14"/>
      <c r="I93" s="14"/>
      <c r="J93" s="14"/>
      <c r="K93" s="14"/>
      <c r="L93" s="3"/>
      <c r="M93" s="4"/>
      <c r="N93" s="4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6" ht="23.25">
      <c r="A94" s="1"/>
      <c r="B94" s="1"/>
      <c r="C94" s="196"/>
      <c r="D94" s="67"/>
      <c r="E94" s="67"/>
      <c r="F94" s="67"/>
      <c r="G94" s="67"/>
      <c r="H94" s="14"/>
      <c r="I94" s="14"/>
      <c r="J94" s="14"/>
      <c r="K94" s="14"/>
      <c r="L94" s="3"/>
      <c r="M94" s="4"/>
      <c r="N94" s="4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6" ht="23.25">
      <c r="A95" s="1"/>
      <c r="B95" s="1"/>
      <c r="C95" s="128"/>
      <c r="D95" s="67"/>
      <c r="E95" s="67"/>
      <c r="F95" s="67"/>
      <c r="G95" s="67"/>
      <c r="H95" s="14"/>
      <c r="I95" s="14"/>
      <c r="J95" s="14"/>
      <c r="K95" s="14"/>
      <c r="L95" s="196"/>
      <c r="M95" s="4"/>
      <c r="N95" s="4"/>
      <c r="O95" s="1"/>
      <c r="P95" s="5"/>
      <c r="Q95" s="5"/>
      <c r="R95" s="5"/>
      <c r="S95" s="5"/>
      <c r="T95" s="5"/>
      <c r="U95" s="5"/>
      <c r="V95" s="5"/>
      <c r="W95" s="5"/>
      <c r="X95" s="5"/>
      <c r="Y95" s="5"/>
      <c r="Z95" s="6">
        <f>ROUND(T70,0)</f>
        <v>41</v>
      </c>
    </row>
    <row r="96" spans="1:26" ht="23.25">
      <c r="A96" s="1"/>
      <c r="B96" s="1"/>
      <c r="C96" s="14"/>
      <c r="D96" s="67"/>
      <c r="E96" s="67"/>
      <c r="F96" s="67"/>
      <c r="G96" s="67"/>
      <c r="H96" s="14"/>
      <c r="I96" s="14"/>
      <c r="J96" s="14"/>
      <c r="K96" s="14"/>
      <c r="L96" s="196"/>
      <c r="M96" s="4"/>
      <c r="N96" s="4"/>
      <c r="O96" s="1"/>
      <c r="P96" s="5"/>
      <c r="Q96" s="5"/>
      <c r="R96" s="5"/>
      <c r="S96" s="5"/>
      <c r="T96" s="5"/>
      <c r="U96" s="5"/>
      <c r="V96" s="5"/>
      <c r="W96" s="5"/>
      <c r="X96" s="5"/>
      <c r="Y96" s="5"/>
    </row>
    <row r="97" spans="1:25" ht="23.25">
      <c r="A97" s="1"/>
      <c r="B97" s="1"/>
      <c r="C97" s="14"/>
      <c r="D97" s="67"/>
      <c r="E97" s="67"/>
      <c r="F97" s="67"/>
      <c r="G97" s="67"/>
      <c r="H97" s="14"/>
      <c r="I97" s="14"/>
      <c r="J97" s="14"/>
      <c r="K97" s="14"/>
      <c r="L97" s="196"/>
      <c r="M97" s="4"/>
      <c r="N97" s="4"/>
      <c r="O97" s="1"/>
      <c r="P97" s="5"/>
      <c r="Q97" s="5"/>
      <c r="R97" s="5"/>
      <c r="S97" s="5"/>
      <c r="T97" s="5"/>
      <c r="U97" s="5"/>
      <c r="V97" s="5"/>
      <c r="W97" s="5"/>
      <c r="X97" s="5"/>
      <c r="Y97" s="5"/>
    </row>
    <row r="98" spans="1:25" ht="18.95" customHeight="1">
      <c r="A98" s="1"/>
      <c r="B98" s="1"/>
      <c r="C98" s="1"/>
      <c r="D98" s="67"/>
      <c r="E98" s="67"/>
      <c r="F98" s="67"/>
      <c r="G98" s="67"/>
      <c r="H98" s="2"/>
      <c r="I98" s="2"/>
      <c r="J98" s="2"/>
      <c r="K98" s="1"/>
      <c r="L98" s="3"/>
      <c r="M98" s="4"/>
      <c r="N98" s="4"/>
      <c r="O98" s="1"/>
      <c r="P98" s="5"/>
      <c r="Q98" s="5"/>
      <c r="R98" s="5"/>
      <c r="S98" s="5"/>
      <c r="T98" s="5"/>
      <c r="U98" s="5"/>
      <c r="V98" s="5"/>
      <c r="W98" s="5"/>
      <c r="X98" s="5"/>
      <c r="Y98" s="5"/>
    </row>
    <row r="99" spans="1:25" ht="23.25">
      <c r="A99" s="1"/>
      <c r="B99" s="1"/>
      <c r="C99" s="1"/>
      <c r="D99" s="67"/>
      <c r="E99" s="67"/>
      <c r="F99" s="67"/>
      <c r="G99" s="67"/>
      <c r="H99" s="2"/>
      <c r="I99" s="2"/>
      <c r="J99" s="2"/>
      <c r="K99" s="1"/>
      <c r="L99" s="3"/>
      <c r="M99" s="4"/>
      <c r="N99" s="4"/>
      <c r="O99" s="1"/>
      <c r="P99" s="5"/>
      <c r="Q99" s="5"/>
      <c r="R99" s="5"/>
      <c r="S99" s="5"/>
      <c r="T99" s="5"/>
      <c r="U99" s="5"/>
      <c r="V99" s="5"/>
      <c r="W99" s="5"/>
      <c r="X99" s="5"/>
      <c r="Y99" s="5"/>
    </row>
    <row r="100" spans="1:25" ht="23.25">
      <c r="A100" s="1"/>
      <c r="B100" s="1"/>
      <c r="C100" s="1"/>
      <c r="D100" s="67"/>
      <c r="E100" s="67"/>
      <c r="F100" s="67"/>
      <c r="G100" s="67"/>
      <c r="H100" s="2"/>
      <c r="I100" s="2"/>
      <c r="J100" s="2"/>
      <c r="K100" s="1"/>
      <c r="L100" s="3"/>
      <c r="M100" s="4"/>
      <c r="N100" s="4"/>
      <c r="O100" s="1"/>
      <c r="P100" s="5"/>
      <c r="Q100" s="5"/>
      <c r="R100" s="5"/>
      <c r="S100" s="5"/>
      <c r="T100" s="5"/>
      <c r="U100" s="5"/>
      <c r="V100" s="5"/>
      <c r="W100" s="5"/>
      <c r="X100" s="5"/>
      <c r="Y100" s="5"/>
    </row>
    <row r="101" spans="1:25" ht="23.25">
      <c r="A101" s="1"/>
      <c r="B101" s="1"/>
      <c r="C101" s="1"/>
      <c r="D101" s="67"/>
      <c r="E101" s="67"/>
      <c r="F101" s="67"/>
      <c r="G101" s="67"/>
      <c r="H101" s="2"/>
      <c r="I101" s="2"/>
      <c r="J101" s="2"/>
      <c r="K101" s="1"/>
      <c r="L101" s="3"/>
      <c r="M101" s="4"/>
      <c r="N101" s="4"/>
      <c r="O101" s="1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5" ht="36.950000000000003" customHeight="1">
      <c r="A102" s="1"/>
      <c r="B102" s="1"/>
      <c r="C102" s="14"/>
      <c r="D102" s="67"/>
      <c r="E102" s="67"/>
      <c r="F102" s="67"/>
      <c r="G102" s="67"/>
      <c r="H102" s="14"/>
      <c r="I102" s="14"/>
      <c r="J102" s="14"/>
      <c r="K102" s="12"/>
      <c r="L102" s="3"/>
      <c r="M102" s="4"/>
      <c r="N102" s="4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</row>
    <row r="103" spans="1:25" ht="33.4" customHeight="1">
      <c r="A103" s="1"/>
      <c r="B103" s="1"/>
      <c r="C103" s="1"/>
      <c r="D103" s="67"/>
      <c r="E103" s="67"/>
      <c r="F103" s="67"/>
      <c r="G103" s="67"/>
      <c r="H103" s="2"/>
      <c r="I103" s="2"/>
      <c r="J103" s="2"/>
      <c r="K103" s="2"/>
      <c r="L103" s="2"/>
      <c r="M103" s="2"/>
      <c r="N103" s="4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5" ht="23.25">
      <c r="A104" s="1"/>
      <c r="B104" s="1"/>
      <c r="C104" s="189"/>
      <c r="D104" s="67"/>
      <c r="E104" s="67"/>
      <c r="F104" s="67"/>
      <c r="G104" s="67"/>
      <c r="H104" s="2"/>
      <c r="I104" s="2"/>
      <c r="J104" s="2"/>
      <c r="K104" s="2"/>
      <c r="L104" s="2"/>
      <c r="M104" s="2"/>
      <c r="N104" s="4"/>
      <c r="O104" s="1"/>
      <c r="P104" s="5"/>
      <c r="Q104" s="5"/>
      <c r="R104" s="5"/>
      <c r="S104" s="5"/>
      <c r="T104" s="5"/>
      <c r="U104" s="5"/>
      <c r="V104" s="5"/>
      <c r="W104" s="5"/>
      <c r="X104" s="5"/>
      <c r="Y104" s="5"/>
    </row>
    <row r="105" spans="1:25" ht="23.25">
      <c r="A105" s="1"/>
      <c r="B105" s="1"/>
      <c r="C105" s="1"/>
      <c r="D105" s="67"/>
      <c r="E105" s="67"/>
      <c r="F105" s="67"/>
      <c r="G105" s="67"/>
      <c r="H105" s="2"/>
      <c r="I105" s="2"/>
      <c r="J105" s="2"/>
      <c r="K105" s="2"/>
      <c r="L105" s="2"/>
      <c r="M105" s="2"/>
      <c r="N105" s="4"/>
      <c r="O105" s="1"/>
      <c r="P105" s="5"/>
      <c r="Q105" s="5"/>
      <c r="R105" s="5"/>
      <c r="S105" s="5"/>
      <c r="T105" s="5"/>
      <c r="U105" s="5"/>
      <c r="V105" s="5"/>
      <c r="W105" s="5"/>
      <c r="X105" s="5"/>
      <c r="Y105" s="5"/>
    </row>
    <row r="106" spans="1:25" ht="23.45" customHeight="1">
      <c r="A106" s="1"/>
      <c r="B106" s="1"/>
      <c r="C106" s="189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4"/>
      <c r="O106" s="1"/>
      <c r="P106" s="5"/>
      <c r="Q106" s="5"/>
      <c r="R106" s="5"/>
      <c r="S106" s="5"/>
      <c r="T106" s="5"/>
      <c r="U106" s="5"/>
      <c r="V106" s="5"/>
      <c r="W106" s="5"/>
      <c r="X106" s="5"/>
      <c r="Y106" s="5"/>
    </row>
    <row r="107" spans="1:25" ht="23.25">
      <c r="A107" s="1"/>
      <c r="B107" s="1"/>
      <c r="C107" s="1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4"/>
      <c r="O107" s="1"/>
      <c r="P107" s="5"/>
      <c r="Q107" s="5"/>
      <c r="R107" s="5"/>
      <c r="S107" s="5"/>
      <c r="T107" s="5"/>
      <c r="U107" s="5"/>
      <c r="V107" s="5"/>
      <c r="W107" s="5"/>
      <c r="X107" s="5"/>
      <c r="Y107" s="5"/>
    </row>
    <row r="108" spans="1:25" ht="15.6" customHeight="1">
      <c r="A108" s="1"/>
      <c r="B108" s="1"/>
      <c r="C108" s="1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4"/>
      <c r="O108" s="1"/>
      <c r="P108" s="5"/>
      <c r="Q108" s="5"/>
      <c r="R108" s="5"/>
      <c r="S108" s="5"/>
      <c r="T108" s="5"/>
      <c r="U108" s="5"/>
      <c r="V108" s="5"/>
      <c r="W108" s="5"/>
      <c r="X108" s="5"/>
      <c r="Y108" s="5"/>
    </row>
    <row r="109" spans="1:25" ht="15.6" customHeight="1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4"/>
      <c r="P109" s="5"/>
      <c r="Q109" s="5"/>
      <c r="R109" s="5"/>
      <c r="S109" s="5"/>
      <c r="T109" s="5"/>
      <c r="U109" s="5"/>
      <c r="V109" s="5"/>
      <c r="W109" s="5"/>
      <c r="X109" s="5"/>
      <c r="Y109" s="5"/>
    </row>
    <row r="110" spans="1:25" ht="23.25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4"/>
      <c r="O110" s="1"/>
      <c r="P110" s="5"/>
      <c r="Q110" s="5"/>
      <c r="R110" s="5"/>
      <c r="S110" s="5"/>
      <c r="T110" s="5"/>
      <c r="U110" s="5"/>
      <c r="V110" s="5"/>
      <c r="W110" s="5"/>
      <c r="X110" s="5"/>
      <c r="Y110" s="5"/>
    </row>
    <row r="111" spans="1:25" ht="23.25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4"/>
      <c r="O111" s="1"/>
      <c r="P111" s="5"/>
      <c r="Q111" s="5"/>
      <c r="R111" s="5"/>
      <c r="S111" s="5"/>
      <c r="T111" s="5"/>
      <c r="U111" s="5"/>
      <c r="V111" s="5"/>
      <c r="W111" s="5"/>
      <c r="X111" s="5"/>
      <c r="Y111" s="5"/>
    </row>
    <row r="112" spans="1:25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4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23.25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4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15.6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15.6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15.6" customHeight="1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15.6" customHeight="1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15.6" customHeight="1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15.6" customHeight="1">
      <c r="A119" s="1"/>
      <c r="B119" s="1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12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12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12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2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2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2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2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2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C131" s="3"/>
      <c r="D131" s="25"/>
      <c r="E131" s="25"/>
      <c r="F131" s="25"/>
      <c r="G131" s="25"/>
      <c r="H131" s="25"/>
      <c r="I131" s="25"/>
      <c r="J131" s="25"/>
      <c r="K131" s="200"/>
    </row>
    <row r="132" spans="1:25" ht="15.6" customHeight="1">
      <c r="C132" s="200"/>
      <c r="D132" s="25"/>
      <c r="E132" s="25"/>
      <c r="F132" s="25"/>
      <c r="G132" s="25"/>
      <c r="H132" s="25"/>
      <c r="I132" s="25"/>
      <c r="J132" s="25"/>
      <c r="K132" s="200"/>
    </row>
    <row r="133" spans="1:25" ht="15.6" customHeight="1">
      <c r="C133" s="200"/>
      <c r="D133" s="25"/>
      <c r="E133" s="25"/>
      <c r="F133" s="25"/>
      <c r="G133" s="25"/>
      <c r="H133" s="25"/>
      <c r="I133" s="25"/>
      <c r="J133" s="25"/>
      <c r="K133" s="200"/>
    </row>
    <row r="134" spans="1:25" ht="15.6" customHeight="1">
      <c r="C134" s="200"/>
      <c r="D134" s="25"/>
      <c r="E134" s="25"/>
      <c r="F134" s="25"/>
      <c r="G134" s="25"/>
      <c r="H134" s="25"/>
      <c r="I134" s="25"/>
      <c r="J134" s="25"/>
      <c r="K134" s="200"/>
    </row>
    <row r="135" spans="1:25" ht="15.6" customHeight="1">
      <c r="C135" s="200"/>
      <c r="D135" s="25"/>
      <c r="E135" s="25"/>
      <c r="F135" s="25"/>
      <c r="G135" s="25"/>
      <c r="H135" s="25"/>
      <c r="I135" s="25"/>
      <c r="J135" s="25"/>
      <c r="K135" s="200"/>
    </row>
    <row r="136" spans="1:25" ht="15.6" customHeight="1">
      <c r="C136" s="200"/>
      <c r="D136" s="25"/>
      <c r="E136" s="25"/>
      <c r="F136" s="25"/>
      <c r="G136" s="25"/>
      <c r="H136" s="25"/>
      <c r="I136" s="25"/>
      <c r="J136" s="25"/>
      <c r="K136" s="200"/>
    </row>
    <row r="137" spans="1:25" ht="15.6" customHeight="1">
      <c r="C137" s="200"/>
      <c r="D137" s="25"/>
      <c r="E137" s="25"/>
      <c r="F137" s="25"/>
      <c r="G137" s="25"/>
      <c r="H137" s="25"/>
      <c r="I137" s="25"/>
      <c r="J137" s="25"/>
      <c r="K137" s="200"/>
    </row>
    <row r="138" spans="1:25" ht="15.6" customHeight="1">
      <c r="C138" s="200"/>
      <c r="D138" s="25"/>
      <c r="E138" s="25"/>
      <c r="F138" s="25"/>
      <c r="G138" s="25"/>
      <c r="H138" s="25"/>
      <c r="I138" s="25"/>
      <c r="J138" s="25"/>
      <c r="K138" s="200"/>
    </row>
    <row r="139" spans="1:25" ht="15.6" customHeight="1">
      <c r="C139" s="200"/>
      <c r="D139" s="25"/>
      <c r="E139" s="25"/>
      <c r="F139" s="25"/>
      <c r="G139" s="25"/>
      <c r="H139" s="25"/>
      <c r="I139" s="25"/>
      <c r="J139" s="25"/>
      <c r="K139" s="200"/>
    </row>
    <row r="140" spans="1:25" ht="15.6" customHeight="1">
      <c r="C140" s="200"/>
      <c r="D140" s="25"/>
      <c r="E140" s="25"/>
      <c r="F140" s="25"/>
      <c r="G140" s="25"/>
      <c r="H140" s="25"/>
      <c r="I140" s="25"/>
      <c r="J140" s="25"/>
      <c r="K140" s="200"/>
    </row>
    <row r="141" spans="1:25" ht="15.6" customHeight="1">
      <c r="C141" s="200"/>
      <c r="D141" s="25"/>
      <c r="E141" s="25"/>
      <c r="F141" s="25"/>
      <c r="G141" s="25"/>
      <c r="H141" s="25"/>
      <c r="I141" s="25"/>
      <c r="J141" s="25"/>
      <c r="K141" s="200"/>
    </row>
    <row r="142" spans="1:25" ht="15.6" customHeight="1">
      <c r="C142" s="200"/>
      <c r="D142" s="25"/>
      <c r="E142" s="25"/>
      <c r="F142" s="25"/>
      <c r="G142" s="25"/>
      <c r="H142" s="25"/>
      <c r="I142" s="25"/>
      <c r="J142" s="25"/>
      <c r="K142" s="200"/>
    </row>
    <row r="143" spans="1:25" ht="15.6" customHeight="1">
      <c r="C143" s="200"/>
      <c r="D143" s="25"/>
      <c r="E143" s="25"/>
      <c r="F143" s="25"/>
      <c r="G143" s="25"/>
      <c r="H143" s="25"/>
      <c r="I143" s="25"/>
      <c r="J143" s="25"/>
      <c r="K143" s="200"/>
    </row>
    <row r="144" spans="1:25" ht="15.6" customHeight="1">
      <c r="C144" s="200"/>
      <c r="D144" s="25"/>
      <c r="E144" s="25"/>
      <c r="F144" s="25"/>
      <c r="G144" s="25"/>
      <c r="H144" s="25"/>
      <c r="I144" s="25"/>
      <c r="J144" s="25"/>
      <c r="K144" s="200"/>
    </row>
    <row r="145" spans="3:11" ht="15.6" customHeight="1">
      <c r="C145" s="200"/>
      <c r="D145" s="25"/>
      <c r="E145" s="25"/>
      <c r="F145" s="25"/>
      <c r="G145" s="25"/>
      <c r="H145" s="25"/>
      <c r="I145" s="25"/>
      <c r="J145" s="25"/>
      <c r="K145" s="200"/>
    </row>
    <row r="146" spans="3:11" ht="15.6" customHeight="1">
      <c r="C146" s="200"/>
      <c r="D146" s="25"/>
      <c r="E146" s="25"/>
      <c r="F146" s="25"/>
      <c r="G146" s="25"/>
      <c r="H146" s="25"/>
      <c r="I146" s="25"/>
      <c r="J146" s="25"/>
      <c r="K146" s="200"/>
    </row>
    <row r="147" spans="3:11" ht="15.6" customHeight="1">
      <c r="C147" s="200"/>
      <c r="D147" s="25"/>
      <c r="E147" s="25"/>
      <c r="F147" s="25"/>
      <c r="G147" s="25"/>
      <c r="H147" s="25"/>
      <c r="I147" s="25"/>
      <c r="J147" s="25"/>
      <c r="K147" s="200"/>
    </row>
    <row r="148" spans="3:11" ht="15.6" customHeight="1">
      <c r="C148" s="200"/>
      <c r="D148" s="25"/>
      <c r="E148" s="25"/>
      <c r="F148" s="25"/>
      <c r="G148" s="25"/>
      <c r="H148" s="25"/>
      <c r="I148" s="25"/>
      <c r="J148" s="25"/>
      <c r="K148" s="200"/>
    </row>
    <row r="149" spans="3:11" ht="15.6" customHeight="1">
      <c r="C149" s="200"/>
      <c r="D149" s="25"/>
      <c r="E149" s="25"/>
      <c r="F149" s="25"/>
      <c r="G149" s="25"/>
      <c r="H149" s="25"/>
      <c r="I149" s="25"/>
      <c r="J149" s="25"/>
      <c r="K149" s="200"/>
    </row>
    <row r="150" spans="3:11" ht="15.6" customHeight="1">
      <c r="C150" s="200"/>
      <c r="D150" s="25"/>
      <c r="E150" s="25"/>
      <c r="F150" s="25"/>
      <c r="G150" s="25"/>
      <c r="H150" s="25"/>
      <c r="I150" s="25"/>
      <c r="J150" s="25"/>
      <c r="K150" s="200"/>
    </row>
    <row r="151" spans="3:11" ht="15.6" customHeight="1">
      <c r="C151" s="200"/>
      <c r="D151" s="25"/>
      <c r="E151" s="25"/>
      <c r="F151" s="25"/>
      <c r="G151" s="25"/>
      <c r="H151" s="25"/>
      <c r="I151" s="25"/>
      <c r="J151" s="25"/>
      <c r="K151" s="200"/>
    </row>
  </sheetData>
  <mergeCells count="37">
    <mergeCell ref="R11:S11"/>
    <mergeCell ref="C4:L4"/>
    <mergeCell ref="C5:L5"/>
    <mergeCell ref="R8:S8"/>
    <mergeCell ref="R9:S9"/>
    <mergeCell ref="R10:S10"/>
    <mergeCell ref="C13:L13"/>
    <mergeCell ref="R13:S13"/>
    <mergeCell ref="R14:S14"/>
    <mergeCell ref="R17:W17"/>
    <mergeCell ref="K18:K20"/>
    <mergeCell ref="L18:L20"/>
    <mergeCell ref="J21:K21"/>
    <mergeCell ref="R23:W23"/>
    <mergeCell ref="J24:L24"/>
    <mergeCell ref="R24:S24"/>
    <mergeCell ref="T24:U24"/>
    <mergeCell ref="V24:W24"/>
    <mergeCell ref="D60:M60"/>
    <mergeCell ref="J26:L26"/>
    <mergeCell ref="K28:M28"/>
    <mergeCell ref="S31:S32"/>
    <mergeCell ref="D32:L32"/>
    <mergeCell ref="D33:E33"/>
    <mergeCell ref="D34:E34"/>
    <mergeCell ref="T34:V34"/>
    <mergeCell ref="D35:E35"/>
    <mergeCell ref="D36:E36"/>
    <mergeCell ref="S42:T42"/>
    <mergeCell ref="V42:W42"/>
    <mergeCell ref="R87:X87"/>
    <mergeCell ref="D61:M61"/>
    <mergeCell ref="D62:M62"/>
    <mergeCell ref="D63:M63"/>
    <mergeCell ref="S66:T67"/>
    <mergeCell ref="S72:S73"/>
    <mergeCell ref="V72:V73"/>
  </mergeCells>
  <conditionalFormatting sqref="D56 E103:K103">
    <cfRule type="expression" dxfId="13" priority="12">
      <formula>#REF!="Sim"</formula>
    </cfRule>
  </conditionalFormatting>
  <conditionalFormatting sqref="D78:F81">
    <cfRule type="expression" dxfId="12" priority="11">
      <formula>#REF!="Não"</formula>
    </cfRule>
  </conditionalFormatting>
  <conditionalFormatting sqref="D34:L34">
    <cfRule type="expression" dxfId="11" priority="13">
      <formula>$Q$14="Não"</formula>
    </cfRule>
  </conditionalFormatting>
  <conditionalFormatting sqref="D35:L35">
    <cfRule type="expression" dxfId="10" priority="14">
      <formula>$Q$14="Não"</formula>
    </cfRule>
  </conditionalFormatting>
  <conditionalFormatting sqref="J24:N24">
    <cfRule type="expression" dxfId="9" priority="6">
      <formula>$R$4="Honorários sucumbenciais"</formula>
    </cfRule>
    <cfRule type="expression" dxfId="8" priority="9">
      <formula>$V$8="Não"</formula>
    </cfRule>
  </conditionalFormatting>
  <conditionalFormatting sqref="J26:N26">
    <cfRule type="expression" dxfId="7" priority="3">
      <formula>$R$4="Honorários contratuais"</formula>
    </cfRule>
  </conditionalFormatting>
  <conditionalFormatting sqref="J26:N28">
    <cfRule type="expression" dxfId="6" priority="10">
      <formula>$R$8="Não"</formula>
    </cfRule>
  </conditionalFormatting>
  <conditionalFormatting sqref="K28:N28">
    <cfRule type="expression" dxfId="5" priority="7">
      <formula>$R$5="Sim"</formula>
    </cfRule>
    <cfRule type="expression" dxfId="4" priority="8">
      <formula>$V$8="Sim"</formula>
    </cfRule>
  </conditionalFormatting>
  <conditionalFormatting sqref="M24">
    <cfRule type="expression" dxfId="3" priority="5">
      <formula>$R$4="Honorários sucumbenciais"</formula>
    </cfRule>
  </conditionalFormatting>
  <conditionalFormatting sqref="M26">
    <cfRule type="expression" dxfId="2" priority="2">
      <formula>$R$4="Honorários contratuais"</formula>
    </cfRule>
  </conditionalFormatting>
  <conditionalFormatting sqref="N24">
    <cfRule type="expression" dxfId="1" priority="4">
      <formula>$R$4="Honorários sucumbenciais"</formula>
    </cfRule>
  </conditionalFormatting>
  <conditionalFormatting sqref="N26">
    <cfRule type="expression" dxfId="0" priority="1">
      <formula>$R$4="Honorários contratuais"</formula>
    </cfRule>
  </conditionalFormatting>
  <dataValidations count="3">
    <dataValidation type="list" allowBlank="1" showInputMessage="1" showErrorMessage="1" sqref="R8 V8 R5:R6 R10 Q14" xr:uid="{75CD25CE-F869-4436-9F8D-13EA0ED220A8}">
      <formula1>"Sim,Não,"</formula1>
    </dataValidation>
    <dataValidation type="list" allowBlank="1" showInputMessage="1" showErrorMessage="1" sqref="V11:W12 R12:S12" xr:uid="{98036E08-2BF5-4685-A84C-D49736DABCFE}">
      <formula1>"CNPJ,CPF,NÃO"</formula1>
    </dataValidation>
    <dataValidation type="list" allowBlank="1" showInputMessage="1" showErrorMessage="1" sqref="T58 V72" xr:uid="{8016B128-968D-4076-9006-4C7E739CFE14}">
      <formula1>"Sim,Não"</formula1>
    </dataValidation>
  </dataValidations>
  <hyperlinks>
    <hyperlink ref="Q3" location="MENU!A1" display="# MENU" xr:uid="{F2ABC630-F4AC-4099-A601-1D2AC29D1D9F}"/>
  </hyperlinks>
  <pageMargins left="0.7" right="0.7" top="0.75" bottom="0.75" header="0.3" footer="0.3"/>
  <pageSetup paperSize="9" scale="23" orientation="portrait" r:id="rId1"/>
  <colBreaks count="1" manualBreakCount="1">
    <brk id="14" max="67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1952625</xdr:colOff>
                <xdr:row>0</xdr:row>
                <xdr:rowOff>0</xdr:rowOff>
              </from>
              <to>
                <xdr:col>7</xdr:col>
                <xdr:colOff>1771650</xdr:colOff>
                <xdr:row>2</xdr:row>
                <xdr:rowOff>200025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16</xdr:col>
                    <xdr:colOff>3733800</xdr:colOff>
                    <xdr:row>2</xdr:row>
                    <xdr:rowOff>19050</xdr:rowOff>
                  </from>
                  <to>
                    <xdr:col>17</xdr:col>
                    <xdr:colOff>1571625</xdr:colOff>
                    <xdr:row>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15</xdr:col>
                    <xdr:colOff>628650</xdr:colOff>
                    <xdr:row>33</xdr:row>
                    <xdr:rowOff>85725</xdr:rowOff>
                  </from>
                  <to>
                    <xdr:col>16</xdr:col>
                    <xdr:colOff>1524000</xdr:colOff>
                    <xdr:row>34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ACORDO SÓ LAGUZ</vt:lpstr>
      <vt:lpstr>aliquotaprevidencia</vt:lpstr>
      <vt:lpstr>'ACORDO SÓ LAGUZ'!Area_de_impressao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dcterms:created xsi:type="dcterms:W3CDTF">2015-06-05T18:19:34Z</dcterms:created>
  <dcterms:modified xsi:type="dcterms:W3CDTF">2025-02-17T13:31:51Z</dcterms:modified>
</cp:coreProperties>
</file>