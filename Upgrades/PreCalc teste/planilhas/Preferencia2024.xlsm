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D597E59C-D60C-4758-B6AB-057331D844A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EFERENCIA 2024" sheetId="1" r:id="rId1"/>
  </sheets>
  <functionGroups builtInGroupCount="19"/>
  <externalReferences>
    <externalReference r:id="rId2"/>
  </externalReferences>
  <definedNames>
    <definedName name="aliquotaprevidencia">'PREFERENCIA 2024'!$U$57</definedName>
    <definedName name="_xlnm.Print_Area" localSheetId="0">'PREFERENCIA 2024'!$C$1:$N$104</definedName>
    <definedName name="NomeContador">'PREFERENCIA 2024'!$D$92</definedName>
    <definedName name="rratotal">'PREFERENCIA 2024'!$T$63</definedName>
    <definedName name="selicpercentual">'PREFERENCIA 2024'!$M$24</definedName>
    <definedName name="selicvalor">'PREFERENCIA 2024'!$N$24</definedName>
    <definedName name="valorbruto">'PREFERENCIA 2024'!$F$52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2" i="1" l="1"/>
  <c r="D93" i="1"/>
  <c r="D92" i="1"/>
  <c r="F16" i="1"/>
  <c r="E16" i="1"/>
  <c r="F15" i="1"/>
  <c r="E15" i="1"/>
  <c r="E14" i="1"/>
  <c r="E11" i="1"/>
  <c r="E10" i="1"/>
  <c r="D49" i="1" s="1"/>
  <c r="E9" i="1"/>
  <c r="E8" i="1"/>
  <c r="H16" i="1" s="1" a="1"/>
  <c r="H16" i="1" s="1"/>
  <c r="E7" i="1"/>
  <c r="D91" i="1"/>
  <c r="S85" i="1"/>
  <c r="S84" i="1"/>
  <c r="D83" i="1"/>
  <c r="D81" i="1"/>
  <c r="S59" i="1"/>
  <c r="D51" i="1"/>
  <c r="D50" i="1"/>
  <c r="F42" i="1"/>
  <c r="I41" i="1"/>
  <c r="I40" i="1"/>
  <c r="I42" i="1" s="1"/>
  <c r="I39" i="1"/>
  <c r="H39" i="1"/>
  <c r="T35" i="1"/>
  <c r="J34" i="1"/>
  <c r="J30" i="1"/>
  <c r="U26" i="1"/>
  <c r="W26" i="1" s="1"/>
  <c r="L25" i="1"/>
  <c r="R24" i="1"/>
  <c r="M20" i="1"/>
  <c r="AD13" i="1"/>
  <c r="AE12" i="1"/>
  <c r="AD12" i="1"/>
  <c r="J9" i="1" l="1"/>
  <c r="G16" i="1"/>
  <c r="G15" i="1"/>
  <c r="I16" i="1" s="1"/>
  <c r="I17" i="1" s="1"/>
  <c r="E17" i="1"/>
  <c r="J15" i="1"/>
  <c r="G17" i="1" l="1"/>
  <c r="J16" i="1"/>
  <c r="L16" i="1" s="1"/>
  <c r="L15" i="1"/>
  <c r="J17" i="1" l="1"/>
  <c r="L17" i="1"/>
  <c r="N18" i="1" l="1"/>
  <c r="K18" i="1" l="1"/>
  <c r="M24" i="1" s="1"/>
  <c r="M16" i="1" l="1"/>
  <c r="N16" i="1" s="1"/>
  <c r="T27" i="1" s="1"/>
  <c r="M15" i="1"/>
  <c r="N15" i="1" s="1"/>
  <c r="R27" i="1" l="1"/>
  <c r="N17" i="1"/>
  <c r="N24" i="1" s="1"/>
  <c r="N25" i="1" s="1"/>
  <c r="R26" i="1" l="1"/>
  <c r="S27" i="1" s="1"/>
  <c r="V27" i="1"/>
  <c r="T29" i="1" s="1"/>
  <c r="N30" i="1"/>
  <c r="N32" i="1" s="1"/>
  <c r="N34" i="1"/>
  <c r="N36" i="1" s="1"/>
  <c r="M34" i="1"/>
  <c r="G40" i="1"/>
  <c r="G41" i="1"/>
  <c r="H41" i="1" s="1"/>
  <c r="J41" i="1" s="1"/>
  <c r="M30" i="1"/>
  <c r="T44" i="1"/>
  <c r="X61" i="1" l="1"/>
  <c r="T50" i="1"/>
  <c r="D85" i="1" s="1"/>
  <c r="T45" i="1"/>
  <c r="G42" i="1"/>
  <c r="H40" i="1"/>
  <c r="H42" i="1" s="1"/>
  <c r="X60" i="1"/>
  <c r="S63" i="1"/>
  <c r="T26" i="1"/>
  <c r="J40" i="1" l="1"/>
  <c r="J42" i="1" s="1"/>
  <c r="V26" i="1"/>
  <c r="W27" i="1" s="1"/>
  <c r="T47" i="1" s="1"/>
  <c r="U27" i="1"/>
  <c r="V45" i="1"/>
  <c r="U45" i="1"/>
  <c r="U47" i="1" s="1"/>
  <c r="T51" i="1"/>
  <c r="F50" i="1" s="1"/>
  <c r="S64" i="1"/>
  <c r="T65" i="1" s="1"/>
  <c r="T53" i="1"/>
  <c r="F51" i="1" s="1"/>
  <c r="T54" i="1" l="1"/>
  <c r="F49" i="1" s="1"/>
  <c r="Z107" i="1"/>
  <c r="U75" i="1"/>
  <c r="R84" i="1"/>
  <c r="H50" i="1"/>
  <c r="T84" i="1" s="1"/>
  <c r="T58" i="1"/>
  <c r="T59" i="1" s="1"/>
  <c r="T60" i="1" s="1"/>
  <c r="V47" i="1"/>
  <c r="U68" i="1"/>
  <c r="U70" i="1" s="1"/>
  <c r="U72" i="1" s="1"/>
  <c r="E59" i="1" s="1"/>
  <c r="H51" i="1"/>
  <c r="T85" i="1" s="1"/>
  <c r="D84" i="1"/>
  <c r="R85" i="1"/>
  <c r="T46" i="1"/>
  <c r="U46" i="1" s="1"/>
  <c r="V46" i="1" s="1"/>
  <c r="T30" i="1"/>
  <c r="I51" i="1" l="1"/>
  <c r="U85" i="1" s="1"/>
  <c r="V85" i="1" s="1"/>
  <c r="I50" i="1"/>
  <c r="U84" i="1" s="1"/>
  <c r="V84" i="1" s="1"/>
  <c r="G49" i="1"/>
  <c r="U73" i="1"/>
  <c r="U74" i="1" s="1"/>
  <c r="U76" i="1" s="1"/>
  <c r="U77" i="1" s="1"/>
  <c r="U78" i="1" s="1"/>
  <c r="U79" i="1" s="1"/>
  <c r="X58" i="1"/>
  <c r="X59" i="1" s="1"/>
  <c r="E60" i="1"/>
  <c r="R83" i="1"/>
  <c r="R86" i="1" s="1"/>
  <c r="F52" i="1"/>
  <c r="M41" i="1"/>
  <c r="T79" i="1"/>
  <c r="M40" i="1"/>
  <c r="M42" i="1" s="1"/>
  <c r="J49" i="1"/>
  <c r="F59" i="1" s="1"/>
  <c r="R87" i="1" l="1"/>
  <c r="K41" i="1"/>
  <c r="K40" i="1"/>
  <c r="K42" i="1" s="1"/>
  <c r="X62" i="1"/>
  <c r="L41" i="1"/>
  <c r="H49" i="1"/>
  <c r="L40" i="1"/>
  <c r="L42" i="1" s="1"/>
  <c r="D80" i="1"/>
  <c r="G52" i="1"/>
  <c r="S83" i="1"/>
  <c r="D54" i="1" a="1"/>
  <c r="D54" i="1" l="1"/>
  <c r="S86" i="1"/>
  <c r="H52" i="1"/>
  <c r="T83" i="1"/>
  <c r="T86" i="1" s="1"/>
  <c r="T87" i="1" s="1"/>
  <c r="I49" i="1"/>
  <c r="I52" i="1" l="1"/>
  <c r="U83" i="1"/>
  <c r="U86" i="1" s="1"/>
  <c r="V86" i="1" s="1"/>
  <c r="S87" i="1"/>
  <c r="U87" i="1" l="1"/>
  <c r="V8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<sst xmlns="http://schemas.openxmlformats.org/spreadsheetml/2006/main" count="152" uniqueCount="136">
  <si>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</si>
  <si>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</si>
  <si>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</si>
  <si>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</si>
  <si>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</si>
  <si>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</si>
  <si>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</si>
  <si>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</si>
  <si>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</si>
  <si>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</si>
  <si>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</si>
  <si>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</si>
  <si>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</si>
  <si>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</si>
  <si>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</si>
  <si>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</si>
  <si>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</si>
  <si>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</si>
  <si>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</si>
  <si>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</si>
  <si>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</si>
  <si>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</si>
  <si>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</si>
  <si>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</si>
  <si>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</si>
  <si>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</si>
  <si>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</si>
  <si>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</si>
  <si>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</si>
  <si>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</si>
  <si>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Correção</t>
  </si>
  <si>
    <t>Valor Atualizado em Dezembro/2021</t>
  </si>
  <si>
    <t>Juros (%)</t>
  </si>
  <si>
    <t>Valor Juros</t>
  </si>
  <si>
    <t>Valor Atualizado com Juros Dezembro/2021</t>
  </si>
  <si>
    <t xml:space="preserve">Índice de Atualização </t>
  </si>
  <si>
    <t>Valor Atualizado em Abril/2023</t>
  </si>
  <si>
    <t>Índice de Atualização IPCA-E</t>
  </si>
  <si>
    <t>Valor Atualizado com Juros em Janeiro/2025</t>
  </si>
  <si>
    <t>Junho</t>
  </si>
  <si>
    <t>PRINCIPAL</t>
  </si>
  <si>
    <t>-</t>
  </si>
  <si>
    <t>Julho</t>
  </si>
  <si>
    <t>JUROS</t>
  </si>
  <si>
    <t>Agosto</t>
  </si>
  <si>
    <t>TOTAL (a)</t>
  </si>
  <si>
    <t>Setembro</t>
  </si>
  <si>
    <t>Selic acumulada -</t>
  </si>
  <si>
    <t>Outubro</t>
  </si>
  <si>
    <t>Novembro</t>
  </si>
  <si>
    <t>Dezembro</t>
  </si>
  <si>
    <t>Total SELIC Acumulada (B)</t>
  </si>
  <si>
    <t>valor atualizado</t>
  </si>
  <si>
    <t>juros</t>
  </si>
  <si>
    <t>SELIC</t>
  </si>
  <si>
    <t>VERIFICAÇÃO:</t>
  </si>
  <si>
    <t>TOTAL DEVIDO (A+B)</t>
  </si>
  <si>
    <t>Valor a pagar para preferencia: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</si>
  <si>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</si>
  <si>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</si>
  <si>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</si>
  <si>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</si>
  <si>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</si>
  <si>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</si>
  <si>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</si>
  <si>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</si>
  <si>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 DA PREF.</t>
  </si>
  <si>
    <t>TOTAL</t>
  </si>
  <si>
    <t>Para Preferencia</t>
  </si>
  <si>
    <t>INCORPORANDO A SELIC</t>
  </si>
  <si>
    <t>Principal atualizado</t>
  </si>
  <si>
    <t>Principal com Selic</t>
  </si>
  <si>
    <t>Juros atualizado</t>
  </si>
  <si>
    <t>Juros com Selic</t>
  </si>
  <si>
    <t>PAGAMENTO PREFERENCIAL</t>
  </si>
  <si>
    <t>Selic</t>
  </si>
  <si>
    <t>Total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</si>
  <si>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</si>
  <si>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</si>
  <si>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</si>
  <si>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</si>
  <si>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</si>
  <si>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</si>
  <si>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DIVISÃO PAGAMENTO</t>
  </si>
  <si>
    <t>VALOR A PAGAR PREF.</t>
  </si>
  <si>
    <t>(-) HONORÁRIOS CONTRATUAIS</t>
  </si>
  <si>
    <t xml:space="preserve">TOTAL  </t>
  </si>
  <si>
    <t>(-) Pagamento</t>
  </si>
  <si>
    <t>HONORÁRIOS Sucumbencia</t>
  </si>
  <si>
    <t>VALOR EXEQUENTE</t>
  </si>
  <si>
    <t>Notas explicativas:</t>
  </si>
  <si>
    <t>PREVIDENCIA</t>
  </si>
  <si>
    <t>*informar aliquota</t>
  </si>
  <si>
    <t>PREVIDENCIA HERDEIROS</t>
  </si>
  <si>
    <t>Requerente</t>
  </si>
  <si>
    <t>RRA(MESES)</t>
  </si>
  <si>
    <t>BC</t>
  </si>
  <si>
    <t>TOTAL DA PREV: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</si>
  <si>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</si>
  <si>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Divida pela quantidade de herd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</si>
  <si>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</si>
  <si>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DO HERD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</si>
  <si>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</si>
  <si>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A PAGAR PARA O HERD</t>
  </si>
  <si>
    <t>PREV A PAGAR HERD.</t>
  </si>
  <si>
    <t>1- Atualização Monetária conforme Resolução CNJ nº 303/2019 , Resolução Nº 198/2020 TJ-PI e  nº 113.</t>
  </si>
  <si>
    <t>2- Índices de correção monetária, conforme  caput do Art.21- A da Resolução 303/2019 do CNJ.</t>
  </si>
  <si>
    <t>x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</si>
  <si>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</si>
  <si>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</si>
  <si>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</si>
  <si>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</si>
  <si>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Imposto de renda</t>
  </si>
  <si>
    <t>VALOR A PAGAR</t>
  </si>
  <si>
    <t>4- Atualização do cálculo de ID.9999 - Pág. 12.</t>
  </si>
  <si>
    <t>(-) PARCEL. PREF paga atualizada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</si>
  <si>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</si>
  <si>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(-) PARCE. HONORÁRIOS CONTRATUAIS</t>
  </si>
  <si>
    <t>da Resolução nº 303/2019 do CNJ, com redação dada pela Resolução 438/2021, a qual determina que a superpreferência a ser paga</t>
  </si>
  <si>
    <t>(-) OUTRAS DEDUÇÕES</t>
  </si>
  <si>
    <t>deve obedecer o valor da obrigação de pequeno valor vigente na data do trânsito em julgado da fase de conhecimento do</t>
  </si>
  <si>
    <t>BC SEM HONORÁRIOS E OUTRAS DEDUÇÕES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</si>
  <si>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</si>
  <si>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(-) Prev.</t>
  </si>
  <si>
    <t>que fixa o valor da RPV em 05(cinco) salários mínimos.</t>
  </si>
  <si>
    <t>BC SEM PREVIDÊNCIA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</si>
  <si>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</si>
  <si>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</si>
  <si>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BC/MÊS</t>
  </si>
  <si>
    <t>da IN da RFB n° 1332/2013 com redação dada pela IN RFB 1643/2016.</t>
  </si>
  <si>
    <t>ALIQOTA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</si>
  <si>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</si>
  <si>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IR MENSAL</t>
  </si>
  <si>
    <t>lei LEI Nº 14.848, DE 1º DE MAIO DE 2024, e em conformidade com a decisão do Recurso Extraordinário n° 855091/RS, com Repercussão Geral, Tema 808.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</si>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</sst>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"/>
    <numFmt numFmtId="170" formatCode="0.0000"/>
    <numFmt numFmtId="171" formatCode="0.000000"/>
    <numFmt numFmtId="172" formatCode="[$R$-416]&quot; &quot;#,##0.00;[Red]&quot;-&quot;[$R$-416]&quot; &quot;#,##0.00"/>
    <numFmt numFmtId="173" formatCode="0.0000000"/>
    <numFmt numFmtId="174" formatCode="[$R$-416]\ #,##0.00;[Red][$R$-416]\ #,##0.00"/>
    <numFmt numFmtId="175" formatCode="&quot;R$&quot;\ #,##0.00"/>
    <numFmt numFmtId="176" formatCode="[$-416]0.00%"/>
    <numFmt numFmtId="177" formatCode="&quot;R$&quot;#,##0.00_);[Red]\(&quot;R$&quot;#,##0.00\)"/>
    <numFmt numFmtId="178" formatCode="#,##0.00;[Red]&quot;-&quot;#,##0.00"/>
    <numFmt numFmtId="179" formatCode="[$-416]General"/>
    <numFmt numFmtId="180" formatCode="#,##0.000&quot; &quot;;&quot;-&quot;#,##0.000&quot; &quot;;&quot;-&quot;00.0&quot; &quot;;@&quot; &quot;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 applyNumberFormat="0" applyBorder="0" applyProtection="0"/>
  </cellStyleXfs>
  <cellXfs count="24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" fontId="3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0" fontId="3" fillId="3" borderId="0" xfId="0" applyFont="1" applyFill="1"/>
    <xf numFmtId="0" fontId="3" fillId="0" borderId="0" xfId="0" applyFont="1"/>
    <xf numFmtId="4" fontId="3" fillId="0" borderId="0" xfId="0" applyNumberFormat="1" applyFont="1" applyAlignment="1">
      <alignment horizontal="center"/>
    </xf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0" xfId="0" applyFont="1" applyFill="1"/>
    <xf numFmtId="4" fontId="7" fillId="2" borderId="0" xfId="0" applyNumberFormat="1" applyFont="1" applyFill="1" applyAlignment="1">
      <alignment horizontal="center"/>
    </xf>
    <xf numFmtId="0" fontId="8" fillId="2" borderId="0" xfId="0" applyFont="1" applyFill="1"/>
    <xf numFmtId="0" fontId="9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0" fontId="7" fillId="4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14" fontId="9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2" borderId="1" xfId="0" applyFont="1" applyFill="1" applyBorder="1" applyAlignment="1">
      <alignment horizontal="left" wrapText="1"/>
    </xf>
    <xf numFmtId="164" fontId="11" fillId="2" borderId="1" xfId="0" applyNumberFormat="1" applyFont="1" applyFill="1" applyBorder="1" applyAlignment="1">
      <alignment horizontal="left" vertical="center" wrapText="1"/>
    </xf>
    <xf numFmtId="165" fontId="3" fillId="2" borderId="0" xfId="0" applyNumberFormat="1" applyFont="1" applyFill="1"/>
    <xf numFmtId="0" fontId="7" fillId="4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8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/>
    </xf>
    <xf numFmtId="166" fontId="8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167" fontId="3" fillId="0" borderId="0" xfId="0" applyNumberFormat="1" applyFont="1"/>
    <xf numFmtId="0" fontId="14" fillId="6" borderId="2" xfId="0" applyFont="1" applyFill="1" applyBorder="1" applyAlignment="1">
      <alignment horizontal="center" wrapText="1"/>
    </xf>
    <xf numFmtId="168" fontId="14" fillId="0" borderId="2" xfId="0" applyNumberFormat="1" applyFont="1" applyBorder="1" applyAlignment="1">
      <alignment horizontal="center" wrapText="1"/>
    </xf>
    <xf numFmtId="4" fontId="9" fillId="0" borderId="2" xfId="0" applyNumberFormat="1" applyFont="1" applyBorder="1" applyAlignment="1">
      <alignment horizontal="right"/>
    </xf>
    <xf numFmtId="169" fontId="9" fillId="0" borderId="2" xfId="0" applyNumberFormat="1" applyFont="1" applyBorder="1"/>
    <xf numFmtId="170" fontId="9" fillId="0" borderId="2" xfId="0" applyNumberFormat="1" applyFont="1" applyBorder="1" applyAlignment="1">
      <alignment horizontal="center" wrapText="1"/>
    </xf>
    <xf numFmtId="171" fontId="9" fillId="2" borderId="2" xfId="0" applyNumberFormat="1" applyFont="1" applyFill="1" applyBorder="1" applyAlignment="1">
      <alignment horizontal="center" wrapText="1"/>
    </xf>
    <xf numFmtId="164" fontId="9" fillId="0" borderId="2" xfId="0" applyNumberFormat="1" applyFont="1" applyBorder="1"/>
    <xf numFmtId="170" fontId="9" fillId="0" borderId="3" xfId="0" applyNumberFormat="1" applyFont="1" applyBorder="1" applyAlignment="1">
      <alignment horizontal="center" wrapText="1"/>
    </xf>
    <xf numFmtId="0" fontId="14" fillId="7" borderId="2" xfId="0" applyFont="1" applyFill="1" applyBorder="1" applyAlignment="1">
      <alignment horizontal="center" wrapText="1"/>
    </xf>
    <xf numFmtId="172" fontId="14" fillId="7" borderId="2" xfId="0" applyNumberFormat="1" applyFont="1" applyFill="1" applyBorder="1" applyAlignment="1">
      <alignment horizontal="right"/>
    </xf>
    <xf numFmtId="173" fontId="14" fillId="7" borderId="2" xfId="0" applyNumberFormat="1" applyFont="1" applyFill="1" applyBorder="1" applyAlignment="1">
      <alignment horizontal="center" wrapText="1"/>
    </xf>
    <xf numFmtId="172" fontId="14" fillId="7" borderId="2" xfId="0" applyNumberFormat="1" applyFont="1" applyFill="1" applyBorder="1" applyAlignment="1">
      <alignment horizontal="center"/>
    </xf>
    <xf numFmtId="172" fontId="14" fillId="7" borderId="4" xfId="0" applyNumberFormat="1" applyFont="1" applyFill="1" applyBorder="1" applyAlignment="1">
      <alignment horizontal="right"/>
    </xf>
    <xf numFmtId="172" fontId="14" fillId="7" borderId="1" xfId="0" applyNumberFormat="1" applyFont="1" applyFill="1" applyBorder="1" applyAlignment="1">
      <alignment horizontal="right"/>
    </xf>
    <xf numFmtId="173" fontId="14" fillId="7" borderId="1" xfId="0" applyNumberFormat="1" applyFont="1" applyFill="1" applyBorder="1" applyAlignment="1">
      <alignment horizontal="center" wrapText="1"/>
    </xf>
    <xf numFmtId="172" fontId="14" fillId="7" borderId="5" xfId="0" applyNumberFormat="1" applyFont="1" applyFill="1" applyBorder="1" applyAlignment="1">
      <alignment horizontal="right"/>
    </xf>
    <xf numFmtId="173" fontId="14" fillId="7" borderId="6" xfId="0" applyNumberFormat="1" applyFont="1" applyFill="1" applyBorder="1" applyAlignment="1">
      <alignment horizontal="center" wrapText="1"/>
    </xf>
    <xf numFmtId="172" fontId="14" fillId="7" borderId="7" xfId="0" applyNumberFormat="1" applyFont="1" applyFill="1" applyBorder="1" applyAlignment="1">
      <alignment horizontal="right"/>
    </xf>
    <xf numFmtId="172" fontId="3" fillId="3" borderId="0" xfId="0" applyNumberFormat="1" applyFont="1" applyFill="1"/>
    <xf numFmtId="0" fontId="8" fillId="8" borderId="8" xfId="0" applyFont="1" applyFill="1" applyBorder="1" applyAlignment="1">
      <alignment horizontal="center" wrapText="1"/>
    </xf>
    <xf numFmtId="167" fontId="3" fillId="8" borderId="8" xfId="0" applyNumberFormat="1" applyFont="1" applyFill="1" applyBorder="1" applyAlignment="1">
      <alignment horizontal="center"/>
    </xf>
    <xf numFmtId="167" fontId="3" fillId="8" borderId="9" xfId="0" applyNumberFormat="1" applyFont="1" applyFill="1" applyBorder="1" applyAlignment="1">
      <alignment horizontal="center"/>
    </xf>
    <xf numFmtId="10" fontId="3" fillId="2" borderId="0" xfId="0" applyNumberFormat="1" applyFont="1" applyFill="1" applyAlignment="1">
      <alignment horizontal="center" vertical="center"/>
    </xf>
    <xf numFmtId="174" fontId="3" fillId="3" borderId="0" xfId="0" applyNumberFormat="1" applyFont="1" applyFill="1"/>
    <xf numFmtId="0" fontId="5" fillId="9" borderId="1" xfId="0" applyFont="1" applyFill="1" applyBorder="1" applyAlignment="1">
      <alignment horizontal="center" wrapText="1"/>
    </xf>
    <xf numFmtId="10" fontId="3" fillId="9" borderId="1" xfId="0" applyNumberFormat="1" applyFont="1" applyFill="1" applyBorder="1"/>
    <xf numFmtId="4" fontId="3" fillId="9" borderId="1" xfId="0" applyNumberFormat="1" applyFont="1" applyFill="1" applyBorder="1" applyAlignment="1">
      <alignment horizontal="center"/>
    </xf>
    <xf numFmtId="175" fontId="7" fillId="10" borderId="1" xfId="0" applyNumberFormat="1" applyFont="1" applyFill="1" applyBorder="1" applyAlignment="1">
      <alignment horizontal="right"/>
    </xf>
    <xf numFmtId="172" fontId="14" fillId="11" borderId="13" xfId="0" applyNumberFormat="1" applyFont="1" applyFill="1" applyBorder="1"/>
    <xf numFmtId="176" fontId="14" fillId="11" borderId="0" xfId="0" applyNumberFormat="1" applyFont="1" applyFill="1"/>
    <xf numFmtId="172" fontId="14" fillId="11" borderId="0" xfId="0" applyNumberFormat="1" applyFont="1" applyFill="1"/>
    <xf numFmtId="10" fontId="14" fillId="11" borderId="0" xfId="0" applyNumberFormat="1" applyFont="1" applyFill="1"/>
    <xf numFmtId="10" fontId="14" fillId="11" borderId="14" xfId="0" applyNumberFormat="1" applyFont="1" applyFill="1" applyBorder="1"/>
    <xf numFmtId="172" fontId="14" fillId="3" borderId="15" xfId="0" applyNumberFormat="1" applyFont="1" applyFill="1" applyBorder="1"/>
    <xf numFmtId="10" fontId="14" fillId="3" borderId="16" xfId="0" applyNumberFormat="1" applyFont="1" applyFill="1" applyBorder="1"/>
    <xf numFmtId="172" fontId="14" fillId="3" borderId="16" xfId="0" applyNumberFormat="1" applyFont="1" applyFill="1" applyBorder="1"/>
    <xf numFmtId="10" fontId="14" fillId="3" borderId="17" xfId="0" applyNumberFormat="1" applyFont="1" applyFill="1" applyBorder="1" applyAlignment="1">
      <alignment vertical="center"/>
    </xf>
    <xf numFmtId="172" fontId="16" fillId="12" borderId="0" xfId="0" applyNumberFormat="1" applyFont="1" applyFill="1" applyAlignment="1">
      <alignment horizontal="center" vertical="center"/>
    </xf>
    <xf numFmtId="172" fontId="8" fillId="2" borderId="0" xfId="0" applyNumberFormat="1" applyFont="1" applyFill="1" applyAlignment="1">
      <alignment horizontal="center"/>
    </xf>
    <xf numFmtId="172" fontId="17" fillId="2" borderId="20" xfId="0" applyNumberFormat="1" applyFont="1" applyFill="1" applyBorder="1" applyAlignment="1">
      <alignment horizontal="left"/>
    </xf>
    <xf numFmtId="175" fontId="17" fillId="2" borderId="1" xfId="0" applyNumberFormat="1" applyFont="1" applyFill="1" applyBorder="1"/>
    <xf numFmtId="10" fontId="16" fillId="12" borderId="0" xfId="2" applyNumberFormat="1" applyFont="1" applyFill="1" applyAlignment="1">
      <alignment horizontal="center"/>
    </xf>
    <xf numFmtId="0" fontId="18" fillId="2" borderId="0" xfId="0" applyFont="1" applyFill="1" applyAlignment="1">
      <alignment horizontal="right"/>
    </xf>
    <xf numFmtId="172" fontId="18" fillId="2" borderId="0" xfId="0" applyNumberFormat="1" applyFont="1" applyFill="1" applyAlignment="1">
      <alignment horizontal="left"/>
    </xf>
    <xf numFmtId="175" fontId="18" fillId="2" borderId="0" xfId="0" applyNumberFormat="1" applyFont="1" applyFill="1"/>
    <xf numFmtId="172" fontId="18" fillId="2" borderId="5" xfId="0" applyNumberFormat="1" applyFont="1" applyFill="1" applyBorder="1" applyAlignment="1">
      <alignment horizontal="left"/>
    </xf>
    <xf numFmtId="172" fontId="18" fillId="2" borderId="2" xfId="0" applyNumberFormat="1" applyFont="1" applyFill="1" applyBorder="1" applyAlignment="1">
      <alignment horizontal="right"/>
    </xf>
    <xf numFmtId="174" fontId="3" fillId="2" borderId="0" xfId="0" applyNumberFormat="1" applyFont="1" applyFill="1"/>
    <xf numFmtId="0" fontId="9" fillId="2" borderId="0" xfId="0" applyFont="1" applyFill="1" applyAlignment="1">
      <alignment horizontal="center"/>
    </xf>
    <xf numFmtId="0" fontId="9" fillId="2" borderId="0" xfId="0" applyFont="1" applyFill="1"/>
    <xf numFmtId="172" fontId="14" fillId="4" borderId="0" xfId="0" applyNumberFormat="1" applyFont="1" applyFill="1" applyAlignment="1">
      <alignment wrapText="1"/>
    </xf>
    <xf numFmtId="172" fontId="15" fillId="13" borderId="0" xfId="0" applyNumberFormat="1" applyFont="1" applyFill="1" applyAlignment="1">
      <alignment horizontal="center"/>
    </xf>
    <xf numFmtId="172" fontId="14" fillId="2" borderId="2" xfId="0" applyNumberFormat="1" applyFont="1" applyFill="1" applyBorder="1" applyAlignment="1">
      <alignment horizontal="right"/>
    </xf>
    <xf numFmtId="0" fontId="10" fillId="3" borderId="0" xfId="0" applyFont="1" applyFill="1"/>
    <xf numFmtId="0" fontId="18" fillId="2" borderId="0" xfId="0" applyFont="1" applyFill="1"/>
    <xf numFmtId="10" fontId="3" fillId="3" borderId="0" xfId="0" applyNumberFormat="1" applyFont="1" applyFill="1"/>
    <xf numFmtId="172" fontId="5" fillId="14" borderId="1" xfId="0" applyNumberFormat="1" applyFont="1" applyFill="1" applyBorder="1" applyAlignment="1">
      <alignment horizontal="center" vertical="center"/>
    </xf>
    <xf numFmtId="172" fontId="5" fillId="14" borderId="1" xfId="0" applyNumberFormat="1" applyFont="1" applyFill="1" applyBorder="1" applyAlignment="1">
      <alignment horizontal="center" vertical="center" wrapText="1"/>
    </xf>
    <xf numFmtId="10" fontId="8" fillId="0" borderId="2" xfId="0" applyNumberFormat="1" applyFont="1" applyBorder="1" applyAlignment="1">
      <alignment horizontal="center" wrapText="1"/>
    </xf>
    <xf numFmtId="174" fontId="10" fillId="2" borderId="1" xfId="0" applyNumberFormat="1" applyFont="1" applyFill="1" applyBorder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10" fontId="5" fillId="7" borderId="2" xfId="0" applyNumberFormat="1" applyFont="1" applyFill="1" applyBorder="1" applyAlignment="1">
      <alignment horizontal="center"/>
    </xf>
    <xf numFmtId="172" fontId="5" fillId="7" borderId="2" xfId="0" applyNumberFormat="1" applyFont="1" applyFill="1" applyBorder="1" applyAlignment="1">
      <alignment horizontal="center"/>
    </xf>
    <xf numFmtId="1" fontId="5" fillId="7" borderId="2" xfId="0" applyNumberFormat="1" applyFont="1" applyFill="1" applyBorder="1" applyAlignment="1">
      <alignment horizontal="center"/>
    </xf>
    <xf numFmtId="0" fontId="15" fillId="15" borderId="0" xfId="0" applyFont="1" applyFill="1"/>
    <xf numFmtId="172" fontId="15" fillId="15" borderId="0" xfId="0" applyNumberFormat="1" applyFont="1" applyFill="1" applyAlignment="1">
      <alignment horizontal="center"/>
    </xf>
    <xf numFmtId="0" fontId="16" fillId="15" borderId="0" xfId="0" applyFont="1" applyFill="1"/>
    <xf numFmtId="172" fontId="16" fillId="15" borderId="0" xfId="0" applyNumberFormat="1" applyFont="1" applyFill="1" applyAlignment="1">
      <alignment horizontal="center"/>
    </xf>
    <xf numFmtId="172" fontId="14" fillId="4" borderId="0" xfId="0" applyNumberFormat="1" applyFont="1" applyFill="1"/>
    <xf numFmtId="172" fontId="20" fillId="4" borderId="10" xfId="0" applyNumberFormat="1" applyFont="1" applyFill="1" applyBorder="1" applyAlignment="1">
      <alignment horizontal="center"/>
    </xf>
    <xf numFmtId="0" fontId="20" fillId="4" borderId="12" xfId="0" applyFont="1" applyFill="1" applyBorder="1"/>
    <xf numFmtId="172" fontId="20" fillId="4" borderId="13" xfId="0" applyNumberFormat="1" applyFont="1" applyFill="1" applyBorder="1" applyAlignment="1">
      <alignment horizontal="center"/>
    </xf>
    <xf numFmtId="0" fontId="20" fillId="4" borderId="14" xfId="0" applyFont="1" applyFill="1" applyBorder="1" applyAlignment="1">
      <alignment horizontal="left"/>
    </xf>
    <xf numFmtId="172" fontId="3" fillId="4" borderId="0" xfId="0" applyNumberFormat="1" applyFont="1" applyFill="1"/>
    <xf numFmtId="172" fontId="20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wrapText="1"/>
    </xf>
    <xf numFmtId="172" fontId="5" fillId="16" borderId="2" xfId="0" applyNumberFormat="1" applyFont="1" applyFill="1" applyBorder="1" applyAlignment="1">
      <alignment horizontal="center"/>
    </xf>
    <xf numFmtId="172" fontId="5" fillId="16" borderId="2" xfId="0" applyNumberFormat="1" applyFont="1" applyFill="1" applyBorder="1" applyAlignment="1">
      <alignment horizontal="center" wrapText="1"/>
    </xf>
    <xf numFmtId="172" fontId="14" fillId="3" borderId="0" xfId="0" applyNumberFormat="1" applyFont="1" applyFill="1"/>
    <xf numFmtId="172" fontId="8" fillId="0" borderId="2" xfId="0" applyNumberFormat="1" applyFont="1" applyBorder="1" applyAlignment="1">
      <alignment horizontal="right"/>
    </xf>
    <xf numFmtId="172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0" fontId="14" fillId="3" borderId="0" xfId="0" applyNumberFormat="1" applyFont="1" applyFill="1"/>
    <xf numFmtId="0" fontId="16" fillId="4" borderId="10" xfId="0" applyFont="1" applyFill="1" applyBorder="1" applyAlignment="1">
      <alignment horizontal="left" vertical="center"/>
    </xf>
    <xf numFmtId="172" fontId="3" fillId="4" borderId="12" xfId="0" applyNumberFormat="1" applyFont="1" applyFill="1" applyBorder="1" applyAlignment="1">
      <alignment vertical="center"/>
    </xf>
    <xf numFmtId="0" fontId="16" fillId="4" borderId="13" xfId="0" applyFont="1" applyFill="1" applyBorder="1" applyAlignment="1">
      <alignment horizontal="left" vertical="center" wrapText="1"/>
    </xf>
    <xf numFmtId="172" fontId="3" fillId="4" borderId="14" xfId="0" applyNumberFormat="1" applyFont="1" applyFill="1" applyBorder="1" applyAlignment="1">
      <alignment horizontal="center" vertical="center" wrapText="1"/>
    </xf>
    <xf numFmtId="0" fontId="10" fillId="2" borderId="0" xfId="0" applyFont="1" applyFill="1"/>
    <xf numFmtId="177" fontId="10" fillId="2" borderId="0" xfId="0" applyNumberFormat="1" applyFont="1" applyFill="1"/>
    <xf numFmtId="0" fontId="16" fillId="4" borderId="13" xfId="0" applyFont="1" applyFill="1" applyBorder="1" applyAlignment="1">
      <alignment horizontal="left" wrapText="1"/>
    </xf>
    <xf numFmtId="2" fontId="10" fillId="3" borderId="0" xfId="0" applyNumberFormat="1" applyFont="1" applyFill="1"/>
    <xf numFmtId="172" fontId="5" fillId="2" borderId="0" xfId="0" applyNumberFormat="1" applyFont="1" applyFill="1" applyAlignment="1">
      <alignment horizontal="left"/>
    </xf>
    <xf numFmtId="0" fontId="16" fillId="4" borderId="15" xfId="0" applyFont="1" applyFill="1" applyBorder="1" applyAlignment="1">
      <alignment horizontal="left" vertical="center"/>
    </xf>
    <xf numFmtId="172" fontId="10" fillId="4" borderId="17" xfId="0" applyNumberFormat="1" applyFont="1" applyFill="1" applyBorder="1" applyAlignment="1">
      <alignment vertical="center"/>
    </xf>
    <xf numFmtId="0" fontId="21" fillId="2" borderId="0" xfId="0" applyFont="1" applyFill="1"/>
    <xf numFmtId="0" fontId="15" fillId="15" borderId="10" xfId="0" applyFont="1" applyFill="1" applyBorder="1" applyAlignment="1">
      <alignment horizontal="right"/>
    </xf>
    <xf numFmtId="0" fontId="22" fillId="13" borderId="12" xfId="0" applyFont="1" applyFill="1" applyBorder="1" applyAlignment="1">
      <alignment horizontal="center"/>
    </xf>
    <xf numFmtId="10" fontId="15" fillId="13" borderId="0" xfId="0" applyNumberFormat="1" applyFont="1" applyFill="1" applyAlignment="1">
      <alignment horizontal="center" vertical="center"/>
    </xf>
    <xf numFmtId="0" fontId="23" fillId="3" borderId="0" xfId="0" applyFont="1" applyFill="1" applyAlignment="1">
      <alignment vertical="center"/>
    </xf>
    <xf numFmtId="172" fontId="9" fillId="2" borderId="1" xfId="0" applyNumberFormat="1" applyFont="1" applyFill="1" applyBorder="1"/>
    <xf numFmtId="178" fontId="8" fillId="2" borderId="0" xfId="0" applyNumberFormat="1" applyFont="1" applyFill="1"/>
    <xf numFmtId="0" fontId="15" fillId="15" borderId="13" xfId="0" applyFont="1" applyFill="1" applyBorder="1" applyAlignment="1">
      <alignment horizontal="right"/>
    </xf>
    <xf numFmtId="172" fontId="15" fillId="15" borderId="14" xfId="0" applyNumberFormat="1" applyFont="1" applyFill="1" applyBorder="1"/>
    <xf numFmtId="0" fontId="15" fillId="17" borderId="13" xfId="0" applyFont="1" applyFill="1" applyBorder="1" applyAlignment="1">
      <alignment horizontal="right"/>
    </xf>
    <xf numFmtId="172" fontId="15" fillId="13" borderId="14" xfId="0" applyNumberFormat="1" applyFont="1" applyFill="1" applyBorder="1"/>
    <xf numFmtId="0" fontId="3" fillId="0" borderId="1" xfId="0" applyFont="1" applyBorder="1" applyAlignment="1">
      <alignment horizontal="left" wrapText="1"/>
    </xf>
    <xf numFmtId="1" fontId="9" fillId="2" borderId="1" xfId="0" applyNumberFormat="1" applyFont="1" applyFill="1" applyBorder="1" applyAlignment="1">
      <alignment horizontal="center"/>
    </xf>
    <xf numFmtId="172" fontId="9" fillId="2" borderId="0" xfId="0" applyNumberFormat="1" applyFont="1" applyFill="1"/>
    <xf numFmtId="172" fontId="8" fillId="2" borderId="0" xfId="0" applyNumberFormat="1" applyFont="1" applyFill="1"/>
    <xf numFmtId="0" fontId="24" fillId="17" borderId="13" xfId="0" applyFont="1" applyFill="1" applyBorder="1" applyAlignment="1">
      <alignment horizontal="center" wrapText="1"/>
    </xf>
    <xf numFmtId="0" fontId="15" fillId="15" borderId="15" xfId="0" applyFont="1" applyFill="1" applyBorder="1" applyAlignment="1">
      <alignment horizontal="right" wrapText="1"/>
    </xf>
    <xf numFmtId="172" fontId="15" fillId="15" borderId="17" xfId="0" applyNumberFormat="1" applyFont="1" applyFill="1" applyBorder="1"/>
    <xf numFmtId="0" fontId="15" fillId="17" borderId="13" xfId="0" applyFont="1" applyFill="1" applyBorder="1" applyAlignment="1">
      <alignment horizontal="right" wrapText="1"/>
    </xf>
    <xf numFmtId="172" fontId="15" fillId="17" borderId="14" xfId="0" applyNumberFormat="1" applyFont="1" applyFill="1" applyBorder="1"/>
    <xf numFmtId="0" fontId="15" fillId="17" borderId="18" xfId="0" applyFont="1" applyFill="1" applyBorder="1" applyAlignment="1">
      <alignment horizontal="right" wrapText="1"/>
    </xf>
    <xf numFmtId="0" fontId="15" fillId="17" borderId="20" xfId="0" applyFont="1" applyFill="1" applyBorder="1"/>
    <xf numFmtId="178" fontId="9" fillId="2" borderId="0" xfId="0" applyNumberFormat="1" applyFont="1" applyFill="1"/>
    <xf numFmtId="172" fontId="15" fillId="18" borderId="0" xfId="0" applyNumberFormat="1" applyFont="1" applyFill="1" applyAlignment="1">
      <alignment horizontal="center" vertical="center"/>
    </xf>
    <xf numFmtId="2" fontId="15" fillId="19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15" fillId="18" borderId="0" xfId="0" applyFont="1" applyFill="1" applyAlignment="1">
      <alignment horizontal="center" vertical="center"/>
    </xf>
    <xf numFmtId="0" fontId="15" fillId="18" borderId="0" xfId="0" applyFont="1" applyFill="1" applyAlignment="1">
      <alignment horizontal="center"/>
    </xf>
    <xf numFmtId="1" fontId="15" fillId="18" borderId="0" xfId="0" applyNumberFormat="1" applyFont="1" applyFill="1" applyAlignment="1">
      <alignment horizontal="center" vertical="center"/>
    </xf>
    <xf numFmtId="172" fontId="15" fillId="20" borderId="10" xfId="0" applyNumberFormat="1" applyFont="1" applyFill="1" applyBorder="1" applyAlignment="1">
      <alignment horizontal="center" vertical="center"/>
    </xf>
    <xf numFmtId="172" fontId="16" fillId="20" borderId="12" xfId="2" applyNumberFormat="1" applyFont="1" applyFill="1" applyBorder="1"/>
    <xf numFmtId="0" fontId="8" fillId="2" borderId="0" xfId="0" applyFont="1" applyFill="1" applyAlignment="1">
      <alignment horizontal="left"/>
    </xf>
    <xf numFmtId="172" fontId="15" fillId="20" borderId="15" xfId="0" applyNumberFormat="1" applyFont="1" applyFill="1" applyBorder="1" applyAlignment="1">
      <alignment horizontal="center" vertical="center" wrapText="1"/>
    </xf>
    <xf numFmtId="172" fontId="16" fillId="20" borderId="17" xfId="2" applyNumberFormat="1" applyFont="1" applyFill="1" applyBorder="1" applyAlignment="1">
      <alignment horizontal="right"/>
    </xf>
    <xf numFmtId="0" fontId="16" fillId="3" borderId="10" xfId="0" applyFont="1" applyFill="1" applyBorder="1"/>
    <xf numFmtId="0" fontId="16" fillId="3" borderId="11" xfId="0" applyFont="1" applyFill="1" applyBorder="1"/>
    <xf numFmtId="174" fontId="16" fillId="3" borderId="12" xfId="0" applyNumberFormat="1" applyFont="1" applyFill="1" applyBorder="1"/>
    <xf numFmtId="0" fontId="9" fillId="3" borderId="0" xfId="0" applyFont="1" applyFill="1"/>
    <xf numFmtId="0" fontId="3" fillId="2" borderId="0" xfId="3" applyFont="1" applyFill="1"/>
    <xf numFmtId="0" fontId="16" fillId="3" borderId="13" xfId="0" applyFont="1" applyFill="1" applyBorder="1"/>
    <xf numFmtId="0" fontId="16" fillId="3" borderId="0" xfId="0" applyFont="1" applyFill="1"/>
    <xf numFmtId="172" fontId="16" fillId="3" borderId="14" xfId="0" applyNumberFormat="1" applyFont="1" applyFill="1" applyBorder="1"/>
    <xf numFmtId="0" fontId="20" fillId="3" borderId="13" xfId="0" applyFont="1" applyFill="1" applyBorder="1"/>
    <xf numFmtId="172" fontId="10" fillId="3" borderId="14" xfId="0" applyNumberFormat="1" applyFont="1" applyFill="1" applyBorder="1"/>
    <xf numFmtId="0" fontId="10" fillId="3" borderId="13" xfId="0" applyFont="1" applyFill="1" applyBorder="1"/>
    <xf numFmtId="172" fontId="10" fillId="3" borderId="0" xfId="0" applyNumberFormat="1" applyFont="1" applyFill="1"/>
    <xf numFmtId="0" fontId="15" fillId="16" borderId="13" xfId="0" applyFont="1" applyFill="1" applyBorder="1"/>
    <xf numFmtId="0" fontId="15" fillId="16" borderId="0" xfId="0" applyFont="1" applyFill="1"/>
    <xf numFmtId="172" fontId="15" fillId="16" borderId="14" xfId="0" applyNumberFormat="1" applyFont="1" applyFill="1" applyBorder="1"/>
    <xf numFmtId="172" fontId="16" fillId="3" borderId="0" xfId="0" applyNumberFormat="1" applyFont="1" applyFill="1"/>
    <xf numFmtId="179" fontId="16" fillId="3" borderId="14" xfId="0" applyNumberFormat="1" applyFont="1" applyFill="1" applyBorder="1"/>
    <xf numFmtId="172" fontId="9" fillId="3" borderId="0" xfId="0" applyNumberFormat="1" applyFont="1" applyFill="1"/>
    <xf numFmtId="10" fontId="16" fillId="3" borderId="14" xfId="2" applyNumberFormat="1" applyFont="1" applyFill="1" applyBorder="1"/>
    <xf numFmtId="0" fontId="16" fillId="3" borderId="15" xfId="0" applyFont="1" applyFill="1" applyBorder="1" applyAlignment="1">
      <alignment wrapText="1"/>
    </xf>
    <xf numFmtId="0" fontId="16" fillId="3" borderId="16" xfId="0" applyFont="1" applyFill="1" applyBorder="1"/>
    <xf numFmtId="172" fontId="16" fillId="3" borderId="17" xfId="0" applyNumberFormat="1" applyFont="1" applyFill="1" applyBorder="1"/>
    <xf numFmtId="4" fontId="3" fillId="3" borderId="0" xfId="0" applyNumberFormat="1" applyFont="1" applyFill="1"/>
    <xf numFmtId="0" fontId="8" fillId="2" borderId="0" xfId="0" applyFont="1" applyFill="1" applyAlignment="1">
      <alignment wrapText="1"/>
    </xf>
    <xf numFmtId="4" fontId="3" fillId="2" borderId="0" xfId="0" applyNumberFormat="1" applyFont="1" applyFill="1" applyAlignment="1">
      <alignment horizontal="left"/>
    </xf>
    <xf numFmtId="172" fontId="16" fillId="12" borderId="13" xfId="0" applyNumberFormat="1" applyFont="1" applyFill="1" applyBorder="1"/>
    <xf numFmtId="172" fontId="16" fillId="12" borderId="0" xfId="0" applyNumberFormat="1" applyFont="1" applyFill="1"/>
    <xf numFmtId="174" fontId="16" fillId="12" borderId="8" xfId="0" applyNumberFormat="1" applyFont="1" applyFill="1" applyBorder="1"/>
    <xf numFmtId="0" fontId="3" fillId="0" borderId="0" xfId="0" applyFont="1" applyAlignment="1">
      <alignment horizontal="left"/>
    </xf>
    <xf numFmtId="0" fontId="7" fillId="2" borderId="0" xfId="3" applyFont="1" applyFill="1"/>
    <xf numFmtId="4" fontId="3" fillId="2" borderId="0" xfId="0" applyNumberFormat="1" applyFont="1" applyFill="1" applyAlignment="1">
      <alignment horizontal="right"/>
    </xf>
    <xf numFmtId="174" fontId="16" fillId="12" borderId="18" xfId="0" applyNumberFormat="1" applyFont="1" applyFill="1" applyBorder="1"/>
    <xf numFmtId="174" fontId="16" fillId="12" borderId="19" xfId="0" applyNumberFormat="1" applyFont="1" applyFill="1" applyBorder="1"/>
    <xf numFmtId="0" fontId="9" fillId="12" borderId="17" xfId="0" applyFont="1" applyFill="1" applyBorder="1"/>
    <xf numFmtId="43" fontId="10" fillId="3" borderId="0" xfId="1" applyFont="1" applyFill="1" applyAlignment="1">
      <alignment horizontal="center"/>
    </xf>
    <xf numFmtId="180" fontId="10" fillId="3" borderId="0" xfId="1" applyNumberFormat="1" applyFont="1" applyFill="1" applyAlignment="1">
      <alignment horizontal="center"/>
    </xf>
    <xf numFmtId="180" fontId="3" fillId="3" borderId="0" xfId="1" applyNumberFormat="1" applyFont="1" applyFill="1"/>
    <xf numFmtId="0" fontId="28" fillId="2" borderId="0" xfId="0" applyFont="1" applyFill="1" applyAlignment="1">
      <alignment horizontal="left"/>
    </xf>
    <xf numFmtId="0" fontId="5" fillId="2" borderId="0" xfId="0" applyFont="1" applyFill="1"/>
    <xf numFmtId="0" fontId="29" fillId="2" borderId="0" xfId="0" applyFont="1" applyFill="1"/>
    <xf numFmtId="0" fontId="6" fillId="0" borderId="0" xfId="0" applyFont="1"/>
    <xf numFmtId="4" fontId="3" fillId="0" borderId="0" xfId="0" applyNumberFormat="1" applyFont="1"/>
    <xf numFmtId="0" fontId="3" fillId="0" borderId="0" xfId="0" applyFont="1" applyAlignment="1">
      <alignment horizontal="center"/>
    </xf>
    <xf numFmtId="9" fontId="3" fillId="5" borderId="1" xfId="2" applyFont="1" applyFill="1" applyBorder="1" applyAlignment="1">
      <alignment horizontal="center"/>
    </xf>
    <xf numFmtId="10" fontId="3" fillId="2" borderId="1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3" fillId="5" borderId="1" xfId="2" applyNumberFormat="1" applyFont="1" applyFill="1" applyBorder="1" applyAlignment="1">
      <alignment horizontal="center"/>
    </xf>
    <xf numFmtId="168" fontId="19" fillId="0" borderId="22" xfId="0" applyNumberFormat="1" applyFont="1" applyBorder="1" applyAlignment="1">
      <alignment horizontal="left" vertical="top" wrapText="1"/>
    </xf>
    <xf numFmtId="168" fontId="19" fillId="0" borderId="23" xfId="0" applyNumberFormat="1" applyFont="1" applyBorder="1" applyAlignment="1">
      <alignment horizontal="left" vertical="top" wrapText="1"/>
    </xf>
    <xf numFmtId="0" fontId="3" fillId="3" borderId="1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 wrapText="1"/>
    </xf>
    <xf numFmtId="0" fontId="15" fillId="11" borderId="10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12" xfId="0" applyFont="1" applyFill="1" applyBorder="1" applyAlignment="1">
      <alignment horizontal="center" vertical="center"/>
    </xf>
    <xf numFmtId="10" fontId="14" fillId="12" borderId="0" xfId="0" applyNumberFormat="1" applyFont="1" applyFill="1" applyAlignment="1">
      <alignment horizontal="center" vertical="center"/>
    </xf>
    <xf numFmtId="0" fontId="17" fillId="2" borderId="18" xfId="0" applyFont="1" applyFill="1" applyBorder="1" applyAlignment="1">
      <alignment horizontal="right"/>
    </xf>
    <xf numFmtId="0" fontId="17" fillId="2" borderId="19" xfId="0" applyFont="1" applyFill="1" applyBorder="1" applyAlignment="1">
      <alignment horizontal="right"/>
    </xf>
    <xf numFmtId="0" fontId="17" fillId="2" borderId="1" xfId="0" applyFont="1" applyFill="1" applyBorder="1" applyAlignment="1">
      <alignment horizontal="center"/>
    </xf>
    <xf numFmtId="0" fontId="18" fillId="2" borderId="4" xfId="0" applyFont="1" applyFill="1" applyBorder="1" applyAlignment="1">
      <alignment horizontal="right"/>
    </xf>
    <xf numFmtId="0" fontId="18" fillId="2" borderId="21" xfId="0" applyFont="1" applyFill="1" applyBorder="1" applyAlignment="1">
      <alignment horizontal="right"/>
    </xf>
    <xf numFmtId="0" fontId="14" fillId="2" borderId="4" xfId="0" applyFont="1" applyFill="1" applyBorder="1" applyAlignment="1">
      <alignment horizontal="center"/>
    </xf>
    <xf numFmtId="0" fontId="14" fillId="2" borderId="21" xfId="0" applyFont="1" applyFill="1" applyBorder="1" applyAlignment="1">
      <alignment horizontal="center"/>
    </xf>
    <xf numFmtId="0" fontId="14" fillId="2" borderId="5" xfId="0" applyFont="1" applyFill="1" applyBorder="1" applyAlignment="1">
      <alignment horizontal="center"/>
    </xf>
    <xf numFmtId="0" fontId="5" fillId="14" borderId="18" xfId="0" applyFont="1" applyFill="1" applyBorder="1" applyAlignment="1">
      <alignment horizontal="center" vertical="center" wrapText="1"/>
    </xf>
    <xf numFmtId="0" fontId="5" fillId="14" borderId="20" xfId="0" applyFont="1" applyFill="1" applyBorder="1" applyAlignment="1">
      <alignment horizontal="center" vertical="center" wrapText="1"/>
    </xf>
    <xf numFmtId="0" fontId="15" fillId="18" borderId="1" xfId="0" applyFont="1" applyFill="1" applyBorder="1" applyAlignment="1">
      <alignment horizontal="center" vertical="center"/>
    </xf>
    <xf numFmtId="168" fontId="5" fillId="7" borderId="4" xfId="0" applyNumberFormat="1" applyFont="1" applyFill="1" applyBorder="1" applyAlignment="1">
      <alignment horizontal="center" vertical="center" wrapText="1"/>
    </xf>
    <xf numFmtId="168" fontId="5" fillId="7" borderId="5" xfId="0" applyNumberFormat="1" applyFont="1" applyFill="1" applyBorder="1" applyAlignment="1">
      <alignment horizontal="center" vertical="center" wrapText="1"/>
    </xf>
    <xf numFmtId="172" fontId="14" fillId="4" borderId="0" xfId="0" applyNumberFormat="1" applyFont="1" applyFill="1" applyAlignment="1">
      <alignment horizontal="center" wrapText="1"/>
    </xf>
    <xf numFmtId="0" fontId="5" fillId="2" borderId="24" xfId="0" applyFont="1" applyFill="1" applyBorder="1" applyAlignment="1">
      <alignment horizontal="center" vertical="center"/>
    </xf>
    <xf numFmtId="168" fontId="5" fillId="16" borderId="2" xfId="0" applyNumberFormat="1" applyFont="1" applyFill="1" applyBorder="1" applyAlignment="1">
      <alignment horizontal="center" wrapText="1"/>
    </xf>
    <xf numFmtId="168" fontId="8" fillId="0" borderId="2" xfId="0" applyNumberFormat="1" applyFont="1" applyBorder="1" applyAlignment="1">
      <alignment horizontal="center" wrapText="1"/>
    </xf>
    <xf numFmtId="10" fontId="14" fillId="3" borderId="1" xfId="0" applyNumberFormat="1" applyFont="1" applyFill="1" applyBorder="1" applyAlignment="1">
      <alignment horizontal="center"/>
    </xf>
    <xf numFmtId="168" fontId="5" fillId="7" borderId="2" xfId="0" applyNumberFormat="1" applyFont="1" applyFill="1" applyBorder="1" applyAlignment="1">
      <alignment horizontal="center" vertical="center" wrapText="1"/>
    </xf>
    <xf numFmtId="0" fontId="15" fillId="15" borderId="18" xfId="0" applyFont="1" applyFill="1" applyBorder="1" applyAlignment="1">
      <alignment horizontal="center"/>
    </xf>
    <xf numFmtId="0" fontId="15" fillId="15" borderId="20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172" fontId="15" fillId="20" borderId="1" xfId="0" applyNumberFormat="1" applyFont="1" applyFill="1" applyBorder="1" applyAlignment="1">
      <alignment horizontal="center" vertical="center" wrapText="1"/>
    </xf>
    <xf numFmtId="172" fontId="22" fillId="21" borderId="1" xfId="0" applyNumberFormat="1" applyFont="1" applyFill="1" applyBorder="1" applyAlignment="1">
      <alignment horizontal="center" vertical="center"/>
    </xf>
    <xf numFmtId="172" fontId="15" fillId="12" borderId="18" xfId="0" applyNumberFormat="1" applyFont="1" applyFill="1" applyBorder="1" applyAlignment="1">
      <alignment horizontal="center" vertical="center"/>
    </xf>
    <xf numFmtId="172" fontId="15" fillId="12" borderId="19" xfId="0" applyNumberFormat="1" applyFont="1" applyFill="1" applyBorder="1" applyAlignment="1">
      <alignment horizontal="center" vertical="center"/>
    </xf>
    <xf numFmtId="172" fontId="15" fillId="12" borderId="20" xfId="0" applyNumberFormat="1" applyFont="1" applyFill="1" applyBorder="1" applyAlignment="1">
      <alignment horizontal="center" vertical="center"/>
    </xf>
  </cellXfs>
  <cellStyles count="4">
    <cellStyle name="Normal" xfId="0" builtinId="0"/>
    <cellStyle name="Normal 5" xfId="3" xr:uid="{9E9D658F-32E5-4191-8F60-671E20F9F097}"/>
    <cellStyle name="Porcentagem" xfId="2" builtinId="5"/>
    <cellStyle name="Vírgula" xfId="1" builtinId="3"/>
  </cellStyles>
  <dxfs count="8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1085850</xdr:colOff>
          <xdr:row>1</xdr:row>
          <xdr:rowOff>85725</xdr:rowOff>
        </xdr:from>
        <xdr:to>
          <xdr:col>18</xdr:col>
          <xdr:colOff>781050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1000125</xdr:colOff>
          <xdr:row>48</xdr:row>
          <xdr:rowOff>333375</xdr:rowOff>
        </xdr:from>
        <xdr:to>
          <xdr:col>16</xdr:col>
          <xdr:colOff>2705100</xdr:colOff>
          <xdr:row>49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94</xdr:row>
      <xdr:rowOff>277091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7481741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4</xdr:row>
      <xdr:rowOff>277091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540329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2024</a:t>
          </a:r>
        </a:p>
      </xdr:txBody>
    </xdr:sp>
    <xdr:clientData/>
  </xdr:twoCellAnchor>
  <xdr:twoCellAnchor>
    <xdr:from>
      <xdr:col>10</xdr:col>
      <xdr:colOff>1627910</xdr:colOff>
      <xdr:row>48</xdr:row>
      <xdr:rowOff>484908</xdr:rowOff>
    </xdr:from>
    <xdr:to>
      <xdr:col>11</xdr:col>
      <xdr:colOff>450274</xdr:colOff>
      <xdr:row>49</xdr:row>
      <xdr:rowOff>484909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592310" y="18496683"/>
          <a:ext cx="1194089" cy="59055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B1"/>
          <cell r="C1"/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  <cell r="BJ1"/>
          <cell r="BK1"/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D3"/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  <cell r="BJ3"/>
          <cell r="BK3"/>
        </row>
        <row r="4">
          <cell r="A4" t="str">
            <v>b</v>
          </cell>
          <cell r="B4" t="str">
            <v>Fevereiro</v>
          </cell>
          <cell r="C4" t="str">
            <v>FEV</v>
          </cell>
          <cell r="D4"/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  <cell r="BJ4"/>
          <cell r="BK4"/>
        </row>
        <row r="5">
          <cell r="A5" t="str">
            <v>c</v>
          </cell>
          <cell r="B5" t="str">
            <v>Março</v>
          </cell>
          <cell r="C5" t="str">
            <v>MAR</v>
          </cell>
          <cell r="D5"/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  <cell r="BJ5"/>
          <cell r="BK5"/>
        </row>
        <row r="6">
          <cell r="A6" t="str">
            <v>d</v>
          </cell>
          <cell r="B6" t="str">
            <v>Abril</v>
          </cell>
          <cell r="C6" t="str">
            <v>ABR</v>
          </cell>
          <cell r="D6"/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  <cell r="BJ6"/>
          <cell r="BK6"/>
        </row>
        <row r="7">
          <cell r="A7" t="str">
            <v>e</v>
          </cell>
          <cell r="B7" t="str">
            <v>Maio</v>
          </cell>
          <cell r="C7" t="str">
            <v>MAI</v>
          </cell>
          <cell r="D7"/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  <cell r="BJ7"/>
          <cell r="BK7"/>
        </row>
        <row r="8">
          <cell r="A8" t="str">
            <v>f</v>
          </cell>
          <cell r="B8" t="str">
            <v>Junho</v>
          </cell>
          <cell r="C8" t="str">
            <v>JUN</v>
          </cell>
          <cell r="D8"/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  <cell r="BJ8"/>
          <cell r="BK8"/>
        </row>
        <row r="9">
          <cell r="A9" t="str">
            <v>g</v>
          </cell>
          <cell r="B9" t="str">
            <v>Julho</v>
          </cell>
          <cell r="C9" t="str">
            <v>JUL</v>
          </cell>
          <cell r="D9"/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  <cell r="BJ9"/>
          <cell r="BK9"/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D10"/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  <cell r="BJ10"/>
          <cell r="BK10"/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D11"/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  <cell r="BJ11"/>
          <cell r="BK11"/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  <cell r="BJ12"/>
          <cell r="BK12"/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  <cell r="BJ13"/>
          <cell r="BK13"/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  <cell r="BJ14"/>
          <cell r="BK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N8">
            <v>15.71</v>
          </cell>
          <cell r="O8">
            <v>1.01</v>
          </cell>
        </row>
        <row r="28">
          <cell r="L28">
            <v>1.0748029672221575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163"/>
  <sheetViews>
    <sheetView tabSelected="1" zoomScale="55" zoomScaleNormal="55" zoomScaleSheetLayoutView="70" workbookViewId="0">
      <selection activeCell="C2" sqref="C2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7" customWidth="1"/>
    <col min="5" max="5" width="37.140625" style="17" customWidth="1"/>
    <col min="6" max="6" width="36.28515625" style="17" customWidth="1"/>
    <col min="7" max="7" width="37.42578125" style="17" customWidth="1"/>
    <col min="8" max="8" width="41.42578125" style="17" customWidth="1"/>
    <col min="9" max="9" width="42.7109375" style="17" customWidth="1"/>
    <col min="10" max="10" width="40.5703125" style="17" customWidth="1"/>
    <col min="11" max="11" width="35.5703125" style="6" customWidth="1"/>
    <col min="12" max="12" width="38.5703125" style="7" bestFit="1" customWidth="1"/>
    <col min="13" max="13" width="35.42578125" style="200" customWidth="1"/>
    <col min="14" max="14" width="34.7109375" style="200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30.57031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2.42578125" style="6" customWidth="1"/>
    <col min="29" max="29" width="1.140625" style="6" hidden="1" customWidth="1"/>
    <col min="30" max="30" width="52.5703125" style="6" hidden="1" customWidth="1"/>
    <col min="31" max="31" width="31" style="6" hidden="1" customWidth="1"/>
    <col min="32" max="32" width="10.7109375" style="6" hidden="1" customWidth="1"/>
    <col min="33" max="33" width="11.5703125" style="6" hidden="1" customWidth="1"/>
    <col min="34" max="35" width="11.85546875" style="6" hidden="1" customWidth="1"/>
    <col min="36" max="36" width="22.5703125" style="6" hidden="1" customWidth="1"/>
    <col min="37" max="37" width="17.28515625" style="6" hidden="1" customWidth="1"/>
    <col min="38" max="38" width="11.85546875" style="6" hidden="1" customWidth="1"/>
    <col min="39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5" t="s">
        <v>0</v>
      </c>
      <c r="D4" s="205"/>
      <c r="E4" s="205"/>
      <c r="F4" s="205"/>
      <c r="G4" s="205"/>
      <c r="H4" s="205"/>
      <c r="I4" s="205"/>
      <c r="J4" s="205"/>
      <c r="K4" s="205"/>
      <c r="L4" s="205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5" t="s">
        <v>1</v>
      </c>
      <c r="D5" s="205"/>
      <c r="E5" s="205"/>
      <c r="F5" s="205"/>
      <c r="G5" s="205"/>
      <c r="H5" s="205"/>
      <c r="I5" s="205"/>
      <c r="J5" s="205"/>
      <c r="K5" s="205"/>
      <c r="L5" s="205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4</v>
      </c>
      <c r="R8" s="204" t="s">
        <v>5</v>
      </c>
      <c r="S8" s="204"/>
      <c r="T8" s="5"/>
      <c r="U8" s="16" t="s">
        <v>6</v>
      </c>
      <c r="V8" s="204" t="s">
        <v>5</v>
      </c>
      <c r="W8" s="204"/>
      <c r="X8" s="5"/>
      <c r="Y8" s="5"/>
      <c r="AI8" s="7"/>
      <c r="AJ8" s="201" t="s">
        <v>7</v>
      </c>
      <c r="AK8" s="201"/>
    </row>
    <row r="9" spans="1:37" ht="48.75" customHeight="1">
      <c r="A9" s="1"/>
      <c r="B9" s="1"/>
      <c r="C9" s="12"/>
      <c r="D9" s="13" t="s">
        <v>8</v>
      </c>
      <c r="E9" s="18" t="str">
        <f>[1]MENU!C12</f>
        <v>Digite a Data do Protocolo</v>
      </c>
      <c r="F9" s="14"/>
      <c r="G9" s="14"/>
      <c r="H9" s="19"/>
      <c r="I9" s="20" t="s">
        <v>9</v>
      </c>
      <c r="J9" s="21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2"/>
      <c r="O9" s="1"/>
      <c r="P9" s="5"/>
      <c r="Q9" s="23" t="s">
        <v>10</v>
      </c>
      <c r="R9" s="202">
        <v>0</v>
      </c>
      <c r="S9" s="202"/>
      <c r="T9" s="5"/>
      <c r="U9" s="23" t="s">
        <v>11</v>
      </c>
      <c r="V9" s="202">
        <v>0</v>
      </c>
      <c r="W9" s="202"/>
      <c r="X9" s="5"/>
      <c r="Y9" s="5"/>
      <c r="AI9" s="7"/>
      <c r="AJ9" s="24" t="s">
        <v>12</v>
      </c>
      <c r="AK9" s="24">
        <v>1</v>
      </c>
    </row>
    <row r="10" spans="1:37" ht="23.25">
      <c r="A10" s="1"/>
      <c r="B10" s="1"/>
      <c r="C10" s="12"/>
      <c r="D10" s="13" t="s">
        <v>13</v>
      </c>
      <c r="E10" s="25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14</v>
      </c>
      <c r="R10" s="206" t="s">
        <v>15</v>
      </c>
      <c r="S10" s="206"/>
      <c r="T10" s="5"/>
      <c r="U10" s="16" t="s">
        <v>14</v>
      </c>
      <c r="V10" s="206" t="s">
        <v>16</v>
      </c>
      <c r="W10" s="206"/>
      <c r="X10" s="5"/>
      <c r="Y10" s="5"/>
      <c r="AC10" s="26"/>
      <c r="AD10" s="26"/>
      <c r="AE10" s="26"/>
      <c r="AF10" s="26"/>
      <c r="AG10" s="26"/>
      <c r="AI10" s="7"/>
      <c r="AJ10" s="24" t="s">
        <v>17</v>
      </c>
      <c r="AK10" s="24">
        <v>2</v>
      </c>
    </row>
    <row r="11" spans="1:37" ht="27" customHeight="1">
      <c r="A11" s="1"/>
      <c r="B11" s="1"/>
      <c r="C11" s="12"/>
      <c r="D11" s="13" t="s">
        <v>18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19</v>
      </c>
      <c r="R11" s="204" t="s">
        <v>20</v>
      </c>
      <c r="S11" s="204"/>
      <c r="T11" s="5"/>
      <c r="U11" s="16" t="s">
        <v>19</v>
      </c>
      <c r="V11" s="204" t="s">
        <v>21</v>
      </c>
      <c r="W11" s="204"/>
      <c r="X11" s="5"/>
      <c r="Y11" s="5"/>
      <c r="AC11" s="26"/>
      <c r="AD11" s="27" t="s">
        <v>22</v>
      </c>
      <c r="AE11" s="26"/>
      <c r="AF11" s="26"/>
      <c r="AG11" s="26"/>
      <c r="AI11" s="7"/>
      <c r="AJ11" s="24" t="s">
        <v>23</v>
      </c>
      <c r="AK11" s="24">
        <v>3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6" t="s">
        <v>24</v>
      </c>
      <c r="AD12" s="29">
        <f>DATE(VALUE(RIGHT(MID($L$14,21,15),4)),VLOOKUP(LEFT(MID($L$14,21,15),SEARCH("/",MID($L$14,21,15))-1),AJ9:AK20,2,0)-1,1)</f>
        <v>44986</v>
      </c>
      <c r="AE12" s="29">
        <f>DATE(VALUE(RIGHT(MID($L$14,21,15),4)),VLOOKUP(LEFT(MID($L$14,21,15),SEARCH("/",MID($L$14,21,15))-1),AJ9:AK20,2,0),1)</f>
        <v>45017</v>
      </c>
      <c r="AF12" s="26"/>
      <c r="AG12" s="26"/>
      <c r="AI12" s="7"/>
      <c r="AJ12" s="24" t="s">
        <v>25</v>
      </c>
      <c r="AK12" s="24">
        <v>4</v>
      </c>
    </row>
    <row r="13" spans="1:37" ht="27.75" customHeight="1">
      <c r="A13" s="1"/>
      <c r="B13" s="1"/>
      <c r="C13" s="205" t="s">
        <v>26</v>
      </c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27</v>
      </c>
      <c r="AD13" s="29">
        <f>DATE(VALUE(RIGHT(MID($N$14,31,15),4)), VLOOKUP(LEFT(MID($N$14,31,15),SEARCH("/",MID($N$14,31,15))-1), $AJ$9:$AK$20, 2, 0) - 1, 1)</f>
        <v>45627</v>
      </c>
      <c r="AI13" s="7"/>
      <c r="AJ13" s="24" t="s">
        <v>28</v>
      </c>
      <c r="AK13" s="24">
        <v>5</v>
      </c>
    </row>
    <row r="14" spans="1:37" ht="80.25" customHeight="1">
      <c r="A14" s="1"/>
      <c r="B14" s="1"/>
      <c r="C14" s="9"/>
      <c r="D14" s="30" t="s">
        <v>29</v>
      </c>
      <c r="E14" s="30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30" t="s">
        <v>30</v>
      </c>
      <c r="G14" s="30" t="s">
        <v>31</v>
      </c>
      <c r="H14" s="30" t="s">
        <v>32</v>
      </c>
      <c r="I14" s="30" t="s">
        <v>33</v>
      </c>
      <c r="J14" s="30" t="s">
        <v>34</v>
      </c>
      <c r="K14" s="30" t="s">
        <v>35</v>
      </c>
      <c r="L14" s="30" t="s">
        <v>36</v>
      </c>
      <c r="M14" s="30" t="s">
        <v>37</v>
      </c>
      <c r="N14" s="30" t="s">
        <v>38</v>
      </c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  <c r="AJ14" s="24" t="s">
        <v>39</v>
      </c>
      <c r="AK14" s="24">
        <v>6</v>
      </c>
    </row>
    <row r="15" spans="1:37" ht="36.950000000000003" customHeight="1">
      <c r="A15" s="1"/>
      <c r="B15" s="1"/>
      <c r="C15" s="9"/>
      <c r="D15" s="31" t="s">
        <v>40</v>
      </c>
      <c r="E15" s="32">
        <f>[1]MENU!C20</f>
        <v>0</v>
      </c>
      <c r="F15" s="33">
        <f>IFERROR(VLOOKUP([1]MENU!$AC$19,[1]GILBERTO!$A:$BK,[1]MENU!$AF$18), 1)</f>
        <v>1</v>
      </c>
      <c r="G15" s="32">
        <f>ROUND(E15*F15,2)</f>
        <v>0</v>
      </c>
      <c r="H15" s="17" t="s">
        <v>41</v>
      </c>
      <c r="I15" s="32">
        <v>0</v>
      </c>
      <c r="J15" s="32">
        <f>ROUND(G15+I15,2)</f>
        <v>0</v>
      </c>
      <c r="K15" s="34">
        <v>1</v>
      </c>
      <c r="L15" s="32">
        <f>ROUND(J15*K15,2)</f>
        <v>0</v>
      </c>
      <c r="M15" s="35">
        <f>'[1]Selic e IPCA'!L28</f>
        <v>1.0748029672221575</v>
      </c>
      <c r="N15" s="32">
        <f>ROUND($L$15*M15,2)</f>
        <v>0</v>
      </c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4" t="s">
        <v>42</v>
      </c>
      <c r="AK15" s="24">
        <v>7</v>
      </c>
    </row>
    <row r="16" spans="1:37" ht="32.65" customHeight="1">
      <c r="A16" s="1"/>
      <c r="B16" s="1"/>
      <c r="C16" s="9"/>
      <c r="D16" s="31" t="s">
        <v>43</v>
      </c>
      <c r="E16" s="32">
        <f>[1]MENU!C22</f>
        <v>0</v>
      </c>
      <c r="F16" s="33">
        <f>IFERROR(VLOOKUP([1]MENU!$AC$19,[1]GILBERTO!$A:$BK,[1]MENU!$AF$18), 1)</f>
        <v>1</v>
      </c>
      <c r="G16" s="32">
        <f>ROUND(E16*F16,2)</f>
        <v>0</v>
      </c>
      <c r="H16" s="36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2">
        <f>ROUND(G15*H16,2)</f>
        <v>0</v>
      </c>
      <c r="J16" s="32">
        <f>ROUND(G16+I16,2)</f>
        <v>0</v>
      </c>
      <c r="K16" s="37">
        <v>1</v>
      </c>
      <c r="L16" s="32">
        <f>ROUND(J16*K16,2)</f>
        <v>0</v>
      </c>
      <c r="M16" s="35">
        <f>'[1]Selic e IPCA'!L28</f>
        <v>1.0748029672221575</v>
      </c>
      <c r="N16" s="32">
        <f>ROUND(L16*$M$16,2)</f>
        <v>0</v>
      </c>
      <c r="O16" s="1"/>
      <c r="P16" s="5"/>
      <c r="Q16" s="5"/>
      <c r="R16" s="5"/>
      <c r="S16" s="5"/>
      <c r="T16" s="5"/>
      <c r="U16" s="5"/>
      <c r="V16" s="5"/>
      <c r="W16" s="5"/>
      <c r="X16" s="5"/>
      <c r="Y16" s="5"/>
      <c r="AJ16" s="24" t="s">
        <v>44</v>
      </c>
      <c r="AK16" s="24">
        <v>8</v>
      </c>
    </row>
    <row r="17" spans="1:37" ht="43.15" customHeight="1">
      <c r="A17" s="1"/>
      <c r="B17" s="1"/>
      <c r="C17" s="9"/>
      <c r="D17" s="38" t="s">
        <v>45</v>
      </c>
      <c r="E17" s="39">
        <f>SUM(E15:E16)</f>
        <v>0</v>
      </c>
      <c r="F17" s="40" t="s">
        <v>41</v>
      </c>
      <c r="G17" s="39">
        <f>SUM(G15:G16)</f>
        <v>0</v>
      </c>
      <c r="H17" s="41" t="s">
        <v>41</v>
      </c>
      <c r="I17" s="42">
        <f>SUM(I15:I16)</f>
        <v>0</v>
      </c>
      <c r="J17" s="43">
        <f>SUM(J15:J16)</f>
        <v>0</v>
      </c>
      <c r="K17" s="44" t="s">
        <v>41</v>
      </c>
      <c r="L17" s="45">
        <f>SUM(L15:L16)</f>
        <v>0</v>
      </c>
      <c r="M17" s="46" t="s">
        <v>41</v>
      </c>
      <c r="N17" s="47">
        <f>SUM(N15:N16)</f>
        <v>0</v>
      </c>
      <c r="O17" s="1"/>
      <c r="P17" s="5"/>
      <c r="Q17" s="48"/>
      <c r="R17" s="5"/>
      <c r="S17" s="5"/>
      <c r="T17" s="5"/>
      <c r="U17" s="5"/>
      <c r="V17" s="5"/>
      <c r="W17" s="5"/>
      <c r="X17" s="5"/>
      <c r="Y17" s="5"/>
      <c r="AJ17" s="24" t="s">
        <v>46</v>
      </c>
      <c r="AK17" s="24">
        <v>9</v>
      </c>
    </row>
    <row r="18" spans="1:37" ht="42.75" customHeight="1">
      <c r="A18" s="1"/>
      <c r="B18" s="1"/>
      <c r="C18" s="9"/>
      <c r="D18" s="4"/>
      <c r="E18" s="4"/>
      <c r="F18" s="4"/>
      <c r="G18" s="4"/>
      <c r="H18" s="4"/>
      <c r="I18" s="4"/>
      <c r="J18" s="49" t="s">
        <v>47</v>
      </c>
      <c r="K18" s="203">
        <f>IFERROR('[1]Selic e IPCA'!N8%,0)</f>
        <v>0.15710000000000002</v>
      </c>
      <c r="L18" s="4"/>
      <c r="M18" s="49" t="s">
        <v>47</v>
      </c>
      <c r="N18" s="203">
        <f>IFERROR('[1]Selic e IPCA'!O8%,0)</f>
        <v>1.01E-2</v>
      </c>
      <c r="O18" s="1"/>
      <c r="P18" s="5"/>
      <c r="Q18" s="48"/>
      <c r="R18" s="5"/>
      <c r="S18" s="5"/>
      <c r="T18" s="5"/>
      <c r="U18" s="5"/>
      <c r="V18" s="5"/>
      <c r="W18" s="5"/>
      <c r="X18" s="5"/>
      <c r="Y18" s="5"/>
      <c r="AJ18" s="24" t="s">
        <v>48</v>
      </c>
      <c r="AK18" s="24">
        <v>10</v>
      </c>
    </row>
    <row r="19" spans="1:37" ht="23.25">
      <c r="A19" s="1"/>
      <c r="B19" s="1"/>
      <c r="C19" s="9"/>
      <c r="D19" s="4"/>
      <c r="E19" s="4"/>
      <c r="F19" s="4"/>
      <c r="G19" s="4"/>
      <c r="H19" s="4"/>
      <c r="I19" s="4"/>
      <c r="J19" s="50">
        <v>44531</v>
      </c>
      <c r="K19" s="203"/>
      <c r="L19" s="4"/>
      <c r="M19" s="50">
        <v>45658</v>
      </c>
      <c r="N19" s="203"/>
      <c r="O19" s="1"/>
      <c r="P19" s="5"/>
      <c r="Q19" s="48"/>
      <c r="R19" s="5"/>
      <c r="S19" s="5"/>
      <c r="T19" s="5"/>
      <c r="U19" s="5"/>
      <c r="V19" s="5"/>
      <c r="W19" s="5"/>
      <c r="X19" s="5"/>
      <c r="Y19" s="5"/>
      <c r="AJ19" s="24" t="s">
        <v>49</v>
      </c>
      <c r="AK19" s="24">
        <v>11</v>
      </c>
    </row>
    <row r="20" spans="1:37" ht="23.25">
      <c r="A20" s="1"/>
      <c r="B20" s="1"/>
      <c r="C20" s="9"/>
      <c r="D20" s="4"/>
      <c r="E20" s="4"/>
      <c r="F20" s="4"/>
      <c r="G20" s="4"/>
      <c r="H20" s="4"/>
      <c r="I20" s="4"/>
      <c r="J20" s="51">
        <v>44986</v>
      </c>
      <c r="K20" s="203"/>
      <c r="L20" s="4"/>
      <c r="M20" s="51">
        <f ca="1">DATE(YEAR(TODAY()),MONTH(1&amp;TEXT(TODAY(),"mmmm")),1)</f>
        <v>45689</v>
      </c>
      <c r="N20" s="203"/>
      <c r="O20" s="1"/>
      <c r="P20" s="5"/>
      <c r="Q20" s="48"/>
      <c r="R20" s="5"/>
      <c r="S20" s="5"/>
      <c r="T20" s="5"/>
      <c r="U20" s="5"/>
      <c r="V20" s="5"/>
      <c r="W20" s="5"/>
      <c r="X20" s="5"/>
      <c r="Y20" s="5"/>
      <c r="AJ20" s="24" t="s">
        <v>50</v>
      </c>
      <c r="AK20" s="24">
        <v>12</v>
      </c>
    </row>
    <row r="21" spans="1:37" ht="23.25">
      <c r="A21" s="1"/>
      <c r="B21" s="1"/>
      <c r="C21" s="9"/>
      <c r="D21" s="4"/>
      <c r="E21" s="4"/>
      <c r="F21" s="4"/>
      <c r="G21" s="4"/>
      <c r="H21" s="4"/>
      <c r="I21" s="4"/>
      <c r="J21" s="4"/>
      <c r="K21" s="52"/>
      <c r="L21" s="4"/>
      <c r="M21" s="4"/>
      <c r="N21" s="4"/>
      <c r="O21" s="1"/>
      <c r="P21" s="5"/>
      <c r="Q21" s="48"/>
      <c r="R21" s="53"/>
      <c r="S21" s="53"/>
      <c r="T21" s="53"/>
      <c r="U21" s="53"/>
      <c r="V21" s="53"/>
      <c r="W21" s="53"/>
      <c r="X21" s="5"/>
      <c r="Y21" s="5"/>
      <c r="AJ21" s="24"/>
      <c r="AK21" s="24"/>
    </row>
    <row r="22" spans="1:37" ht="23.25">
      <c r="A22" s="1"/>
      <c r="B22" s="1"/>
      <c r="C22" s="9"/>
      <c r="D22" s="4"/>
      <c r="E22" s="4"/>
      <c r="F22" s="4"/>
      <c r="G22" s="4"/>
      <c r="H22" s="4"/>
      <c r="I22" s="4"/>
      <c r="J22" s="4"/>
      <c r="K22" s="52"/>
      <c r="L22" s="4"/>
      <c r="M22" s="4"/>
      <c r="N22" s="4"/>
      <c r="O22" s="1"/>
      <c r="P22" s="5"/>
      <c r="Q22" s="48"/>
      <c r="R22" s="53"/>
      <c r="S22" s="53"/>
      <c r="T22" s="53"/>
      <c r="U22" s="53"/>
      <c r="V22" s="53"/>
      <c r="W22" s="53"/>
      <c r="X22" s="5"/>
      <c r="Y22" s="5"/>
      <c r="AJ22" s="24"/>
      <c r="AK22" s="24"/>
    </row>
    <row r="23" spans="1:37" ht="23.25">
      <c r="A23" s="1"/>
      <c r="B23" s="1"/>
      <c r="C23" s="9"/>
      <c r="D23" s="4"/>
      <c r="E23" s="4"/>
      <c r="F23" s="4"/>
      <c r="G23" s="4"/>
      <c r="H23" s="4"/>
      <c r="I23" s="4"/>
      <c r="J23" s="4"/>
      <c r="K23" s="52"/>
      <c r="L23" s="4"/>
      <c r="M23" s="4"/>
      <c r="N23" s="4"/>
      <c r="O23" s="1"/>
      <c r="P23" s="5"/>
      <c r="Q23" s="48"/>
      <c r="R23" s="53"/>
      <c r="S23" s="53"/>
      <c r="T23" s="53"/>
      <c r="U23" s="53"/>
      <c r="V23" s="53"/>
      <c r="W23" s="53"/>
      <c r="X23" s="5"/>
      <c r="Y23" s="5"/>
      <c r="AJ23" s="24"/>
      <c r="AK23" s="24"/>
    </row>
    <row r="24" spans="1:37" ht="45.75">
      <c r="A24" s="1"/>
      <c r="B24" s="1"/>
      <c r="C24" s="9"/>
      <c r="D24" s="4"/>
      <c r="E24" s="4"/>
      <c r="F24" s="4"/>
      <c r="G24" s="4"/>
      <c r="H24" s="4"/>
      <c r="I24" s="4"/>
      <c r="J24" s="4"/>
      <c r="K24" s="4"/>
      <c r="L24" s="54" t="s">
        <v>51</v>
      </c>
      <c r="M24" s="55">
        <f>K18+N18</f>
        <v>0.16720000000000002</v>
      </c>
      <c r="N24" s="56">
        <f>ROUND(N17*M24,2)</f>
        <v>0</v>
      </c>
      <c r="O24" s="1"/>
      <c r="P24" s="5"/>
      <c r="Q24" s="48"/>
      <c r="R24" s="209" t="str">
        <f ca="1">"DIVISÃO "&amp;UPPER(TEXT(TODAY(),"mmmm"))&amp;"/"&amp;YEAR(TODAY())&amp;""</f>
        <v>DIVISÃO FEVEREIRO/2025</v>
      </c>
      <c r="S24" s="209"/>
      <c r="T24" s="209"/>
      <c r="U24" s="209"/>
      <c r="V24" s="209"/>
      <c r="W24" s="209"/>
      <c r="X24" s="5"/>
      <c r="Y24" s="5"/>
    </row>
    <row r="25" spans="1:37" ht="46.5" customHeight="1">
      <c r="A25" s="1"/>
      <c r="B25" s="1"/>
      <c r="C25" s="9"/>
      <c r="D25" s="4"/>
      <c r="E25" s="4"/>
      <c r="F25" s="4"/>
      <c r="G25" s="4"/>
      <c r="H25" s="4"/>
      <c r="I25" s="4"/>
      <c r="J25" s="14"/>
      <c r="K25" s="14"/>
      <c r="L25" s="210" t="str">
        <f ca="1">"Valor Total Devido em "&amp;UPPER(TEXT(TODAY(),"mmmm"))&amp;"/"&amp;YEAR(TODAY())</f>
        <v>Valor Total Devido em FEVEREIRO/2025</v>
      </c>
      <c r="M25" s="210"/>
      <c r="N25" s="57">
        <f>N17+N24</f>
        <v>0</v>
      </c>
      <c r="O25" s="1"/>
      <c r="P25" s="5"/>
      <c r="Q25" s="48"/>
      <c r="R25" s="211" t="s">
        <v>52</v>
      </c>
      <c r="S25" s="212"/>
      <c r="T25" s="212" t="s">
        <v>53</v>
      </c>
      <c r="U25" s="212"/>
      <c r="V25" s="212" t="s">
        <v>54</v>
      </c>
      <c r="W25" s="213"/>
      <c r="X25" s="5"/>
      <c r="Y25" s="5"/>
    </row>
    <row r="26" spans="1:37" ht="72" customHeight="1">
      <c r="A26" s="1"/>
      <c r="B26" s="1"/>
      <c r="C26" s="9"/>
      <c r="D26" s="4"/>
      <c r="E26" s="4"/>
      <c r="F26" s="4"/>
      <c r="G26" s="4"/>
      <c r="H26" s="4"/>
      <c r="I26" s="4"/>
      <c r="J26" s="14"/>
      <c r="K26" s="14"/>
      <c r="L26" s="1"/>
      <c r="M26" s="1"/>
      <c r="N26" s="1"/>
      <c r="O26" s="1"/>
      <c r="P26" s="5"/>
      <c r="Q26" s="48"/>
      <c r="R26" s="58">
        <f>$N$25</f>
        <v>0</v>
      </c>
      <c r="S26" s="59">
        <v>1</v>
      </c>
      <c r="T26" s="60">
        <f>R26</f>
        <v>0</v>
      </c>
      <c r="U26" s="61">
        <f>S26</f>
        <v>1</v>
      </c>
      <c r="V26" s="60">
        <f>T26</f>
        <v>0</v>
      </c>
      <c r="W26" s="62">
        <f>U26</f>
        <v>1</v>
      </c>
      <c r="X26" s="5"/>
      <c r="Y26" s="5"/>
    </row>
    <row r="27" spans="1:37" ht="72" customHeight="1">
      <c r="A27" s="1"/>
      <c r="B27" s="1"/>
      <c r="C27" s="9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1"/>
      <c r="P27" s="5"/>
      <c r="Q27" s="48"/>
      <c r="R27" s="63">
        <f>N15</f>
        <v>0</v>
      </c>
      <c r="S27" s="64" t="e">
        <f>R27*S26/R26</f>
        <v>#DIV/0!</v>
      </c>
      <c r="T27" s="65">
        <f>N16</f>
        <v>0</v>
      </c>
      <c r="U27" s="64" t="e">
        <f>T27*U26/T26</f>
        <v>#DIV/0!</v>
      </c>
      <c r="V27" s="65">
        <f>N25-N17</f>
        <v>0</v>
      </c>
      <c r="W27" s="66" t="e">
        <f>V27*W26/V26</f>
        <v>#DIV/0!</v>
      </c>
      <c r="X27" s="5"/>
      <c r="Y27" s="5"/>
      <c r="AJ27" s="24"/>
      <c r="AK27" s="24"/>
    </row>
    <row r="28" spans="1:37" ht="72" customHeight="1">
      <c r="A28" s="1"/>
      <c r="B28" s="1"/>
      <c r="C28" s="9"/>
      <c r="D28" s="6"/>
      <c r="E28" s="14"/>
      <c r="F28" s="14"/>
      <c r="G28" s="4"/>
      <c r="H28" s="4"/>
      <c r="I28" s="4"/>
      <c r="J28" s="4"/>
      <c r="K28" s="4"/>
      <c r="L28" s="4"/>
      <c r="M28" s="4"/>
      <c r="N28" s="4"/>
      <c r="O28" s="1"/>
      <c r="P28" s="5"/>
      <c r="Q28" s="48"/>
      <c r="R28" s="5"/>
      <c r="S28" s="5"/>
      <c r="T28" s="5"/>
      <c r="U28" s="5"/>
      <c r="V28" s="5"/>
      <c r="W28" s="53"/>
      <c r="X28" s="5"/>
      <c r="Y28" s="5"/>
      <c r="AJ28" s="24"/>
      <c r="AK28" s="24"/>
    </row>
    <row r="29" spans="1:37" ht="31.5" customHeight="1">
      <c r="A29" s="1"/>
      <c r="B29" s="1"/>
      <c r="C29" s="9"/>
      <c r="D29" s="11"/>
      <c r="E29" s="11"/>
      <c r="F29" s="11"/>
      <c r="G29" s="11"/>
      <c r="H29" s="11"/>
      <c r="I29" s="11"/>
      <c r="J29" s="11"/>
      <c r="K29" s="11"/>
      <c r="L29" s="11"/>
      <c r="M29" s="4"/>
      <c r="N29" s="4"/>
      <c r="O29" s="1"/>
      <c r="P29" s="5"/>
      <c r="Q29" s="48"/>
      <c r="R29" s="53"/>
      <c r="S29" s="214" t="s">
        <v>55</v>
      </c>
      <c r="T29" s="67">
        <f>R27+T27+V27</f>
        <v>0</v>
      </c>
      <c r="U29" s="53"/>
      <c r="V29" s="53"/>
      <c r="W29" s="53"/>
      <c r="X29" s="5"/>
      <c r="Y29" s="5"/>
    </row>
    <row r="30" spans="1:37" ht="25.5" customHeight="1">
      <c r="A30" s="1"/>
      <c r="B30" s="1"/>
      <c r="C30" s="9"/>
      <c r="D30" s="14"/>
      <c r="E30" s="14"/>
      <c r="F30" s="14"/>
      <c r="G30" s="14"/>
      <c r="H30" s="14"/>
      <c r="I30" s="68"/>
      <c r="J30" s="215" t="str">
        <f>"(+)Honorários Sucumbência- (B)– "&amp;TEXT(V9,"0%")&amp;" sobre"</f>
        <v>(+)Honorários Sucumbência- (B)– 0% sobre</v>
      </c>
      <c r="K30" s="216"/>
      <c r="L30" s="216"/>
      <c r="M30" s="69">
        <f>N25</f>
        <v>0</v>
      </c>
      <c r="N30" s="70">
        <f>IF(V8="Sim",N25*$V$9,N25*0)</f>
        <v>0</v>
      </c>
      <c r="O30" s="1"/>
      <c r="P30" s="5"/>
      <c r="Q30" s="48"/>
      <c r="R30" s="53"/>
      <c r="S30" s="214"/>
      <c r="T30" s="71" t="e">
        <f>S27+U27+W27</f>
        <v>#DIV/0!</v>
      </c>
      <c r="U30" s="53"/>
      <c r="V30" s="53"/>
      <c r="W30" s="53"/>
      <c r="X30" s="5"/>
      <c r="Y30" s="5"/>
    </row>
    <row r="31" spans="1:37" ht="25.5" customHeight="1">
      <c r="A31" s="1"/>
      <c r="B31" s="1"/>
      <c r="C31" s="9"/>
      <c r="D31" s="14"/>
      <c r="E31" s="14"/>
      <c r="F31" s="14"/>
      <c r="G31" s="14"/>
      <c r="H31" s="14"/>
      <c r="I31" s="68"/>
      <c r="J31" s="72"/>
      <c r="K31" s="72"/>
      <c r="L31" s="72"/>
      <c r="M31" s="73"/>
      <c r="N31" s="74"/>
      <c r="O31" s="1"/>
      <c r="P31" s="5"/>
      <c r="Q31" s="48"/>
      <c r="R31" s="53"/>
      <c r="S31" s="53"/>
      <c r="T31" s="53"/>
      <c r="U31" s="53"/>
      <c r="V31" s="53"/>
      <c r="W31" s="53"/>
      <c r="X31" s="5"/>
      <c r="Y31" s="5"/>
    </row>
    <row r="32" spans="1:37" ht="25.5" customHeight="1">
      <c r="A32" s="1"/>
      <c r="B32" s="1"/>
      <c r="C32" s="9"/>
      <c r="D32" s="14"/>
      <c r="E32" s="14"/>
      <c r="F32" s="14"/>
      <c r="G32" s="14"/>
      <c r="H32" s="14"/>
      <c r="I32" s="68"/>
      <c r="J32" s="72"/>
      <c r="K32" s="72"/>
      <c r="L32" s="217" t="s">
        <v>56</v>
      </c>
      <c r="M32" s="217"/>
      <c r="N32" s="70">
        <f>N25+N30</f>
        <v>0</v>
      </c>
      <c r="O32" s="1"/>
      <c r="P32" s="5"/>
      <c r="Q32" s="48"/>
      <c r="R32" s="53"/>
      <c r="S32" s="53"/>
      <c r="T32" s="53"/>
      <c r="U32" s="53"/>
      <c r="V32" s="53"/>
      <c r="W32" s="53"/>
      <c r="X32" s="5"/>
      <c r="Y32" s="5"/>
    </row>
    <row r="33" spans="1:25" ht="18.600000000000001" customHeight="1">
      <c r="A33" s="1"/>
      <c r="B33" s="1"/>
      <c r="C33" s="9"/>
      <c r="D33" s="14"/>
      <c r="E33" s="14"/>
      <c r="F33" s="14"/>
      <c r="G33" s="14"/>
      <c r="H33" s="14"/>
      <c r="I33" s="68"/>
      <c r="J33" s="14"/>
      <c r="K33" s="1"/>
      <c r="L33" s="11"/>
      <c r="M33" s="4"/>
      <c r="N33" s="4"/>
      <c r="O33" s="1"/>
      <c r="P33" s="5"/>
      <c r="Q33" s="48"/>
      <c r="R33" s="53"/>
      <c r="S33" s="53"/>
      <c r="T33" s="53"/>
      <c r="U33" s="53"/>
      <c r="V33" s="53"/>
      <c r="W33" s="53"/>
      <c r="X33" s="5"/>
      <c r="Y33" s="5"/>
    </row>
    <row r="34" spans="1:25" ht="26.25" customHeight="1">
      <c r="A34" s="1"/>
      <c r="B34" s="1"/>
      <c r="C34" s="9"/>
      <c r="D34" s="14"/>
      <c r="E34" s="14"/>
      <c r="F34" s="14"/>
      <c r="G34" s="14"/>
      <c r="H34" s="2"/>
      <c r="I34" s="68"/>
      <c r="J34" s="218" t="str">
        <f>"(-)Honorários Contratuais- (" &amp; IF(V8="Sim", "C","B") &amp; ")– " &amp; TEXT(R9, "0%") &amp; " sobre"</f>
        <v>(-)Honorários Contratuais- (C)– 0% sobre</v>
      </c>
      <c r="K34" s="219"/>
      <c r="L34" s="219"/>
      <c r="M34" s="75">
        <f>N25</f>
        <v>0</v>
      </c>
      <c r="N34" s="76">
        <f>IF(R8="sim",N25*$R$9,N25*0)</f>
        <v>0</v>
      </c>
      <c r="O34" s="77"/>
      <c r="P34" s="53"/>
      <c r="Q34" s="5"/>
      <c r="R34" s="5"/>
      <c r="S34" s="5"/>
      <c r="T34" s="5"/>
      <c r="U34" s="53"/>
      <c r="V34" s="53"/>
      <c r="W34" s="53"/>
      <c r="X34" s="5"/>
      <c r="Y34" s="5"/>
    </row>
    <row r="35" spans="1:25" ht="30.75" customHeight="1">
      <c r="A35" s="1"/>
      <c r="B35" s="1"/>
      <c r="C35" s="9"/>
      <c r="D35" s="2"/>
      <c r="E35" s="2"/>
      <c r="F35" s="2"/>
      <c r="G35" s="2"/>
      <c r="H35" s="14"/>
      <c r="I35" s="68"/>
      <c r="J35" s="78"/>
      <c r="K35" s="78"/>
      <c r="L35" s="78"/>
      <c r="M35" s="78"/>
      <c r="N35" s="79"/>
      <c r="O35" s="1"/>
      <c r="P35" s="5"/>
      <c r="Q35" s="5"/>
      <c r="R35" s="5"/>
      <c r="S35" s="80" t="s">
        <v>57</v>
      </c>
      <c r="T35" s="81">
        <f>5*7786.02</f>
        <v>38930.100000000006</v>
      </c>
      <c r="U35" s="53"/>
      <c r="V35" s="53"/>
      <c r="W35" s="53"/>
      <c r="X35" s="5"/>
      <c r="Y35" s="5"/>
    </row>
    <row r="36" spans="1:25" ht="26.25" customHeight="1">
      <c r="A36" s="1"/>
      <c r="B36" s="1"/>
      <c r="C36" s="9"/>
      <c r="D36" s="2"/>
      <c r="E36" s="2"/>
      <c r="F36" s="2"/>
      <c r="G36" s="2"/>
      <c r="H36" s="2"/>
      <c r="I36" s="68"/>
      <c r="J36" s="78"/>
      <c r="K36" s="220" t="s">
        <v>58</v>
      </c>
      <c r="L36" s="221"/>
      <c r="M36" s="222"/>
      <c r="N36" s="82">
        <f>N25- N34</f>
        <v>0</v>
      </c>
      <c r="O36" s="1"/>
      <c r="P36" s="53"/>
      <c r="Q36" s="48"/>
      <c r="R36" s="53"/>
      <c r="S36" s="53"/>
      <c r="T36" s="53"/>
      <c r="U36" s="53"/>
      <c r="V36" s="53"/>
      <c r="W36" s="53"/>
      <c r="X36" s="53"/>
      <c r="Y36" s="5"/>
    </row>
    <row r="37" spans="1:25" ht="29.25" customHeight="1">
      <c r="A37" s="1"/>
      <c r="B37" s="1"/>
      <c r="C37" s="9"/>
      <c r="D37" s="14"/>
      <c r="E37" s="14"/>
      <c r="F37" s="68"/>
      <c r="G37" s="2"/>
      <c r="H37" s="68"/>
      <c r="I37" s="14"/>
      <c r="J37" s="14"/>
      <c r="K37" s="1"/>
      <c r="L37" s="11"/>
      <c r="M37" s="4"/>
      <c r="N37" s="4"/>
      <c r="O37" s="1"/>
      <c r="P37" s="5"/>
      <c r="Q37" s="5"/>
      <c r="R37" s="53"/>
      <c r="S37" s="53"/>
      <c r="T37" s="53"/>
      <c r="U37" s="53"/>
      <c r="V37" s="53"/>
      <c r="W37" s="53"/>
      <c r="X37" s="83"/>
      <c r="Y37" s="5"/>
    </row>
    <row r="38" spans="1:25" ht="23.25" hidden="1" customHeight="1" outlineLevel="1">
      <c r="A38" s="1"/>
      <c r="B38" s="1"/>
      <c r="C38" s="205" t="s">
        <v>59</v>
      </c>
      <c r="D38" s="205"/>
      <c r="E38" s="205"/>
      <c r="F38" s="205"/>
      <c r="G38" s="205"/>
      <c r="H38" s="205"/>
      <c r="I38" s="205"/>
      <c r="J38" s="205"/>
      <c r="K38" s="205"/>
      <c r="L38" s="205"/>
      <c r="M38" s="205"/>
      <c r="N38" s="84"/>
      <c r="O38" s="1"/>
      <c r="P38" s="5"/>
      <c r="Q38" s="5"/>
      <c r="R38" s="53"/>
      <c r="S38" s="53"/>
      <c r="T38" s="53"/>
      <c r="U38" s="53"/>
      <c r="V38" s="53"/>
      <c r="W38" s="53"/>
      <c r="X38" s="83"/>
      <c r="Y38" s="85"/>
    </row>
    <row r="39" spans="1:25" ht="67.5" hidden="1" outlineLevel="1">
      <c r="A39" s="1"/>
      <c r="B39" s="1"/>
      <c r="C39" s="9"/>
      <c r="D39" s="223" t="s">
        <v>60</v>
      </c>
      <c r="E39" s="224"/>
      <c r="F39" s="86" t="s">
        <v>61</v>
      </c>
      <c r="G39" s="87" t="s">
        <v>62</v>
      </c>
      <c r="H39" s="87" t="str">
        <f>"HON.CONTRATUAIS " &amp; IF(V10="Sim", TEXT(V11,"0%"), "")</f>
        <v xml:space="preserve">HON.CONTRATUAIS </v>
      </c>
      <c r="I39" s="87" t="str">
        <f>"HON.SUCUMBÊNCIA " &amp; IF(V10="Sim", TEXT(V11,"0%"), "")</f>
        <v xml:space="preserve">HON.SUCUMBÊNCIA </v>
      </c>
      <c r="J39" s="87" t="s">
        <v>63</v>
      </c>
      <c r="K39" s="87" t="s">
        <v>64</v>
      </c>
      <c r="L39" s="87" t="s">
        <v>65</v>
      </c>
      <c r="M39" s="87" t="s">
        <v>66</v>
      </c>
      <c r="N39" s="84"/>
      <c r="O39" s="1"/>
      <c r="P39" s="5"/>
      <c r="Q39" s="5"/>
      <c r="R39" s="53"/>
      <c r="S39" s="53"/>
      <c r="T39" s="53"/>
      <c r="U39" s="53"/>
      <c r="V39" s="53"/>
      <c r="W39" s="53"/>
      <c r="X39" s="83"/>
      <c r="Y39" s="85"/>
    </row>
    <row r="40" spans="1:25" ht="23.25" hidden="1" customHeight="1" outlineLevel="1">
      <c r="A40" s="1"/>
      <c r="B40" s="1"/>
      <c r="C40" s="9"/>
      <c r="D40" s="207"/>
      <c r="E40" s="208"/>
      <c r="F40" s="88"/>
      <c r="G40" s="89">
        <f>$N$25*F40</f>
        <v>0</v>
      </c>
      <c r="H40" s="89">
        <f>IF($R$8="Sim",G40*$R$9,0)</f>
        <v>0</v>
      </c>
      <c r="I40" s="89">
        <f>IF($V$8="Sim",F40*$V$9,0)</f>
        <v>0</v>
      </c>
      <c r="J40" s="89">
        <f>G40-H40-I40</f>
        <v>0</v>
      </c>
      <c r="K40" s="89" t="e">
        <f>$X$59</f>
        <v>#DIV/0!</v>
      </c>
      <c r="L40" s="89" t="e">
        <f>F40*$U$79</f>
        <v>#DIV/0!</v>
      </c>
      <c r="M40" s="90" t="e">
        <f>$U$75*F40</f>
        <v>#DIV/0!</v>
      </c>
      <c r="N40" s="84"/>
      <c r="O40" s="1"/>
      <c r="P40" s="5"/>
      <c r="Q40" s="5"/>
      <c r="R40" s="53"/>
      <c r="S40" s="53"/>
      <c r="T40" s="53"/>
      <c r="U40" s="53"/>
      <c r="V40" s="53"/>
      <c r="W40" s="53"/>
      <c r="X40" s="83"/>
      <c r="Y40" s="85"/>
    </row>
    <row r="41" spans="1:25" ht="23.25" hidden="1" customHeight="1" outlineLevel="1">
      <c r="A41" s="1"/>
      <c r="B41" s="1"/>
      <c r="C41" s="9"/>
      <c r="D41" s="207"/>
      <c r="E41" s="208"/>
      <c r="F41" s="88"/>
      <c r="G41" s="89">
        <f>$N$25*F41</f>
        <v>0</v>
      </c>
      <c r="H41" s="89">
        <f>IF($R$8="Sim",G41*$R$9,0)</f>
        <v>0</v>
      </c>
      <c r="I41" s="89">
        <f>IF($V$8="Sim",F41*$V$9,0)</f>
        <v>0</v>
      </c>
      <c r="J41" s="89">
        <f>G41-H41-I41</f>
        <v>0</v>
      </c>
      <c r="K41" s="89" t="e">
        <f>$X$59</f>
        <v>#DIV/0!</v>
      </c>
      <c r="L41" s="89" t="e">
        <f>F41*$U$79</f>
        <v>#DIV/0!</v>
      </c>
      <c r="M41" s="90" t="e">
        <f>$U$75*F41</f>
        <v>#DIV/0!</v>
      </c>
      <c r="N41" s="84"/>
      <c r="O41" s="1"/>
      <c r="P41" s="5"/>
      <c r="Q41" s="5"/>
      <c r="R41" s="53"/>
      <c r="S41" s="53"/>
      <c r="T41" s="53"/>
      <c r="U41" s="53"/>
      <c r="V41" s="53"/>
      <c r="W41" s="53"/>
      <c r="X41" s="83"/>
      <c r="Y41" s="85"/>
    </row>
    <row r="42" spans="1:25" ht="23.25" hidden="1" outlineLevel="1">
      <c r="A42" s="1"/>
      <c r="B42" s="1"/>
      <c r="C42" s="9"/>
      <c r="D42" s="226" t="s">
        <v>67</v>
      </c>
      <c r="E42" s="227"/>
      <c r="F42" s="91">
        <f>SUM(F40:F41)</f>
        <v>0</v>
      </c>
      <c r="G42" s="92">
        <f>SUM(G40:G41)</f>
        <v>0</v>
      </c>
      <c r="H42" s="92">
        <f t="shared" ref="H42:I42" si="0">SUM(H40:H41)</f>
        <v>0</v>
      </c>
      <c r="I42" s="92">
        <f t="shared" si="0"/>
        <v>0</v>
      </c>
      <c r="J42" s="92">
        <f>SUM(J40:J41)</f>
        <v>0</v>
      </c>
      <c r="K42" s="92" t="e">
        <f>SUM(K40:K41)</f>
        <v>#DIV/0!</v>
      </c>
      <c r="L42" s="92" t="e">
        <f>SUM(L40:L41)</f>
        <v>#DIV/0!</v>
      </c>
      <c r="M42" s="93" t="e">
        <f>SUM(M40:M41)</f>
        <v>#DIV/0!</v>
      </c>
      <c r="N42" s="84"/>
      <c r="O42" s="1"/>
      <c r="P42" s="5"/>
      <c r="Q42" s="5"/>
      <c r="R42" s="53"/>
      <c r="S42" s="53"/>
      <c r="T42" s="53"/>
      <c r="U42" s="53"/>
      <c r="V42" s="53"/>
      <c r="W42" s="53"/>
      <c r="X42" s="83"/>
      <c r="Y42" s="85"/>
    </row>
    <row r="43" spans="1:25" ht="23.25" customHeight="1" collapsed="1">
      <c r="A43" s="1"/>
      <c r="B43" s="1"/>
      <c r="C43" s="9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1"/>
      <c r="P43" s="5"/>
      <c r="Q43" s="5"/>
      <c r="R43" s="53"/>
      <c r="S43" s="53"/>
      <c r="T43" s="53"/>
      <c r="U43" s="53"/>
      <c r="V43" s="53"/>
      <c r="W43" s="53"/>
      <c r="X43" s="83"/>
      <c r="Y43" s="85"/>
    </row>
    <row r="44" spans="1:25" ht="23.25" customHeight="1">
      <c r="A44" s="1"/>
      <c r="B44" s="1"/>
      <c r="C44" s="9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1"/>
      <c r="P44" s="5"/>
      <c r="Q44" s="5"/>
      <c r="R44" s="53"/>
      <c r="S44" s="94" t="s">
        <v>68</v>
      </c>
      <c r="T44" s="95">
        <f>IF(N25&gt;T35,T35,N25)</f>
        <v>0</v>
      </c>
      <c r="U44" s="228" t="s">
        <v>69</v>
      </c>
      <c r="V44" s="228"/>
      <c r="W44" s="228"/>
      <c r="X44" s="83"/>
      <c r="Y44" s="85"/>
    </row>
    <row r="45" spans="1:25" ht="23.25" customHeight="1">
      <c r="A45" s="1"/>
      <c r="B45" s="1"/>
      <c r="C45" s="9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1"/>
      <c r="P45" s="5"/>
      <c r="Q45" s="5"/>
      <c r="R45" s="53"/>
      <c r="S45" s="96" t="s">
        <v>70</v>
      </c>
      <c r="T45" s="97" t="e">
        <f>ROUND(T44*S27,2)</f>
        <v>#DIV/0!</v>
      </c>
      <c r="U45" s="98" t="e">
        <f>ROUND($M$24*T45,2)</f>
        <v>#DIV/0!</v>
      </c>
      <c r="V45" s="99" t="e">
        <f>SUM(T45:U45)</f>
        <v>#DIV/0!</v>
      </c>
      <c r="W45" s="100" t="s">
        <v>71</v>
      </c>
      <c r="X45" s="83"/>
      <c r="Y45" s="85"/>
    </row>
    <row r="46" spans="1:25" ht="64.5" customHeight="1">
      <c r="A46" s="1"/>
      <c r="B46" s="1"/>
      <c r="C46" s="9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1"/>
      <c r="P46" s="5"/>
      <c r="Q46" s="5"/>
      <c r="R46" s="53"/>
      <c r="S46" s="96" t="s">
        <v>72</v>
      </c>
      <c r="T46" s="97" t="e">
        <f>ROUND(U27*T44,2)</f>
        <v>#DIV/0!</v>
      </c>
      <c r="U46" s="98" t="e">
        <f>ROUND($M$24*T46,2)</f>
        <v>#DIV/0!</v>
      </c>
      <c r="V46" s="101" t="e">
        <f>SUM(T46:U46)</f>
        <v>#DIV/0!</v>
      </c>
      <c r="W46" s="102" t="s">
        <v>73</v>
      </c>
      <c r="X46" s="83"/>
      <c r="Y46" s="5"/>
    </row>
    <row r="47" spans="1:25" ht="48.75" customHeight="1">
      <c r="A47" s="1"/>
      <c r="B47" s="1"/>
      <c r="C47" s="9"/>
      <c r="D47" s="229" t="s">
        <v>74</v>
      </c>
      <c r="E47" s="229"/>
      <c r="F47" s="229"/>
      <c r="G47" s="229"/>
      <c r="H47" s="229"/>
      <c r="I47" s="229"/>
      <c r="J47" s="229"/>
      <c r="K47" s="4"/>
      <c r="L47" s="4"/>
      <c r="M47" s="4"/>
      <c r="N47" s="4"/>
      <c r="O47" s="1"/>
      <c r="P47" s="5"/>
      <c r="Q47" s="5"/>
      <c r="R47" s="53"/>
      <c r="S47" s="96" t="s">
        <v>75</v>
      </c>
      <c r="T47" s="97" t="e">
        <f>ROUND(T44*W27,2)</f>
        <v>#DIV/0!</v>
      </c>
      <c r="U47" s="103" t="e">
        <f>SUM(U45:U46)</f>
        <v>#DIV/0!</v>
      </c>
      <c r="V47" s="104" t="e">
        <f>SUM(V45:V46)</f>
        <v>#DIV/0!</v>
      </c>
      <c r="W47" s="105" t="s">
        <v>76</v>
      </c>
      <c r="X47" s="83"/>
      <c r="Y47" s="5"/>
    </row>
    <row r="48" spans="1:25" ht="23.25">
      <c r="A48" s="1"/>
      <c r="B48" s="1"/>
      <c r="C48" s="9"/>
      <c r="D48" s="230" t="s">
        <v>77</v>
      </c>
      <c r="E48" s="230"/>
      <c r="F48" s="106" t="s">
        <v>78</v>
      </c>
      <c r="G48" s="107" t="s">
        <v>79</v>
      </c>
      <c r="H48" s="108" t="s">
        <v>80</v>
      </c>
      <c r="I48" s="107" t="s">
        <v>81</v>
      </c>
      <c r="J48" s="107" t="s">
        <v>82</v>
      </c>
      <c r="K48" s="4"/>
      <c r="L48" s="4"/>
      <c r="M48" s="4"/>
      <c r="N48" s="4"/>
      <c r="O48" s="1"/>
      <c r="P48" s="5"/>
      <c r="Q48" s="5"/>
      <c r="R48" s="109"/>
      <c r="S48" s="5"/>
      <c r="T48" s="5"/>
      <c r="U48" s="5"/>
      <c r="V48" s="83"/>
      <c r="W48" s="83"/>
      <c r="X48" s="83"/>
      <c r="Y48" s="5"/>
    </row>
    <row r="49" spans="1:25" ht="46.5" customHeight="1">
      <c r="A49" s="1"/>
      <c r="B49" s="1"/>
      <c r="C49" s="9"/>
      <c r="D49" s="231" t="str">
        <f>E10</f>
        <v>Digite Nome do Exequente</v>
      </c>
      <c r="E49" s="231"/>
      <c r="F49" s="110">
        <f>T54</f>
        <v>0</v>
      </c>
      <c r="G49" s="111" t="e">
        <f>T60</f>
        <v>#DIV/0!</v>
      </c>
      <c r="H49" s="111" t="e">
        <f>U79</f>
        <v>#DIV/0!</v>
      </c>
      <c r="I49" s="111" t="e">
        <f>F49-G49-H49</f>
        <v>#DIV/0!</v>
      </c>
      <c r="J49" s="112" t="e">
        <f>IF(V68="sim", U75, "-")</f>
        <v>#DIV/0!</v>
      </c>
      <c r="K49" s="4"/>
      <c r="L49" s="4"/>
      <c r="M49" s="4"/>
      <c r="N49" s="4"/>
      <c r="O49" s="1"/>
      <c r="P49" s="5"/>
      <c r="Q49" s="5"/>
      <c r="R49" s="109"/>
      <c r="S49" s="232" t="s">
        <v>83</v>
      </c>
      <c r="T49" s="232"/>
      <c r="U49" s="113"/>
      <c r="V49" s="83"/>
      <c r="W49" s="83"/>
      <c r="X49" s="83"/>
      <c r="Y49" s="5"/>
    </row>
    <row r="50" spans="1:25" ht="52.5" customHeight="1">
      <c r="A50" s="1"/>
      <c r="B50" s="1"/>
      <c r="C50" s="9"/>
      <c r="D50" s="231" t="str">
        <f>TEXT(R10,"Texto")&amp;" (Honorários  Contratual)"</f>
        <v>Gabriel de Jesus Silva (Honorários  Contratual)</v>
      </c>
      <c r="E50" s="231"/>
      <c r="F50" s="110">
        <f>T51</f>
        <v>0</v>
      </c>
      <c r="G50" s="111">
        <v>0</v>
      </c>
      <c r="H50" s="111">
        <f>ROUND(IF(R11="cpf", IF(F50&gt;=[1]IR!$B$4,F50* [1]IR!$C$4-[1]IR!$D$4, IF(F50&gt;=[1]IR!$B$5,F50* [1]IR!$C$5-[1]IR!$D$5, IF(F50&gt;=[1]IR!$B$6,F50* [1]IR!$C$6-[1]IR!$D$6, IF(F50&gt;=[1]IR!$B$7,F50* [1]IR!$C$7-[1]IR!$D$7, 0)))), IF(R11="cnpj",F50* [1]IR!$C$10, "0")),2)</f>
        <v>0</v>
      </c>
      <c r="I50" s="111">
        <f>F50-G50-H50</f>
        <v>0</v>
      </c>
      <c r="J50" s="112" t="s">
        <v>41</v>
      </c>
      <c r="K50" s="4"/>
      <c r="L50" s="4"/>
      <c r="M50" s="4"/>
      <c r="N50" s="4"/>
      <c r="O50" s="1"/>
      <c r="P50" s="5"/>
      <c r="Q50" s="5"/>
      <c r="R50" s="109"/>
      <c r="S50" s="114" t="s">
        <v>84</v>
      </c>
      <c r="T50" s="115">
        <f>T44</f>
        <v>0</v>
      </c>
      <c r="U50" s="113"/>
      <c r="V50" s="83"/>
      <c r="W50" s="83"/>
      <c r="X50" s="83"/>
      <c r="Y50" s="5"/>
    </row>
    <row r="51" spans="1:25" ht="63.75" customHeight="1">
      <c r="A51" s="1"/>
      <c r="B51" s="1"/>
      <c r="C51" s="9"/>
      <c r="D51" s="231" t="str">
        <f>TEXT(V10,"Texto")&amp;" (Honorários de Sucumbência)"</f>
        <v>GABRIEL DE JESUS SILVA (Honorários de Sucumbência)</v>
      </c>
      <c r="E51" s="231"/>
      <c r="F51" s="110">
        <f>T53</f>
        <v>0</v>
      </c>
      <c r="G51" s="111">
        <v>0</v>
      </c>
      <c r="H51" s="111">
        <f>ROUND(IF(V11="cpf", IF(F51&gt;=[1]IR!$B$4,F51* [1]IR!$C$4-[1]IR!$D$4, IF(F51&gt;=[1]IR!$B$5,F51* [1]IR!$C$5-[1]IR!$D$5, IF(F51&gt;=[1]IR!$B$6,F51* [1]IR!$C$6-[1]IR!$D$6, IF(F51&gt;=[1]IR!$B$7,F51* [1]IR!$C$7-[1]IR!$D$7, 0)))), IF(V11="cnpj",F51* [1]IR!$C$10, "0")),2)</f>
        <v>0</v>
      </c>
      <c r="I51" s="111">
        <f>F51-G51-H51</f>
        <v>0</v>
      </c>
      <c r="J51" s="112" t="s">
        <v>41</v>
      </c>
      <c r="K51" s="4"/>
      <c r="L51" s="4"/>
      <c r="M51" s="4"/>
      <c r="N51" s="4"/>
      <c r="O51" s="1"/>
      <c r="P51" s="5"/>
      <c r="Q51" s="5"/>
      <c r="R51" s="109"/>
      <c r="S51" s="116" t="s">
        <v>85</v>
      </c>
      <c r="T51" s="117">
        <f>IF(R8="Sim",ROUND(T50*$R$9,2),T50*0)</f>
        <v>0</v>
      </c>
      <c r="U51" s="113"/>
      <c r="V51" s="83"/>
      <c r="W51" s="83"/>
      <c r="X51" s="83"/>
      <c r="Y51" s="5"/>
    </row>
    <row r="52" spans="1:25" ht="41.25" customHeight="1">
      <c r="A52" s="1"/>
      <c r="B52" s="1"/>
      <c r="C52" s="9"/>
      <c r="D52" s="233" t="s">
        <v>86</v>
      </c>
      <c r="E52" s="233"/>
      <c r="F52" s="92">
        <f t="shared" ref="F52" si="1">SUM(F49:F51)</f>
        <v>0</v>
      </c>
      <c r="G52" s="92" t="e">
        <f>SUM(G49:G51)</f>
        <v>#DIV/0!</v>
      </c>
      <c r="H52" s="92" t="e">
        <f>SUM(H49:H51)</f>
        <v>#DIV/0!</v>
      </c>
      <c r="I52" s="92" t="e">
        <f>SUM(I49:I51)</f>
        <v>#DIV/0!</v>
      </c>
      <c r="J52" s="92" t="s">
        <v>41</v>
      </c>
      <c r="K52" s="4"/>
      <c r="L52" s="4"/>
      <c r="M52" s="4"/>
      <c r="N52" s="4"/>
      <c r="O52" s="1"/>
      <c r="P52" s="5"/>
      <c r="Q52" s="5"/>
      <c r="R52" s="109"/>
      <c r="S52" s="116" t="s">
        <v>87</v>
      </c>
      <c r="T52" s="117">
        <v>0</v>
      </c>
      <c r="U52" s="83"/>
      <c r="V52" s="83"/>
      <c r="W52" s="83"/>
      <c r="X52" s="83"/>
      <c r="Y52" s="5"/>
    </row>
    <row r="53" spans="1:25" ht="23.25" customHeight="1">
      <c r="A53" s="1"/>
      <c r="B53" s="1"/>
      <c r="C53" s="9"/>
      <c r="D53" s="118"/>
      <c r="E53" s="118"/>
      <c r="F53" s="119"/>
      <c r="G53" s="118"/>
      <c r="H53" s="118"/>
      <c r="I53" s="118"/>
      <c r="J53" s="118"/>
      <c r="K53" s="4"/>
      <c r="L53" s="4"/>
      <c r="M53" s="4"/>
      <c r="N53" s="4"/>
      <c r="O53" s="1"/>
      <c r="P53" s="5"/>
      <c r="Q53" s="5"/>
      <c r="R53" s="109"/>
      <c r="S53" s="120" t="s">
        <v>88</v>
      </c>
      <c r="T53" s="117">
        <f>IF(V8="Sim",ROUND(T50*$V$9,2),T50*0)</f>
        <v>0</v>
      </c>
      <c r="U53" s="83"/>
      <c r="V53" s="83"/>
      <c r="W53" s="83"/>
      <c r="X53" s="121"/>
      <c r="Y53" s="5"/>
    </row>
    <row r="54" spans="1:25" ht="31.5" customHeight="1">
      <c r="A54" s="1"/>
      <c r="B54" s="1"/>
      <c r="C54" s="9"/>
      <c r="D54" s="12" t="str" cm="1">
        <f t="array" ref="D54">"Importa a presente conta o valor bruto de R$ " &amp; TEXT(ROUND($F$52,2), "#.##0,00") &amp; " (" &amp; PROPER(Converter_numero(ROUND($F$52,2))) &amp; ")"</f>
        <v>Importa a presente conta o valor bruto de R$ 0,00 ()</v>
      </c>
      <c r="E54" s="12"/>
      <c r="F54" s="122"/>
      <c r="G54" s="12"/>
      <c r="H54" s="12"/>
      <c r="I54" s="12"/>
      <c r="J54" s="14"/>
      <c r="K54" s="4"/>
      <c r="L54" s="4"/>
      <c r="M54" s="4"/>
      <c r="N54" s="4"/>
      <c r="O54" s="1"/>
      <c r="P54" s="5"/>
      <c r="Q54" s="5"/>
      <c r="R54" s="109"/>
      <c r="S54" s="123" t="s">
        <v>89</v>
      </c>
      <c r="T54" s="124">
        <f>T50-SUM(T51:T52)</f>
        <v>0</v>
      </c>
      <c r="U54" s="83"/>
      <c r="V54" s="83"/>
      <c r="W54" s="83"/>
      <c r="X54" s="83"/>
      <c r="Y54" s="5"/>
    </row>
    <row r="55" spans="1:25" ht="23.25">
      <c r="A55" s="1"/>
      <c r="B55" s="1"/>
      <c r="C55" s="9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1"/>
      <c r="P55" s="5"/>
      <c r="Q55" s="5"/>
      <c r="R55" s="109"/>
      <c r="S55" s="109"/>
      <c r="T55" s="109"/>
      <c r="U55" s="109"/>
      <c r="V55" s="109"/>
      <c r="W55" s="83"/>
      <c r="X55" s="83"/>
      <c r="Y55" s="5"/>
    </row>
    <row r="56" spans="1:25" ht="23.25">
      <c r="A56" s="1"/>
      <c r="B56" s="1"/>
      <c r="C56" s="9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1"/>
      <c r="P56" s="5"/>
      <c r="Q56" s="5"/>
      <c r="R56" s="83"/>
      <c r="S56" s="83"/>
      <c r="T56" s="83"/>
      <c r="U56" s="83"/>
      <c r="V56" s="83"/>
      <c r="W56" s="83"/>
      <c r="X56" s="83"/>
      <c r="Y56" s="5"/>
    </row>
    <row r="57" spans="1:25" ht="23.25">
      <c r="A57" s="1"/>
      <c r="B57" s="1"/>
      <c r="C57" s="125" t="s">
        <v>90</v>
      </c>
      <c r="D57" s="12"/>
      <c r="E57" s="12"/>
      <c r="F57" s="12"/>
      <c r="G57" s="12"/>
      <c r="H57" s="12"/>
      <c r="I57" s="14"/>
      <c r="J57" s="14"/>
      <c r="K57" s="10"/>
      <c r="L57" s="3"/>
      <c r="M57" s="3"/>
      <c r="N57" s="4"/>
      <c r="O57" s="1"/>
      <c r="P57" s="5"/>
      <c r="Q57" s="5"/>
      <c r="R57" s="109"/>
      <c r="S57" s="126" t="s">
        <v>91</v>
      </c>
      <c r="T57" s="127" t="s">
        <v>5</v>
      </c>
      <c r="U57" s="128">
        <v>0.14000000000000001</v>
      </c>
      <c r="V57" s="129" t="s">
        <v>92</v>
      </c>
      <c r="W57" s="234" t="s">
        <v>93</v>
      </c>
      <c r="X57" s="235"/>
      <c r="Y57" s="5"/>
    </row>
    <row r="58" spans="1:25" ht="28.5" customHeight="1">
      <c r="A58" s="1"/>
      <c r="B58" s="1"/>
      <c r="C58" s="79"/>
      <c r="D58" s="236" t="s">
        <v>94</v>
      </c>
      <c r="E58" s="236"/>
      <c r="F58" s="130" t="s">
        <v>95</v>
      </c>
      <c r="G58" s="79"/>
      <c r="H58" s="79"/>
      <c r="I58" s="12"/>
      <c r="J58" s="131"/>
      <c r="K58" s="10"/>
      <c r="L58" s="3"/>
      <c r="M58" s="4"/>
      <c r="N58" s="4"/>
      <c r="O58" s="1"/>
      <c r="P58" s="5"/>
      <c r="Q58" s="5"/>
      <c r="R58" s="109"/>
      <c r="S58" s="132" t="s">
        <v>96</v>
      </c>
      <c r="T58" s="133" t="e">
        <f>IF(T57="Sim", V45, "R$ 0,00")</f>
        <v>#DIV/0!</v>
      </c>
      <c r="U58" s="5"/>
      <c r="V58" s="5"/>
      <c r="W58" s="134" t="s">
        <v>97</v>
      </c>
      <c r="X58" s="135" t="e">
        <f>T60</f>
        <v>#DIV/0!</v>
      </c>
      <c r="Y58" s="5"/>
    </row>
    <row r="59" spans="1:25" ht="98.25" customHeight="1">
      <c r="A59" s="1"/>
      <c r="B59" s="1"/>
      <c r="C59" s="79"/>
      <c r="D59" s="136" t="s">
        <v>98</v>
      </c>
      <c r="E59" s="130" t="e">
        <f>U72</f>
        <v>#DIV/0!</v>
      </c>
      <c r="F59" s="137" t="e">
        <f>J49</f>
        <v>#DIV/0!</v>
      </c>
      <c r="G59" s="79"/>
      <c r="H59" s="138"/>
      <c r="I59" s="139"/>
      <c r="J59" s="131"/>
      <c r="K59" s="10"/>
      <c r="L59" s="3"/>
      <c r="M59" s="4"/>
      <c r="N59" s="4"/>
      <c r="O59" s="1"/>
      <c r="P59" s="5"/>
      <c r="Q59" s="5"/>
      <c r="R59" s="109"/>
      <c r="S59" s="132" t="str">
        <f>CONCATENATE("Aliquota ", TEXT(U57, "0%"))</f>
        <v>Aliquota 14%</v>
      </c>
      <c r="T59" s="133" t="e">
        <f>ROUND(T58*U57,2)</f>
        <v>#DIV/0!</v>
      </c>
      <c r="U59" s="5"/>
      <c r="V59" s="5"/>
      <c r="W59" s="140" t="s">
        <v>99</v>
      </c>
      <c r="X59" s="135" t="e">
        <f>X58/2</f>
        <v>#DIV/0!</v>
      </c>
      <c r="Y59" s="5"/>
    </row>
    <row r="60" spans="1:25" ht="57.75" customHeight="1">
      <c r="A60" s="1"/>
      <c r="B60" s="1"/>
      <c r="C60" s="79"/>
      <c r="D60" s="136" t="s">
        <v>100</v>
      </c>
      <c r="E60" s="130" t="e">
        <f>T54-U72</f>
        <v>#DIV/0!</v>
      </c>
      <c r="F60" s="79"/>
      <c r="G60" s="79"/>
      <c r="H60" s="79"/>
      <c r="I60" s="12"/>
      <c r="J60" s="12"/>
      <c r="K60" s="10"/>
      <c r="L60" s="3"/>
      <c r="M60" s="4"/>
      <c r="N60" s="4"/>
      <c r="O60" s="1"/>
      <c r="P60" s="5"/>
      <c r="Q60" s="5"/>
      <c r="R60" s="109"/>
      <c r="S60" s="141" t="s">
        <v>78</v>
      </c>
      <c r="T60" s="142" t="e">
        <f>T59</f>
        <v>#DIV/0!</v>
      </c>
      <c r="U60" s="5"/>
      <c r="V60" s="5"/>
      <c r="W60" s="143" t="s">
        <v>101</v>
      </c>
      <c r="X60" s="144">
        <f>G40</f>
        <v>0</v>
      </c>
      <c r="Y60" s="5"/>
    </row>
    <row r="61" spans="1:25" ht="63.75" customHeight="1">
      <c r="A61" s="1"/>
      <c r="B61" s="1"/>
      <c r="C61" s="79"/>
      <c r="D61" s="136" t="s">
        <v>102</v>
      </c>
      <c r="E61" s="130">
        <v>0</v>
      </c>
      <c r="F61" s="79"/>
      <c r="G61" s="79"/>
      <c r="H61" s="79"/>
      <c r="I61" s="12"/>
      <c r="J61" s="12"/>
      <c r="K61" s="10"/>
      <c r="L61" s="3"/>
      <c r="M61" s="4"/>
      <c r="N61" s="4"/>
      <c r="O61" s="1"/>
      <c r="P61" s="5"/>
      <c r="Q61" s="5"/>
      <c r="R61" s="109"/>
      <c r="S61" s="113"/>
      <c r="T61" s="113"/>
      <c r="U61" s="113"/>
      <c r="V61" s="83"/>
      <c r="W61" s="143" t="s">
        <v>103</v>
      </c>
      <c r="X61" s="144">
        <f>T44</f>
        <v>0</v>
      </c>
      <c r="Y61" s="5"/>
    </row>
    <row r="62" spans="1:25" ht="39.75" customHeight="1">
      <c r="A62" s="1"/>
      <c r="B62" s="1"/>
      <c r="C62" s="79"/>
      <c r="E62" s="79"/>
      <c r="F62" s="79"/>
      <c r="G62" s="79"/>
      <c r="H62" s="79"/>
      <c r="I62" s="12"/>
      <c r="J62" s="12"/>
      <c r="K62" s="10"/>
      <c r="L62" s="3"/>
      <c r="M62" s="4"/>
      <c r="N62" s="4"/>
      <c r="O62" s="1"/>
      <c r="P62" s="5"/>
      <c r="Q62" s="5"/>
      <c r="R62" s="109"/>
      <c r="S62" s="225" t="s">
        <v>82</v>
      </c>
      <c r="T62" s="225"/>
      <c r="U62" s="113"/>
      <c r="V62" s="83"/>
      <c r="W62" s="145" t="s">
        <v>104</v>
      </c>
      <c r="X62" s="146" t="e">
        <f>X61*X59/X60</f>
        <v>#DIV/0!</v>
      </c>
      <c r="Y62" s="5"/>
    </row>
    <row r="63" spans="1:25" ht="43.5" customHeight="1">
      <c r="A63" s="1"/>
      <c r="B63" s="1"/>
      <c r="C63" s="79"/>
      <c r="D63" s="79" t="s">
        <v>105</v>
      </c>
      <c r="E63" s="79"/>
      <c r="F63" s="147"/>
      <c r="G63" s="79"/>
      <c r="H63" s="79"/>
      <c r="I63" s="12"/>
      <c r="J63" s="12"/>
      <c r="K63" s="10"/>
      <c r="L63" s="3"/>
      <c r="M63" s="4"/>
      <c r="N63" s="4"/>
      <c r="O63" s="1"/>
      <c r="P63" s="5"/>
      <c r="Q63" s="5"/>
      <c r="R63" s="109"/>
      <c r="S63" s="148">
        <f>(IF(V68="Sim",R26,0))</f>
        <v>0</v>
      </c>
      <c r="T63" s="149">
        <v>3</v>
      </c>
      <c r="U63" s="113"/>
      <c r="V63" s="83"/>
      <c r="W63" s="83"/>
      <c r="X63" s="83"/>
      <c r="Y63" s="5"/>
    </row>
    <row r="64" spans="1:25" ht="23.25">
      <c r="A64" s="1"/>
      <c r="B64" s="1"/>
      <c r="C64" s="79"/>
      <c r="D64" s="150" t="s">
        <v>106</v>
      </c>
      <c r="E64" s="79"/>
      <c r="F64" s="147"/>
      <c r="G64" s="79"/>
      <c r="H64" s="79"/>
      <c r="I64" s="12"/>
      <c r="J64" s="12"/>
      <c r="K64" s="10"/>
      <c r="L64" s="3"/>
      <c r="M64" s="4"/>
      <c r="N64" s="4"/>
      <c r="O64" s="1"/>
      <c r="P64" s="5"/>
      <c r="Q64" s="5"/>
      <c r="R64" s="109"/>
      <c r="S64" s="148">
        <f>T50</f>
        <v>0</v>
      </c>
      <c r="T64" s="151" t="s">
        <v>107</v>
      </c>
      <c r="U64" s="113"/>
      <c r="V64" s="83"/>
      <c r="W64" s="83"/>
      <c r="X64" s="83"/>
      <c r="Y64" s="5"/>
    </row>
    <row r="65" spans="1:25" ht="23.25">
      <c r="A65" s="1"/>
      <c r="B65" s="1"/>
      <c r="C65" s="79"/>
      <c r="D65" s="150" t="s">
        <v>108</v>
      </c>
      <c r="E65" s="79"/>
      <c r="F65" s="147"/>
      <c r="G65" s="79"/>
      <c r="H65" s="79"/>
      <c r="I65" s="118"/>
      <c r="J65" s="118"/>
      <c r="K65" s="118"/>
      <c r="L65" s="118"/>
      <c r="M65" s="4"/>
      <c r="N65" s="4"/>
      <c r="O65" s="1"/>
      <c r="P65" s="5"/>
      <c r="Q65" s="5"/>
      <c r="R65" s="83"/>
      <c r="S65" s="152"/>
      <c r="T65" s="153" t="e">
        <f>ROUND((S64*T63)/S63,0)</f>
        <v>#DIV/0!</v>
      </c>
      <c r="U65" s="83"/>
      <c r="V65" s="83"/>
      <c r="W65" s="83"/>
      <c r="X65" s="83"/>
      <c r="Y65" s="5"/>
    </row>
    <row r="66" spans="1:25" ht="26.25">
      <c r="A66" s="1"/>
      <c r="B66" s="1"/>
      <c r="C66" s="79"/>
      <c r="D66" s="79" t="s">
        <v>109</v>
      </c>
      <c r="E66" s="79"/>
      <c r="F66" s="147"/>
      <c r="G66" s="79"/>
      <c r="H66" s="79"/>
      <c r="I66" s="118"/>
      <c r="J66" s="118"/>
      <c r="K66" s="118"/>
      <c r="L66" s="118"/>
      <c r="M66" s="4"/>
      <c r="N66" s="4"/>
      <c r="O66" s="1"/>
      <c r="P66" s="5"/>
      <c r="Q66" s="5"/>
      <c r="R66" s="109"/>
      <c r="S66" s="113"/>
      <c r="T66" s="113"/>
      <c r="U66" s="113"/>
      <c r="V66" s="113"/>
      <c r="W66" s="83"/>
      <c r="X66" s="83"/>
      <c r="Y66" s="5"/>
    </row>
    <row r="67" spans="1:25" ht="23.25">
      <c r="A67" s="1"/>
      <c r="B67" s="1"/>
      <c r="C67" s="79"/>
      <c r="D67" s="79" t="s">
        <v>110</v>
      </c>
      <c r="E67" s="79"/>
      <c r="F67" s="147"/>
      <c r="G67" s="79"/>
      <c r="H67" s="79"/>
      <c r="I67" s="118"/>
      <c r="J67" s="118"/>
      <c r="K67" s="118"/>
      <c r="L67" s="118"/>
      <c r="M67" s="4"/>
      <c r="N67" s="4"/>
      <c r="O67" s="1"/>
      <c r="P67" s="5"/>
      <c r="Q67" s="5"/>
      <c r="R67" s="109"/>
      <c r="S67" s="113"/>
      <c r="T67" s="113"/>
      <c r="U67" s="113"/>
      <c r="V67" s="113"/>
      <c r="W67" s="83"/>
      <c r="X67" s="83"/>
      <c r="Y67" s="5"/>
    </row>
    <row r="68" spans="1:25" ht="23.25">
      <c r="A68" s="1"/>
      <c r="B68" s="1"/>
      <c r="C68" s="79"/>
      <c r="D68" s="79" t="s">
        <v>111</v>
      </c>
      <c r="E68" s="79"/>
      <c r="F68" s="147"/>
      <c r="G68" s="79"/>
      <c r="H68" s="79"/>
      <c r="I68" s="118"/>
      <c r="J68" s="118"/>
      <c r="K68" s="118"/>
      <c r="L68" s="118"/>
      <c r="M68" s="4"/>
      <c r="N68" s="4"/>
      <c r="O68" s="1"/>
      <c r="P68" s="5"/>
      <c r="Q68" s="5"/>
      <c r="R68" s="109"/>
      <c r="S68" s="238" t="s">
        <v>112</v>
      </c>
      <c r="T68" s="154" t="s">
        <v>113</v>
      </c>
      <c r="U68" s="155" t="e">
        <f>V45</f>
        <v>#DIV/0!</v>
      </c>
      <c r="V68" s="239" t="s">
        <v>5</v>
      </c>
      <c r="W68" s="83"/>
      <c r="X68" s="83"/>
      <c r="Y68" s="5"/>
    </row>
    <row r="69" spans="1:25" ht="69.75">
      <c r="A69" s="1"/>
      <c r="B69" s="1"/>
      <c r="C69" s="156"/>
      <c r="D69" s="79" t="s">
        <v>114</v>
      </c>
      <c r="E69" s="79"/>
      <c r="F69" s="79"/>
      <c r="G69" s="79"/>
      <c r="H69" s="12"/>
      <c r="I69" s="12"/>
      <c r="J69" s="12"/>
      <c r="K69" s="10"/>
      <c r="L69" s="3"/>
      <c r="M69" s="4"/>
      <c r="N69" s="4"/>
      <c r="O69" s="1"/>
      <c r="P69" s="5"/>
      <c r="Q69" s="5"/>
      <c r="R69" s="109"/>
      <c r="S69" s="238"/>
      <c r="T69" s="157" t="s">
        <v>115</v>
      </c>
      <c r="U69" s="158">
        <v>0</v>
      </c>
      <c r="V69" s="239"/>
      <c r="W69" s="83"/>
      <c r="X69" s="83"/>
      <c r="Y69" s="5"/>
    </row>
    <row r="70" spans="1:25" ht="23.25">
      <c r="A70" s="1"/>
      <c r="B70" s="1"/>
      <c r="C70" s="156"/>
      <c r="D70" s="79" t="s">
        <v>116</v>
      </c>
      <c r="E70" s="79"/>
      <c r="F70" s="79"/>
      <c r="G70" s="79"/>
      <c r="H70" s="12"/>
      <c r="I70" s="12"/>
      <c r="J70" s="12"/>
      <c r="K70" s="10"/>
      <c r="L70" s="3"/>
      <c r="M70" s="4"/>
      <c r="N70" s="4"/>
      <c r="O70" s="1"/>
      <c r="P70" s="5"/>
      <c r="Q70" s="5"/>
      <c r="R70" s="5"/>
      <c r="S70" s="159" t="s">
        <v>117</v>
      </c>
      <c r="T70" s="160"/>
      <c r="U70" s="161" t="e">
        <f>IF(R8="sim",R9*(U68+U69),0)</f>
        <v>#DIV/0!</v>
      </c>
      <c r="V70" s="162"/>
      <c r="W70" s="83"/>
      <c r="X70" s="83"/>
      <c r="Y70" s="5"/>
    </row>
    <row r="71" spans="1:25" ht="23.25">
      <c r="A71" s="1"/>
      <c r="B71" s="1"/>
      <c r="C71" s="156"/>
      <c r="D71" s="163" t="s">
        <v>118</v>
      </c>
      <c r="E71" s="79"/>
      <c r="F71" s="79"/>
      <c r="G71" s="79"/>
      <c r="H71" s="12"/>
      <c r="I71" s="12"/>
      <c r="J71" s="12"/>
      <c r="K71" s="12"/>
      <c r="L71" s="3"/>
      <c r="M71" s="4"/>
      <c r="N71" s="4"/>
      <c r="O71" s="1"/>
      <c r="P71" s="5"/>
      <c r="Q71" s="5"/>
      <c r="R71" s="5"/>
      <c r="S71" s="164" t="s">
        <v>119</v>
      </c>
      <c r="T71" s="165"/>
      <c r="U71" s="166">
        <v>0</v>
      </c>
      <c r="V71" s="162"/>
      <c r="W71" s="83"/>
      <c r="X71" s="83"/>
      <c r="Y71" s="5"/>
    </row>
    <row r="72" spans="1:25" ht="23.25">
      <c r="A72" s="1"/>
      <c r="B72" s="1"/>
      <c r="C72" s="156"/>
      <c r="D72" s="163" t="s">
        <v>120</v>
      </c>
      <c r="E72" s="79"/>
      <c r="F72" s="79"/>
      <c r="G72" s="79"/>
      <c r="H72" s="12"/>
      <c r="I72" s="12"/>
      <c r="J72" s="12"/>
      <c r="K72" s="12"/>
      <c r="L72" s="3"/>
      <c r="M72" s="4"/>
      <c r="N72" s="4"/>
      <c r="O72" s="1"/>
      <c r="P72" s="5"/>
      <c r="Q72" s="5"/>
      <c r="R72" s="109"/>
      <c r="S72" s="167" t="s">
        <v>121</v>
      </c>
      <c r="T72" s="83"/>
      <c r="U72" s="168" t="e">
        <f>U68-U69-U70-U71</f>
        <v>#DIV/0!</v>
      </c>
      <c r="V72" s="162"/>
      <c r="W72" s="83"/>
      <c r="X72" s="83"/>
      <c r="Y72" s="5"/>
    </row>
    <row r="73" spans="1:25" ht="23.25">
      <c r="A73" s="1"/>
      <c r="B73" s="1"/>
      <c r="C73" s="156"/>
      <c r="D73" s="163" t="s">
        <v>122</v>
      </c>
      <c r="E73" s="79"/>
      <c r="F73" s="79"/>
      <c r="G73" s="79"/>
      <c r="H73" s="12"/>
      <c r="I73" s="12"/>
      <c r="J73" s="12"/>
      <c r="K73" s="12"/>
      <c r="L73" s="3"/>
      <c r="M73" s="4"/>
      <c r="N73" s="4"/>
      <c r="O73" s="1"/>
      <c r="P73" s="5"/>
      <c r="Q73" s="5"/>
      <c r="R73" s="109"/>
      <c r="S73" s="169" t="s">
        <v>123</v>
      </c>
      <c r="T73" s="83"/>
      <c r="U73" s="168" t="e">
        <f>T60</f>
        <v>#DIV/0!</v>
      </c>
      <c r="V73" s="170"/>
      <c r="W73" s="83"/>
      <c r="X73" s="83"/>
      <c r="Y73" s="5"/>
    </row>
    <row r="74" spans="1:25" ht="23.25">
      <c r="A74" s="1"/>
      <c r="B74" s="1"/>
      <c r="C74" s="156"/>
      <c r="D74" s="163" t="s">
        <v>124</v>
      </c>
      <c r="E74" s="79"/>
      <c r="F74" s="79"/>
      <c r="G74" s="79"/>
      <c r="H74" s="12"/>
      <c r="I74" s="12"/>
      <c r="J74" s="12"/>
      <c r="K74" s="12"/>
      <c r="L74" s="3"/>
      <c r="M74" s="4"/>
      <c r="N74" s="4"/>
      <c r="O74" s="1"/>
      <c r="P74" s="5"/>
      <c r="Q74" s="5"/>
      <c r="R74" s="109"/>
      <c r="S74" s="171" t="s">
        <v>125</v>
      </c>
      <c r="T74" s="172"/>
      <c r="U74" s="173" t="e">
        <f>U72-U73</f>
        <v>#DIV/0!</v>
      </c>
      <c r="V74" s="174"/>
      <c r="W74" s="83"/>
      <c r="X74" s="83"/>
      <c r="Y74" s="5"/>
    </row>
    <row r="75" spans="1:25" ht="23.25">
      <c r="A75" s="1"/>
      <c r="B75" s="1"/>
      <c r="C75" s="163"/>
      <c r="D75" s="163" t="s">
        <v>126</v>
      </c>
      <c r="E75" s="79"/>
      <c r="F75" s="79"/>
      <c r="G75" s="147"/>
      <c r="H75" s="12"/>
      <c r="I75" s="12"/>
      <c r="J75" s="12"/>
      <c r="K75" s="12"/>
      <c r="L75" s="156"/>
      <c r="M75" s="4"/>
      <c r="N75" s="4"/>
      <c r="O75" s="1"/>
      <c r="P75" s="5"/>
      <c r="Q75" s="5"/>
      <c r="R75" s="109"/>
      <c r="S75" s="164" t="s">
        <v>82</v>
      </c>
      <c r="T75" s="165"/>
      <c r="U75" s="175" t="e">
        <f>ROUND(T65,0)</f>
        <v>#DIV/0!</v>
      </c>
      <c r="V75" s="162"/>
      <c r="W75" s="83"/>
      <c r="X75" s="83"/>
      <c r="Y75" s="5"/>
    </row>
    <row r="76" spans="1:25" ht="23.25">
      <c r="A76" s="1"/>
      <c r="B76" s="1"/>
      <c r="C76" s="12"/>
      <c r="D76" s="163" t="s">
        <v>127</v>
      </c>
      <c r="E76" s="79"/>
      <c r="F76" s="79"/>
      <c r="G76" s="147"/>
      <c r="H76" s="12"/>
      <c r="I76" s="12"/>
      <c r="J76" s="12"/>
      <c r="K76" s="12"/>
      <c r="L76" s="156"/>
      <c r="M76" s="4"/>
      <c r="N76" s="4"/>
      <c r="O76" s="1"/>
      <c r="P76" s="5"/>
      <c r="Q76" s="5"/>
      <c r="R76" s="83"/>
      <c r="S76" s="164" t="s">
        <v>128</v>
      </c>
      <c r="T76" s="165"/>
      <c r="U76" s="166" t="e">
        <f>U74/U75</f>
        <v>#DIV/0!</v>
      </c>
      <c r="V76" s="176"/>
      <c r="W76" s="83"/>
      <c r="X76" s="83"/>
      <c r="Y76" s="5"/>
    </row>
    <row r="77" spans="1:25" ht="23.25">
      <c r="A77" s="1"/>
      <c r="B77" s="1"/>
      <c r="C77" s="12"/>
      <c r="D77" s="163" t="s">
        <v>129</v>
      </c>
      <c r="E77" s="79"/>
      <c r="F77" s="79"/>
      <c r="G77" s="147"/>
      <c r="H77" s="12"/>
      <c r="I77" s="12"/>
      <c r="J77" s="12"/>
      <c r="K77" s="12"/>
      <c r="L77" s="156"/>
      <c r="M77" s="4"/>
      <c r="N77" s="4"/>
      <c r="O77" s="1"/>
      <c r="P77" s="5"/>
      <c r="Q77" s="5"/>
      <c r="R77" s="83"/>
      <c r="S77" s="164" t="s">
        <v>130</v>
      </c>
      <c r="T77" s="165"/>
      <c r="U77" s="177" t="e">
        <f>IF(U76&gt;=[1]IR!$B$4, [1]IR!$C$4, IF(U76&gt;=[1]IR!$B$5, [1]IR!$C$5, IF(U76&gt;=[1]IR!$B$6, [1]IR!$C$6, IF(U76&gt;=[1]IR!$B$7, [1]IR!$C$7, [1]IR!$C$8))))</f>
        <v>#DIV/0!</v>
      </c>
      <c r="V77" s="162"/>
      <c r="W77" s="83"/>
      <c r="X77" s="83"/>
      <c r="Y77" s="5"/>
    </row>
    <row r="78" spans="1:25" ht="23.25">
      <c r="A78" s="1"/>
      <c r="B78" s="1"/>
      <c r="C78" s="1"/>
      <c r="D78" s="163" t="s">
        <v>131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5"/>
      <c r="S78" s="164" t="s">
        <v>132</v>
      </c>
      <c r="T78" s="165"/>
      <c r="U78" s="166" t="e">
        <f>IF(U77=[1]IR!$C$7, U76*U77-[1]IR!$D$7, IF(U77=[1]IR!$C$6, U76*U77-[1]IR!$D$6, IF(U77=[1]IR!$C$5, U76*U77-[1]IR!$D$5, IF(U77=[1]IR!$C$4, U76*U77-[1]IR!$D$4, [1]IR!$D$8))))</f>
        <v>#DIV/0!</v>
      </c>
      <c r="V78" s="162"/>
      <c r="W78" s="83"/>
      <c r="X78" s="83"/>
      <c r="Y78" s="5"/>
    </row>
    <row r="79" spans="1:25" ht="23.25">
      <c r="A79" s="1"/>
      <c r="B79" s="1"/>
      <c r="C79" s="1"/>
      <c r="D79" s="163" t="s">
        <v>133</v>
      </c>
      <c r="E79" s="2"/>
      <c r="F79" s="2"/>
      <c r="G79" s="2"/>
      <c r="H79" s="2"/>
      <c r="I79" s="2"/>
      <c r="J79" s="2"/>
      <c r="K79" s="1"/>
      <c r="L79" s="3"/>
      <c r="M79" s="4"/>
      <c r="N79" s="4"/>
      <c r="O79" s="1"/>
      <c r="P79" s="5"/>
      <c r="Q79" s="48"/>
      <c r="R79" s="5"/>
      <c r="S79" s="178" t="s">
        <v>134</v>
      </c>
      <c r="T79" s="179" t="e">
        <f>"(" &amp; U75 &amp; " meses)"</f>
        <v>#DIV/0!</v>
      </c>
      <c r="U79" s="180" t="e">
        <f>IF(V68="sim",ROUND(U78*U75,2), 0)</f>
        <v>#DIV/0!</v>
      </c>
      <c r="V79" s="162"/>
      <c r="W79" s="83"/>
      <c r="X79" s="83"/>
      <c r="Y79" s="5"/>
    </row>
    <row r="80" spans="1:25" ht="23.25">
      <c r="A80" s="1"/>
      <c r="B80" s="1"/>
      <c r="C80" s="1"/>
      <c r="D80" s="163" t="e">
        <f>CONCATENATE("Faixa ", IF(U79=0, "Isenta", U77*100), ". RRA Total: ", T63,". RRA do pagamento: ", Z107)</f>
        <v>#DIV/0!</v>
      </c>
      <c r="E80" s="2"/>
      <c r="F80" s="2"/>
      <c r="G80" s="2"/>
      <c r="H80" s="2"/>
      <c r="I80" s="2"/>
      <c r="J80" s="2"/>
      <c r="K80" s="1"/>
      <c r="L80" s="3"/>
      <c r="M80" s="4"/>
      <c r="N80" s="4"/>
      <c r="O80" s="1"/>
      <c r="P80" s="5"/>
      <c r="Q80" s="181"/>
      <c r="R80" s="5"/>
      <c r="S80" s="83"/>
      <c r="T80" s="83"/>
      <c r="U80" s="83"/>
      <c r="V80" s="83"/>
      <c r="W80" s="83"/>
      <c r="X80" s="83"/>
      <c r="Y80" s="5"/>
    </row>
    <row r="81" spans="1:25" ht="23.25">
      <c r="A81" s="1"/>
      <c r="B81" s="1"/>
      <c r="C81" s="1"/>
      <c r="D81" s="163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81" s="2"/>
      <c r="F81" s="2"/>
      <c r="G81" s="2"/>
      <c r="H81" s="2"/>
      <c r="I81" s="2"/>
      <c r="J81" s="2"/>
      <c r="K81" s="1"/>
      <c r="L81" s="3"/>
      <c r="M81" s="4"/>
      <c r="N81" s="4"/>
      <c r="O81" s="1"/>
      <c r="P81" s="5"/>
      <c r="Q81" s="5"/>
      <c r="R81" s="5"/>
      <c r="S81" s="83"/>
      <c r="T81" s="83"/>
      <c r="U81" s="83"/>
      <c r="V81" s="83"/>
      <c r="W81" s="83"/>
      <c r="X81" s="83"/>
      <c r="Y81" s="5"/>
    </row>
    <row r="82" spans="1:25" ht="23.25">
      <c r="A82" s="1"/>
      <c r="B82" s="1"/>
      <c r="C82" s="182"/>
      <c r="D82" s="183" t="str">
        <f>IF(R8="Não", "", IF(R11="cpf", "Alíquota: " &amp; IF(F50&gt;=[1]IR!$B$4, [1]IR!$C$4*100 &amp;"%", IF(F50&gt;=[1]IR!$B$5, [1]IR!$C$5*100 &amp;"%", IF(F50&gt;=[1]IR!$B$6, [1]IR!$C$6*100 &amp;"%", IF(F50&gt;=[1]IR!$B$7, [1]IR!$C$7*100, "Isento")))), IF(R11="cnpj", "Alíquota: " &amp; [1]IR!$C$10*100 &amp;"%", "Escolha Inválida")))</f>
        <v>Alíquota: 1,5%</v>
      </c>
      <c r="E82" s="4"/>
      <c r="F82" s="4"/>
      <c r="G82" s="4"/>
      <c r="H82" s="4"/>
      <c r="I82" s="4"/>
      <c r="J82" s="4"/>
      <c r="K82" s="4"/>
      <c r="L82" s="4"/>
      <c r="M82" s="4"/>
      <c r="N82" s="4"/>
      <c r="O82" s="1"/>
      <c r="P82" s="5"/>
      <c r="Q82" s="5"/>
      <c r="R82" s="240" t="s">
        <v>135</v>
      </c>
      <c r="S82" s="241"/>
      <c r="T82" s="241"/>
      <c r="U82" s="241"/>
      <c r="V82" s="242"/>
      <c r="W82" s="83"/>
      <c r="X82" s="83"/>
      <c r="Y82" s="5"/>
    </row>
    <row r="83" spans="1:25" ht="23.25">
      <c r="A83" s="1"/>
      <c r="B83" s="1"/>
      <c r="C83" s="2"/>
      <c r="D83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83" s="2"/>
      <c r="F83" s="2"/>
      <c r="G83" s="2"/>
      <c r="H83" s="2"/>
      <c r="I83" s="2"/>
      <c r="J83" s="2"/>
      <c r="K83" s="2"/>
      <c r="L83" s="2"/>
      <c r="M83" s="4"/>
      <c r="N83" s="4"/>
      <c r="O83" s="1"/>
      <c r="P83" s="5"/>
      <c r="Q83" s="5"/>
      <c r="R83" s="184">
        <f t="shared" ref="R83:U85" si="2">ROUND(F49,2)</f>
        <v>0</v>
      </c>
      <c r="S83" s="185" t="e">
        <f t="shared" si="2"/>
        <v>#DIV/0!</v>
      </c>
      <c r="T83" s="185" t="e">
        <f t="shared" si="2"/>
        <v>#DIV/0!</v>
      </c>
      <c r="U83" s="185" t="e">
        <f t="shared" si="2"/>
        <v>#DIV/0!</v>
      </c>
      <c r="V83" s="186" t="e">
        <f>F49-S83-T83-U83</f>
        <v>#DIV/0!</v>
      </c>
      <c r="W83" s="5"/>
      <c r="X83" s="83"/>
      <c r="Y83" s="5"/>
    </row>
    <row r="84" spans="1:25" ht="23.25">
      <c r="A84" s="1"/>
      <c r="B84" s="1"/>
      <c r="C84" s="2"/>
      <c r="D84" s="187" t="str">
        <f>IF(V8="Não", "", IF(V11="cpf", "Alíquota: " &amp; IF(F51&gt;=[1]IR!$B$4, [1]IR!$C$4*100 &amp;"%", IF(F51&gt;=[1]IR!$B$5, [1]IR!$C$5*100 &amp;"%", IF(F51&gt;=[1]IR!$B$6, [1]IR!$C$6*100 &amp;"%", IF(F51&gt;=[1]IR!$B$7, [1]IR!$C$7*100 &amp;"%", "Isento")))), IF(V11="cnpj", "Alíquota: " &amp; [1]IR!$C$10*100 &amp;"%", "Escolha Inválida")))</f>
        <v>Alíquota: Isento</v>
      </c>
      <c r="E84" s="2"/>
      <c r="F84" s="2"/>
      <c r="G84" s="2"/>
      <c r="H84" s="2"/>
      <c r="I84" s="2"/>
      <c r="J84" s="2"/>
      <c r="K84" s="2"/>
      <c r="L84" s="2"/>
      <c r="M84" s="4"/>
      <c r="N84" s="4"/>
      <c r="O84" s="1"/>
      <c r="P84" s="5"/>
      <c r="Q84" s="5"/>
      <c r="R84" s="184">
        <f t="shared" si="2"/>
        <v>0</v>
      </c>
      <c r="S84" s="185">
        <f t="shared" si="2"/>
        <v>0</v>
      </c>
      <c r="T84" s="185">
        <f t="shared" si="2"/>
        <v>0</v>
      </c>
      <c r="U84" s="185">
        <f t="shared" si="2"/>
        <v>0</v>
      </c>
      <c r="V84" s="186">
        <f>F50-S84-T84-U84</f>
        <v>0</v>
      </c>
      <c r="W84" s="5"/>
      <c r="X84" s="83"/>
      <c r="Y84" s="5"/>
    </row>
    <row r="85" spans="1:25" ht="23.25">
      <c r="A85" s="1"/>
      <c r="B85" s="1"/>
      <c r="C85" s="2"/>
      <c r="D85" s="188" t="str">
        <f>IF(R26-T50=0,"9-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85" s="2"/>
      <c r="F85" s="2"/>
      <c r="G85" s="2"/>
      <c r="H85" s="2"/>
      <c r="I85" s="2"/>
      <c r="J85" s="2"/>
      <c r="K85" s="2"/>
      <c r="L85" s="2"/>
      <c r="M85" s="4"/>
      <c r="N85" s="4"/>
      <c r="O85" s="1"/>
      <c r="P85" s="5"/>
      <c r="Q85" s="5"/>
      <c r="R85" s="184">
        <f t="shared" si="2"/>
        <v>0</v>
      </c>
      <c r="S85" s="185">
        <f t="shared" si="2"/>
        <v>0</v>
      </c>
      <c r="T85" s="185">
        <f t="shared" si="2"/>
        <v>0</v>
      </c>
      <c r="U85" s="185">
        <f t="shared" si="2"/>
        <v>0</v>
      </c>
      <c r="V85" s="186">
        <f>F51-S85-T85-U85</f>
        <v>0</v>
      </c>
      <c r="W85" s="5"/>
      <c r="X85" s="5"/>
      <c r="Y85" s="5"/>
    </row>
    <row r="86" spans="1:25" ht="23.25">
      <c r="A86" s="1"/>
      <c r="B86" s="1"/>
      <c r="C86" s="4"/>
      <c r="D86" s="4"/>
      <c r="E86" s="4"/>
      <c r="F86" s="4"/>
      <c r="G86" s="4"/>
      <c r="H86" s="4"/>
      <c r="I86" s="4"/>
      <c r="J86" s="4"/>
      <c r="K86" s="4"/>
      <c r="L86" s="4"/>
      <c r="M86" s="189"/>
      <c r="N86" s="4"/>
      <c r="O86" s="1"/>
      <c r="P86" s="5"/>
      <c r="Q86" s="5"/>
      <c r="R86" s="184">
        <f>SUM(R83:R85)</f>
        <v>0</v>
      </c>
      <c r="S86" s="185" t="e">
        <f t="shared" ref="S86:T86" si="3">SUM(S83:S85)</f>
        <v>#DIV/0!</v>
      </c>
      <c r="T86" s="185" t="e">
        <f t="shared" si="3"/>
        <v>#DIV/0!</v>
      </c>
      <c r="U86" s="185" t="e">
        <f>SUM(U83:U85)</f>
        <v>#DIV/0!</v>
      </c>
      <c r="V86" s="186" t="e">
        <f>F52-S86-T86-U86</f>
        <v>#DIV/0!</v>
      </c>
      <c r="W86" s="5"/>
      <c r="X86" s="5"/>
      <c r="Y86" s="5"/>
    </row>
    <row r="87" spans="1:25" ht="23.25">
      <c r="A87" s="1"/>
      <c r="B87" s="1"/>
      <c r="C87" s="12"/>
      <c r="D87" s="2"/>
      <c r="E87" s="2"/>
      <c r="F87" s="2"/>
      <c r="G87" s="2"/>
      <c r="H87" s="2"/>
      <c r="I87" s="2"/>
      <c r="J87" s="2"/>
      <c r="K87" s="2"/>
      <c r="L87" s="2"/>
      <c r="M87" s="2"/>
      <c r="N87" s="4"/>
      <c r="O87" s="1"/>
      <c r="P87" s="5"/>
      <c r="Q87" s="5"/>
      <c r="R87" s="190">
        <f>R86-F52</f>
        <v>0</v>
      </c>
      <c r="S87" s="191" t="e">
        <f>S86-G52</f>
        <v>#DIV/0!</v>
      </c>
      <c r="T87" s="191" t="e">
        <f>T86-H52</f>
        <v>#DIV/0!</v>
      </c>
      <c r="U87" s="191" t="e">
        <f>U86-I52</f>
        <v>#DIV/0!</v>
      </c>
      <c r="V87" s="192"/>
      <c r="W87" s="5"/>
      <c r="X87" s="5"/>
      <c r="Y87" s="5"/>
    </row>
    <row r="88" spans="1:25" ht="23.25">
      <c r="A88" s="1"/>
      <c r="B88" s="1"/>
      <c r="C88" s="12"/>
      <c r="D88" s="2"/>
      <c r="E88" s="2"/>
      <c r="F88" s="2"/>
      <c r="G88" s="2"/>
      <c r="H88" s="2"/>
      <c r="I88" s="2"/>
      <c r="J88" s="2"/>
      <c r="K88" s="2"/>
      <c r="L88" s="2"/>
      <c r="M88" s="2"/>
      <c r="N88" s="4"/>
      <c r="O88" s="1"/>
      <c r="P88" s="5"/>
      <c r="Q88" s="5"/>
      <c r="R88" s="5"/>
      <c r="S88" s="5"/>
      <c r="T88" s="5"/>
      <c r="U88" s="5"/>
      <c r="V88" s="5"/>
      <c r="W88" s="5"/>
      <c r="X88" s="5"/>
      <c r="Y88" s="5"/>
    </row>
    <row r="89" spans="1:25" ht="23.25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3.25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193"/>
      <c r="R90" s="5"/>
      <c r="S90" s="5"/>
      <c r="T90" s="5"/>
      <c r="U90" s="5"/>
      <c r="V90" s="5"/>
      <c r="W90" s="5"/>
      <c r="X90" s="5"/>
      <c r="Y90" s="5"/>
    </row>
    <row r="91" spans="1:25" ht="99" customHeight="1">
      <c r="A91" s="1"/>
      <c r="B91" s="1"/>
      <c r="C91" s="3"/>
      <c r="D91" s="237" t="str">
        <f ca="1">"Teresina, " &amp; TEXT(TODAY(), "dd") &amp; " de " &amp; TEXT(TODAY(), "mmmm") &amp; " de " &amp; TEXT(TODAY(), "aaaa")</f>
        <v>Teresina, 22 de fevereiro de 2025</v>
      </c>
      <c r="E91" s="237"/>
      <c r="F91" s="237"/>
      <c r="G91" s="237"/>
      <c r="H91" s="237"/>
      <c r="I91" s="237"/>
      <c r="J91" s="237"/>
      <c r="K91" s="237"/>
      <c r="L91" s="237"/>
      <c r="M91" s="237"/>
      <c r="N91" s="3"/>
      <c r="O91" s="1"/>
      <c r="P91" s="5"/>
      <c r="Q91" s="193"/>
      <c r="R91" s="5"/>
      <c r="S91" s="5"/>
      <c r="T91" s="5"/>
      <c r="U91" s="5"/>
      <c r="V91" s="5"/>
      <c r="W91" s="5"/>
      <c r="X91" s="5"/>
      <c r="Y91" s="5"/>
    </row>
    <row r="92" spans="1:25" ht="23.25">
      <c r="A92" s="1"/>
      <c r="B92" s="1"/>
      <c r="C92" s="3"/>
      <c r="D92" s="237" t="str">
        <f>[1]MENU!$AD$24</f>
        <v>Gabriel de Jesus Silva</v>
      </c>
      <c r="E92" s="237"/>
      <c r="F92" s="237"/>
      <c r="G92" s="237"/>
      <c r="H92" s="237"/>
      <c r="I92" s="237"/>
      <c r="J92" s="237"/>
      <c r="K92" s="237"/>
      <c r="L92" s="237"/>
      <c r="M92" s="237"/>
      <c r="N92" s="3"/>
      <c r="O92" s="1"/>
      <c r="P92" s="5"/>
      <c r="Q92" s="194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237" t="str">
        <f>[1]MENU!$AD$25</f>
        <v>Servidor TJ/PI - Coordenadoria de Precatórios</v>
      </c>
      <c r="E93" s="237"/>
      <c r="F93" s="237"/>
      <c r="G93" s="237"/>
      <c r="H93" s="237"/>
      <c r="I93" s="237"/>
      <c r="J93" s="237"/>
      <c r="K93" s="237"/>
      <c r="L93" s="237"/>
      <c r="M93" s="237"/>
      <c r="N93" s="3"/>
      <c r="O93" s="1"/>
      <c r="P93" s="5"/>
      <c r="Q93" s="195"/>
      <c r="R93" s="5"/>
      <c r="S93" s="5"/>
      <c r="T93" s="5"/>
      <c r="U93" s="5"/>
      <c r="V93" s="5"/>
      <c r="W93" s="5"/>
      <c r="X93" s="5"/>
      <c r="Y93" s="5"/>
    </row>
    <row r="94" spans="1:25" ht="28.5" customHeight="1">
      <c r="A94" s="1"/>
      <c r="B94" s="1"/>
      <c r="C94" s="3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6.25" customHeight="1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7" customHeight="1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6" ht="21" customHeight="1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5"/>
      <c r="W99" s="162"/>
      <c r="X99" s="162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5"/>
      <c r="T100" s="5"/>
      <c r="U100" s="5"/>
      <c r="V100" s="174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174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16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16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4"/>
      <c r="K104" s="3"/>
      <c r="L104" s="3"/>
      <c r="M104" s="3"/>
      <c r="N104" s="3"/>
      <c r="O104" s="1"/>
      <c r="P104" s="5"/>
      <c r="Q104" s="5"/>
      <c r="R104" s="162"/>
      <c r="S104" s="162"/>
      <c r="T104" s="162"/>
      <c r="U104" s="162"/>
      <c r="V104" s="174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2"/>
      <c r="S105" s="162"/>
      <c r="T105" s="162"/>
      <c r="U105" s="162"/>
      <c r="V105" s="165"/>
      <c r="W105" s="5"/>
      <c r="X105" s="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6" t="e">
        <f>ROUND(T65,0)</f>
        <v>#DIV/0!</v>
      </c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2"/>
      <c r="S109" s="162"/>
      <c r="T109" s="162"/>
      <c r="U109" s="162"/>
      <c r="V109" s="162"/>
      <c r="W109" s="162"/>
      <c r="X109" s="162"/>
      <c r="Y109" s="5"/>
    </row>
    <row r="110" spans="1:26" ht="18.95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2"/>
      <c r="S110" s="162"/>
      <c r="T110" s="162"/>
      <c r="U110" s="162"/>
      <c r="V110" s="162"/>
      <c r="W110" s="162"/>
      <c r="X110" s="162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162"/>
      <c r="S111" s="162"/>
      <c r="T111" s="162"/>
      <c r="U111" s="162"/>
      <c r="V111" s="162"/>
      <c r="W111" s="162"/>
      <c r="X111" s="162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162"/>
      <c r="S112" s="162"/>
      <c r="T112" s="162"/>
      <c r="U112" s="162"/>
      <c r="V112" s="162"/>
      <c r="W112" s="162"/>
      <c r="X112" s="162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162"/>
      <c r="S113" s="162"/>
      <c r="T113" s="162"/>
      <c r="U113" s="162"/>
      <c r="V113" s="162"/>
      <c r="W113" s="162"/>
      <c r="X113" s="162"/>
      <c r="Y113" s="5"/>
    </row>
    <row r="114" spans="1:25" ht="36.950000000000003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162"/>
      <c r="S114" s="162"/>
      <c r="T114" s="162"/>
      <c r="U114" s="162"/>
      <c r="V114" s="162"/>
      <c r="W114" s="162"/>
      <c r="X114" s="162"/>
      <c r="Y114" s="5"/>
    </row>
    <row r="115" spans="1:25" ht="33.4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83"/>
      <c r="X115" s="83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45" customHeight="1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33.6" customHeight="1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23.25">
      <c r="A121" s="1"/>
      <c r="B121" s="1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23.25">
      <c r="A122" s="1"/>
      <c r="B122" s="1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23.25">
      <c r="A123" s="1"/>
      <c r="B123" s="1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4"/>
      <c r="D124" s="4"/>
      <c r="E124" s="4"/>
      <c r="F124" s="4"/>
      <c r="G124" s="4"/>
      <c r="H124" s="4"/>
      <c r="I124" s="4"/>
      <c r="K124" s="4"/>
      <c r="L124" s="4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96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97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98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0"/>
      <c r="D138" s="14"/>
      <c r="E138" s="14"/>
      <c r="F138" s="14"/>
      <c r="G138" s="14"/>
      <c r="H138" s="14"/>
      <c r="I138" s="14"/>
      <c r="J138" s="14"/>
      <c r="K138" s="10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0"/>
      <c r="D139" s="14"/>
      <c r="E139" s="14"/>
      <c r="F139" s="14"/>
      <c r="G139" s="14"/>
      <c r="H139" s="14"/>
      <c r="I139" s="14"/>
      <c r="J139" s="14"/>
      <c r="K139" s="10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A140" s="1"/>
      <c r="B140" s="1"/>
      <c r="C140" s="10"/>
      <c r="D140" s="14"/>
      <c r="E140" s="14"/>
      <c r="F140" s="14"/>
      <c r="G140" s="14"/>
      <c r="H140" s="14"/>
      <c r="I140" s="14"/>
      <c r="J140" s="14"/>
      <c r="K140" s="10"/>
      <c r="L140" s="3"/>
      <c r="M140" s="4"/>
      <c r="N140" s="4"/>
      <c r="O140" s="1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6" customHeight="1">
      <c r="A141" s="1"/>
      <c r="B141" s="1"/>
      <c r="C141" s="10"/>
      <c r="D141" s="14"/>
      <c r="E141" s="14"/>
      <c r="F141" s="14"/>
      <c r="G141" s="14"/>
      <c r="H141" s="14"/>
      <c r="I141" s="14"/>
      <c r="J141" s="14"/>
      <c r="K141" s="10"/>
      <c r="L141" s="3"/>
      <c r="M141" s="4"/>
      <c r="N141" s="4"/>
      <c r="O141" s="1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6" customHeight="1">
      <c r="A142" s="1"/>
      <c r="B142" s="1"/>
      <c r="C142" s="10"/>
      <c r="D142" s="14"/>
      <c r="E142" s="14"/>
      <c r="F142" s="14"/>
      <c r="G142" s="14"/>
      <c r="H142" s="14"/>
      <c r="I142" s="14"/>
      <c r="J142" s="14"/>
      <c r="K142" s="10"/>
      <c r="L142" s="3"/>
      <c r="M142" s="4"/>
      <c r="N142" s="4"/>
      <c r="O142" s="1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6" customHeight="1">
      <c r="C143" s="199"/>
      <c r="D143" s="26"/>
      <c r="E143" s="26"/>
      <c r="F143" s="26"/>
      <c r="G143" s="26"/>
      <c r="H143" s="26"/>
      <c r="I143" s="26"/>
      <c r="J143" s="26"/>
      <c r="K143" s="199"/>
    </row>
    <row r="144" spans="1:25" ht="15.6" customHeight="1">
      <c r="C144" s="199"/>
      <c r="D144" s="26"/>
      <c r="E144" s="26"/>
      <c r="F144" s="26"/>
      <c r="G144" s="26"/>
      <c r="H144" s="26"/>
      <c r="I144" s="26"/>
      <c r="J144" s="26"/>
      <c r="K144" s="199"/>
    </row>
    <row r="145" spans="3:11" ht="15.6" customHeight="1">
      <c r="C145" s="199"/>
      <c r="D145" s="26"/>
      <c r="E145" s="26"/>
      <c r="F145" s="26"/>
      <c r="G145" s="26"/>
      <c r="H145" s="26"/>
      <c r="I145" s="26"/>
      <c r="J145" s="26"/>
      <c r="K145" s="199"/>
    </row>
    <row r="146" spans="3:11" ht="15.6" customHeight="1">
      <c r="C146" s="199"/>
      <c r="D146" s="26"/>
      <c r="E146" s="26"/>
      <c r="F146" s="26"/>
      <c r="G146" s="26"/>
      <c r="H146" s="26"/>
      <c r="I146" s="26"/>
      <c r="J146" s="26"/>
      <c r="K146" s="199"/>
    </row>
    <row r="147" spans="3:11" ht="15.6" customHeight="1">
      <c r="C147" s="199"/>
      <c r="D147" s="26"/>
      <c r="E147" s="26"/>
      <c r="F147" s="26"/>
      <c r="G147" s="26"/>
      <c r="H147" s="26"/>
      <c r="I147" s="26"/>
      <c r="J147" s="26"/>
      <c r="K147" s="199"/>
    </row>
    <row r="148" spans="3:11" ht="15.6" customHeight="1">
      <c r="C148" s="199"/>
      <c r="D148" s="26"/>
      <c r="E148" s="26"/>
      <c r="F148" s="26"/>
      <c r="G148" s="26"/>
      <c r="H148" s="26"/>
      <c r="I148" s="26"/>
      <c r="J148" s="26"/>
      <c r="K148" s="199"/>
    </row>
    <row r="149" spans="3:11" ht="15.6" customHeight="1">
      <c r="C149" s="199"/>
      <c r="D149" s="26"/>
      <c r="E149" s="26"/>
      <c r="F149" s="26"/>
      <c r="G149" s="26"/>
      <c r="H149" s="26"/>
      <c r="I149" s="26"/>
      <c r="J149" s="26"/>
      <c r="K149" s="199"/>
    </row>
    <row r="150" spans="3:11" ht="15.6" customHeight="1">
      <c r="C150" s="199"/>
      <c r="D150" s="26"/>
      <c r="E150" s="26"/>
      <c r="F150" s="26"/>
      <c r="G150" s="26"/>
      <c r="H150" s="26"/>
      <c r="I150" s="26"/>
      <c r="J150" s="26"/>
      <c r="K150" s="199"/>
    </row>
    <row r="151" spans="3:11" ht="15.6" customHeight="1">
      <c r="C151" s="199"/>
      <c r="D151" s="26"/>
      <c r="E151" s="26"/>
      <c r="F151" s="26"/>
      <c r="G151" s="26"/>
      <c r="H151" s="26"/>
      <c r="I151" s="26"/>
      <c r="J151" s="26"/>
      <c r="K151" s="199"/>
    </row>
    <row r="152" spans="3:11" ht="15.6" customHeight="1">
      <c r="C152" s="199"/>
      <c r="D152" s="26"/>
      <c r="E152" s="26"/>
      <c r="F152" s="26"/>
      <c r="G152" s="26"/>
      <c r="H152" s="26"/>
      <c r="I152" s="26"/>
      <c r="J152" s="26"/>
      <c r="K152" s="199"/>
    </row>
    <row r="153" spans="3:11" ht="15.6" customHeight="1">
      <c r="C153" s="199"/>
      <c r="D153" s="26"/>
      <c r="E153" s="26"/>
      <c r="F153" s="26"/>
      <c r="G153" s="26"/>
      <c r="H153" s="26"/>
      <c r="I153" s="26"/>
      <c r="J153" s="26"/>
      <c r="K153" s="199"/>
    </row>
    <row r="154" spans="3:11" ht="15.6" customHeight="1">
      <c r="C154" s="199"/>
      <c r="D154" s="26"/>
      <c r="E154" s="26"/>
      <c r="F154" s="26"/>
      <c r="G154" s="26"/>
      <c r="H154" s="26"/>
      <c r="I154" s="26"/>
      <c r="J154" s="26"/>
      <c r="K154" s="199"/>
    </row>
    <row r="155" spans="3:11" ht="15.6" customHeight="1">
      <c r="C155" s="199"/>
      <c r="D155" s="26"/>
      <c r="E155" s="26"/>
      <c r="F155" s="26"/>
      <c r="G155" s="26"/>
      <c r="H155" s="26"/>
      <c r="I155" s="26"/>
      <c r="J155" s="26"/>
      <c r="K155" s="199"/>
    </row>
    <row r="156" spans="3:11" ht="15.6" customHeight="1">
      <c r="C156" s="199"/>
      <c r="D156" s="26"/>
      <c r="E156" s="26"/>
      <c r="F156" s="26"/>
      <c r="G156" s="26"/>
      <c r="H156" s="26"/>
      <c r="I156" s="26"/>
      <c r="J156" s="26"/>
      <c r="K156" s="199"/>
    </row>
    <row r="157" spans="3:11" ht="15.6" customHeight="1">
      <c r="C157" s="199"/>
      <c r="D157" s="26"/>
      <c r="E157" s="26"/>
      <c r="F157" s="26"/>
      <c r="G157" s="26"/>
      <c r="H157" s="26"/>
      <c r="I157" s="26"/>
      <c r="J157" s="26"/>
      <c r="K157" s="199"/>
    </row>
    <row r="158" spans="3:11" ht="15.6" customHeight="1">
      <c r="C158" s="199"/>
      <c r="D158" s="26"/>
      <c r="E158" s="26"/>
      <c r="F158" s="26"/>
      <c r="G158" s="26"/>
      <c r="H158" s="26"/>
      <c r="I158" s="26"/>
      <c r="J158" s="26"/>
      <c r="K158" s="199"/>
    </row>
    <row r="159" spans="3:11" ht="15.6" customHeight="1">
      <c r="C159" s="199"/>
      <c r="D159" s="26"/>
      <c r="E159" s="26"/>
      <c r="F159" s="26"/>
      <c r="G159" s="26"/>
      <c r="H159" s="26"/>
      <c r="I159" s="26"/>
      <c r="J159" s="26"/>
      <c r="K159" s="199"/>
    </row>
    <row r="160" spans="3:11" ht="15.6" customHeight="1">
      <c r="C160" s="199"/>
      <c r="D160" s="26"/>
      <c r="E160" s="26"/>
      <c r="F160" s="26"/>
      <c r="G160" s="26"/>
      <c r="H160" s="26"/>
      <c r="I160" s="26"/>
      <c r="J160" s="26"/>
      <c r="K160" s="199"/>
    </row>
    <row r="161" spans="3:11" ht="15.6" customHeight="1">
      <c r="C161" s="199"/>
      <c r="D161" s="26"/>
      <c r="E161" s="26"/>
      <c r="F161" s="26"/>
      <c r="G161" s="26"/>
      <c r="H161" s="26"/>
      <c r="I161" s="26"/>
      <c r="J161" s="26"/>
      <c r="K161" s="199"/>
    </row>
    <row r="162" spans="3:11" ht="15.6" customHeight="1">
      <c r="C162" s="199"/>
      <c r="D162" s="26"/>
      <c r="E162" s="26"/>
      <c r="F162" s="26"/>
      <c r="G162" s="26"/>
      <c r="H162" s="26"/>
      <c r="I162" s="26"/>
      <c r="J162" s="26"/>
      <c r="K162" s="199"/>
    </row>
    <row r="163" spans="3:11" ht="15.6" customHeight="1">
      <c r="C163" s="199"/>
      <c r="D163" s="26"/>
      <c r="E163" s="26"/>
      <c r="F163" s="26"/>
      <c r="G163" s="26"/>
      <c r="H163" s="26"/>
      <c r="I163" s="26"/>
      <c r="J163" s="26"/>
      <c r="K163" s="199"/>
    </row>
  </sheetData>
  <mergeCells count="47">
    <mergeCell ref="D94:M94"/>
    <mergeCell ref="S68:S69"/>
    <mergeCell ref="V68:V69"/>
    <mergeCell ref="R82:V82"/>
    <mergeCell ref="D91:M91"/>
    <mergeCell ref="D92:M92"/>
    <mergeCell ref="D93:M93"/>
    <mergeCell ref="S62:T62"/>
    <mergeCell ref="D41:E41"/>
    <mergeCell ref="D42:E42"/>
    <mergeCell ref="U44:W44"/>
    <mergeCell ref="D47:J47"/>
    <mergeCell ref="D48:E48"/>
    <mergeCell ref="D49:E49"/>
    <mergeCell ref="S49:T49"/>
    <mergeCell ref="D50:E50"/>
    <mergeCell ref="D51:E51"/>
    <mergeCell ref="D52:E52"/>
    <mergeCell ref="W57:X57"/>
    <mergeCell ref="D58:E58"/>
    <mergeCell ref="D40:E40"/>
    <mergeCell ref="R24:W24"/>
    <mergeCell ref="L25:M25"/>
    <mergeCell ref="R25:S25"/>
    <mergeCell ref="T25:U25"/>
    <mergeCell ref="V25:W25"/>
    <mergeCell ref="S29:S30"/>
    <mergeCell ref="J30:L30"/>
    <mergeCell ref="L32:M32"/>
    <mergeCell ref="J34:L34"/>
    <mergeCell ref="K36:M36"/>
    <mergeCell ref="C38:M38"/>
    <mergeCell ref="D39:E39"/>
    <mergeCell ref="C4:L4"/>
    <mergeCell ref="C5:L5"/>
    <mergeCell ref="R8:S8"/>
    <mergeCell ref="R10:S10"/>
    <mergeCell ref="V10:W10"/>
    <mergeCell ref="V8:W8"/>
    <mergeCell ref="AJ8:AK8"/>
    <mergeCell ref="R9:S9"/>
    <mergeCell ref="V9:W9"/>
    <mergeCell ref="K18:K20"/>
    <mergeCell ref="N18:N20"/>
    <mergeCell ref="R11:S11"/>
    <mergeCell ref="V11:W11"/>
    <mergeCell ref="C13:N13"/>
  </mergeCells>
  <conditionalFormatting sqref="D50:J50">
    <cfRule type="expression" dxfId="7" priority="5">
      <formula>$R$8="Não"</formula>
    </cfRule>
    <cfRule type="expression" dxfId="6" priority="6">
      <formula>$R$8="Não"</formula>
    </cfRule>
  </conditionalFormatting>
  <conditionalFormatting sqref="D51:J51">
    <cfRule type="expression" dxfId="5" priority="1">
      <formula>$V$8="Não"</formula>
    </cfRule>
    <cfRule type="expression" dxfId="4" priority="2">
      <formula>$V$8="Não"</formula>
    </cfRule>
  </conditionalFormatting>
  <conditionalFormatting sqref="J30:N32">
    <cfRule type="expression" dxfId="3" priority="3">
      <formula>$V$8="Não"</formula>
    </cfRule>
  </conditionalFormatting>
  <conditionalFormatting sqref="J34:N36">
    <cfRule type="expression" dxfId="2" priority="4">
      <formula>$R$8="Não"</formula>
    </cfRule>
  </conditionalFormatting>
  <conditionalFormatting sqref="K36:N36">
    <cfRule type="expression" dxfId="1" priority="7">
      <formula>$R$7="Sim"</formula>
    </cfRule>
    <cfRule type="expression" dxfId="0" priority="8">
      <formula>$V$8="Sim"</formula>
    </cfRule>
  </conditionalFormatting>
  <dataValidations count="3">
    <dataValidation type="list" allowBlank="1" showInputMessage="1" showErrorMessage="1" sqref="T57 V68" xr:uid="{5113AC97-0E12-4817-906E-750CF8D76BC6}">
      <formula1>"Sim,Não"</formula1>
    </dataValidation>
    <dataValidation type="list" allowBlank="1" showInputMessage="1" showErrorMessage="1" sqref="R11:S12 V11:W12" xr:uid="{A91B7B53-3ABB-40A1-B796-A88AD0958AD7}">
      <formula1>"CNPJ,CPF,NÃO"</formula1>
    </dataValidation>
    <dataValidation type="list" allowBlank="1" showInputMessage="1" showErrorMessage="1" sqref="V8 R6 R8" xr:uid="{6138A318-CE45-4383-9BFB-541C0EEB7C83}">
      <formula1>"Sim,Não,"</formula1>
    </dataValidation>
  </dataValidations>
  <pageMargins left="0.7" right="0.7" top="0.75" bottom="0.75" header="0.3" footer="0.3"/>
  <pageSetup paperSize="9" scale="20" orientation="portrait" r:id="rId1"/>
  <colBreaks count="1" manualBreakCount="1">
    <brk id="14" max="103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1085850</xdr:colOff>
                    <xdr:row>1</xdr:row>
                    <xdr:rowOff>85725</xdr:rowOff>
                  </from>
                  <to>
                    <xdr:col>18</xdr:col>
                    <xdr:colOff>781050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1000125</xdr:colOff>
                    <xdr:row>48</xdr:row>
                    <xdr:rowOff>333375</xdr:rowOff>
                  </from>
                  <to>
                    <xdr:col>16</xdr:col>
                    <xdr:colOff>2705100</xdr:colOff>
                    <xdr:row>49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PREFERENCIA 2024</vt:lpstr>
      <vt:lpstr>aliquotaprevidencia</vt:lpstr>
      <vt:lpstr>'PREFERENCIA 2024'!Area_de_impressao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2025-02-22T10:11:16Z</dcterms:modified>
</cp:coreProperties>
</file>