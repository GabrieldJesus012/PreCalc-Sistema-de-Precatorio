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A9574C8C-8E79-4547-8CF0-236B2698ED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M 2022" sheetId="1" r:id="rId1"/>
  </sheets>
  <functionGroups builtInGroupCount="19"/>
  <externalReferences>
    <externalReference r:id="rId2"/>
  </externalReferences>
  <definedNames>
    <definedName name="aliquotaprevidencia">'ORDEM 2022'!$U$55</definedName>
    <definedName name="_xlnm.Print_Area" localSheetId="0">'ORDEM 2022'!$C$1:$N$87</definedName>
    <definedName name="NomeContador">'ORDEM 2022'!$D$81</definedName>
    <definedName name="rratotal">'ORDEM 2022'!$T$61</definedName>
    <definedName name="selicpercentual">'ORDEM 2022'!$K$18</definedName>
    <definedName name="selicvalor">'ORDEM 2022'!$L$18</definedName>
    <definedName name="valorbruto">'ORDEM 2022'!$F$48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3" i="1" l="1"/>
  <c r="D82" i="1"/>
  <c r="D81" i="1"/>
  <c r="E16" i="1"/>
  <c r="R18" i="1" s="1"/>
  <c r="E15" i="1"/>
  <c r="E14" i="1"/>
  <c r="E11" i="1"/>
  <c r="E10" i="1"/>
  <c r="D45" i="1" s="1"/>
  <c r="E9" i="1"/>
  <c r="E8" i="1"/>
  <c r="H16" i="1" s="1" a="1"/>
  <c r="H16" i="1" s="1"/>
  <c r="E7" i="1"/>
  <c r="S82" i="1"/>
  <c r="S81" i="1"/>
  <c r="D80" i="1"/>
  <c r="D74" i="1"/>
  <c r="D72" i="1"/>
  <c r="S57" i="1"/>
  <c r="D47" i="1"/>
  <c r="D46" i="1"/>
  <c r="F40" i="1"/>
  <c r="I39" i="1"/>
  <c r="I38" i="1"/>
  <c r="I40" i="1" s="1"/>
  <c r="I37" i="1"/>
  <c r="H37" i="1"/>
  <c r="J31" i="1"/>
  <c r="J27" i="1"/>
  <c r="W24" i="1"/>
  <c r="U24" i="1"/>
  <c r="R22" i="1"/>
  <c r="J21" i="1"/>
  <c r="J20" i="1"/>
  <c r="T17" i="1"/>
  <c r="R17" i="1"/>
  <c r="AD13" i="1"/>
  <c r="AE12" i="1"/>
  <c r="AD12" i="1"/>
  <c r="J9" i="1" l="1"/>
  <c r="R19" i="1"/>
  <c r="E17" i="1"/>
  <c r="R20" i="1" l="1"/>
  <c r="K18" i="1" l="1"/>
  <c r="K16" i="1" l="1"/>
  <c r="K15" i="1"/>
  <c r="F16" i="1" l="1"/>
  <c r="G16" i="1" s="1"/>
  <c r="F15" i="1"/>
  <c r="G15" i="1" s="1"/>
  <c r="J15" i="1" l="1"/>
  <c r="G17" i="1"/>
  <c r="S17" i="1"/>
  <c r="I16" i="1"/>
  <c r="S18" i="1"/>
  <c r="J16" i="1"/>
  <c r="U18" i="1" l="1"/>
  <c r="L16" i="1"/>
  <c r="T18" i="1"/>
  <c r="T19" i="1" s="1"/>
  <c r="I17" i="1"/>
  <c r="S19" i="1"/>
  <c r="S20" i="1" s="1"/>
  <c r="U17" i="1"/>
  <c r="J17" i="1"/>
  <c r="L15" i="1"/>
  <c r="R25" i="1" l="1"/>
  <c r="V17" i="1"/>
  <c r="L17" i="1"/>
  <c r="T20" i="1"/>
  <c r="T25" i="1"/>
  <c r="V18" i="1"/>
  <c r="V19" i="1" s="1"/>
  <c r="V20" i="1" s="1"/>
  <c r="U19" i="1"/>
  <c r="U20" i="1" s="1"/>
  <c r="W17" i="1" l="1"/>
  <c r="L18" i="1"/>
  <c r="W18" i="1" s="1"/>
  <c r="L21" i="1"/>
  <c r="W19" i="1" l="1"/>
  <c r="W20" i="1" s="1"/>
  <c r="M27" i="1"/>
  <c r="R24" i="1"/>
  <c r="G39" i="1"/>
  <c r="H39" i="1" s="1"/>
  <c r="J39" i="1" s="1"/>
  <c r="N27" i="1"/>
  <c r="N29" i="1" s="1"/>
  <c r="M31" i="1"/>
  <c r="V25" i="1"/>
  <c r="T30" i="1" s="1"/>
  <c r="S42" i="1"/>
  <c r="N31" i="1"/>
  <c r="N33" i="1" s="1"/>
  <c r="G38" i="1"/>
  <c r="X58" i="1" l="1"/>
  <c r="H38" i="1"/>
  <c r="H40" i="1" s="1"/>
  <c r="G40" i="1"/>
  <c r="J38" i="1"/>
  <c r="J40" i="1" s="1"/>
  <c r="T48" i="1"/>
  <c r="X59" i="1"/>
  <c r="S61" i="1"/>
  <c r="T24" i="1"/>
  <c r="S25" i="1"/>
  <c r="V24" i="1" l="1"/>
  <c r="W25" i="1" s="1"/>
  <c r="S45" i="1" s="1"/>
  <c r="U25" i="1"/>
  <c r="S44" i="1" s="1"/>
  <c r="T44" i="1" s="1"/>
  <c r="U44" i="1" s="1"/>
  <c r="D76" i="1"/>
  <c r="T51" i="1"/>
  <c r="F47" i="1" s="1"/>
  <c r="T49" i="1"/>
  <c r="F46" i="1" s="1"/>
  <c r="S62" i="1"/>
  <c r="T63" i="1" s="1"/>
  <c r="T52" i="1"/>
  <c r="S43" i="1"/>
  <c r="T31" i="1"/>
  <c r="F45" i="1" l="1"/>
  <c r="U43" i="1"/>
  <c r="T43" i="1"/>
  <c r="T45" i="1" s="1"/>
  <c r="H46" i="1"/>
  <c r="T81" i="1" s="1"/>
  <c r="R81" i="1"/>
  <c r="D75" i="1"/>
  <c r="H47" i="1"/>
  <c r="T82" i="1" s="1"/>
  <c r="R82" i="1"/>
  <c r="Z103" i="1"/>
  <c r="U73" i="1"/>
  <c r="I46" i="1" l="1"/>
  <c r="U81" i="1" s="1"/>
  <c r="V81" i="1" s="1"/>
  <c r="I47" i="1"/>
  <c r="U82" i="1" s="1"/>
  <c r="V82" i="1" s="1"/>
  <c r="T56" i="1"/>
  <c r="T57" i="1" s="1"/>
  <c r="T58" i="1" s="1"/>
  <c r="U66" i="1"/>
  <c r="U68" i="1" s="1"/>
  <c r="U70" i="1" s="1"/>
  <c r="U45" i="1"/>
  <c r="M38" i="1"/>
  <c r="M40" i="1" s="1"/>
  <c r="J45" i="1"/>
  <c r="F55" i="1" s="1"/>
  <c r="T77" i="1"/>
  <c r="M39" i="1"/>
  <c r="F48" i="1"/>
  <c r="R80" i="1"/>
  <c r="R83" i="1" s="1"/>
  <c r="R84" i="1" s="1"/>
  <c r="E55" i="1" l="1"/>
  <c r="E56" i="1"/>
  <c r="G45" i="1"/>
  <c r="U71" i="1"/>
  <c r="U72" i="1" s="1"/>
  <c r="U74" i="1" s="1"/>
  <c r="U75" i="1" s="1"/>
  <c r="U76" i="1" s="1"/>
  <c r="U77" i="1" s="1"/>
  <c r="X56" i="1"/>
  <c r="X57" i="1" s="1"/>
  <c r="D50" i="1" a="1"/>
  <c r="D50" i="1" l="1"/>
  <c r="K38" i="1"/>
  <c r="K40" i="1" s="1"/>
  <c r="K39" i="1"/>
  <c r="X60" i="1"/>
  <c r="L38" i="1"/>
  <c r="L40" i="1" s="1"/>
  <c r="H45" i="1"/>
  <c r="D71" i="1"/>
  <c r="L39" i="1"/>
  <c r="S80" i="1"/>
  <c r="G48" i="1"/>
  <c r="I45" i="1"/>
  <c r="I48" i="1" l="1"/>
  <c r="U80" i="1"/>
  <c r="U83" i="1" s="1"/>
  <c r="U84" i="1" s="1"/>
  <c r="S83" i="1"/>
  <c r="H48" i="1"/>
  <c r="T80" i="1"/>
  <c r="T83" i="1" s="1"/>
  <c r="T84" i="1" s="1"/>
  <c r="V80" i="1" l="1"/>
  <c r="S84" i="1"/>
  <c r="V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<sst xmlns="http://schemas.openxmlformats.org/spreadsheetml/2006/main" count="142" uniqueCount="128">
  <si>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</si>
  <si>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</si>
  <si>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</si>
  <si>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</si>
  <si>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</si>
  <si>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</si>
  <si>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</si>
  <si>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</si>
  <si>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</si>
  <si>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</si>
  <si>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</si>
  <si>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</si>
  <si>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</si>
  <si>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</si>
  <si>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</si>
  <si>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</si>
  <si>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</si>
  <si>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</si>
  <si>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</si>
  <si>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</si>
  <si>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</si>
  <si>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</si>
  <si>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</si>
  <si>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</si>
  <si>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</si>
  <si>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</si>
  <si>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</si>
  <si>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</si>
  <si>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</si>
  <si>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</si>
  <si>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 (IPCA-E)</t>
  </si>
  <si>
    <t>Valor Atualizado em Julho/2021</t>
  </si>
  <si>
    <t>Juros (%)</t>
  </si>
  <si>
    <t>Valor Juros</t>
  </si>
  <si>
    <t>Valor Atualizado com Juros  Julho/2021</t>
  </si>
  <si>
    <t>Índice de Atualização IPCA-E</t>
  </si>
  <si>
    <t>Valor Atualizado com Juros em Janeiro/2023</t>
  </si>
  <si>
    <t>Junho</t>
  </si>
  <si>
    <t>PRINCIPAL</t>
  </si>
  <si>
    <t>-</t>
  </si>
  <si>
    <t>Julho</t>
  </si>
  <si>
    <t>JUROS</t>
  </si>
  <si>
    <t xml:space="preserve">*verificação </t>
  </si>
  <si>
    <t>Agosto</t>
  </si>
  <si>
    <t>TOTAL (a)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</si>
  <si>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</si>
  <si>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</si>
  <si>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</si>
  <si>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</si>
  <si>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</si>
  <si>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</si>
  <si>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</si>
  <si>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</si>
  <si>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</si>
  <si>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</si>
  <si>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</si>
  <si>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</si>
  <si>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</si>
  <si>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</si>
  <si>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</si>
  <si>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</si>
  <si>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</si>
  <si>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</si>
  <si>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</si>
  <si>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</si>
  <si>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</si>
  <si>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</si>
  <si>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 xml:space="preserve">PAGAMENTO 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</si>
  <si>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</si>
  <si>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</si>
  <si>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</si>
  <si>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</si>
  <si>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</si>
  <si>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</si>
  <si>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</si>
  <si>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</si>
  <si>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</si>
  <si>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</si>
  <si>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</si>
  <si>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</si>
  <si>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</si>
  <si>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</si>
  <si>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</si>
  <si>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</si>
  <si>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</si>
  <si>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SUCUMBENCIAIS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</si>
  <si>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</si>
  <si>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</si>
  <si>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</si>
  <si>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</si>
  <si>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</si>
  <si>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</si>
  <si>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</si>
  <si>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</si>
  <si>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</si>
  <si>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</si>
  <si>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</si>
  <si>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</si>
  <si>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</si>
  <si>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</si>
  <si>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</si>
  <si>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</si>
  <si>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</si>
  <si>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</si>
  <si>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</si>
  <si>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</si>
  <si>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</si>
  <si>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</si>
  <si>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</si>
  <si>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</si>
  <si>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</si>
  <si>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Imposto de renda</t>
  </si>
  <si>
    <t>VALOR A PAGAR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</si>
  <si>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</si>
  <si>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PARCEL. PREF paga atualizada</t>
  </si>
  <si>
    <t>da IN da RFB n° 1332/2013 com redação dada pela IN RFB 1643/2016.</t>
  </si>
  <si>
    <t>(-) PARCE. HONORÁRIOS CONTRATUAIS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</si>
  <si>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</si>
  <si>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OUTRAS DEDUÇÕES</t>
  </si>
  <si>
    <t>lei LEI Nº 14.848, DE 1º DE MAIO DE 2024, e em conformidade com a decisão do Recurso Extraordinário n° 855091/RS, com Repercussão Geral, Tema 808.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</si>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</sst>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2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7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166" fontId="15" fillId="0" borderId="0" xfId="3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167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168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9" fontId="10" fillId="2" borderId="2" xfId="0" applyNumberFormat="1" applyFont="1" applyFill="1" applyBorder="1"/>
    <xf numFmtId="169" fontId="10" fillId="2" borderId="2" xfId="0" applyNumberFormat="1" applyFont="1" applyFill="1" applyBorder="1" applyAlignment="1">
      <alignment horizontal="center" wrapText="1"/>
    </xf>
    <xf numFmtId="164" fontId="10" fillId="0" borderId="2" xfId="0" applyNumberFormat="1" applyFont="1" applyBorder="1"/>
    <xf numFmtId="4" fontId="10" fillId="0" borderId="3" xfId="0" applyNumberFormat="1" applyFont="1" applyBorder="1" applyAlignment="1">
      <alignment horizontal="right"/>
    </xf>
    <xf numFmtId="169" fontId="10" fillId="2" borderId="3" xfId="0" applyNumberFormat="1" applyFont="1" applyFill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70" fontId="16" fillId="8" borderId="2" xfId="0" applyNumberFormat="1" applyFont="1" applyFill="1" applyBorder="1" applyAlignment="1">
      <alignment horizontal="right"/>
    </xf>
    <xf numFmtId="171" fontId="16" fillId="8" borderId="2" xfId="0" applyNumberFormat="1" applyFont="1" applyFill="1" applyBorder="1" applyAlignment="1">
      <alignment horizontal="center" wrapText="1"/>
    </xf>
    <xf numFmtId="170" fontId="16" fillId="8" borderId="2" xfId="0" applyNumberFormat="1" applyFont="1" applyFill="1" applyBorder="1" applyAlignment="1">
      <alignment horizontal="center"/>
    </xf>
    <xf numFmtId="170" fontId="16" fillId="8" borderId="5" xfId="0" applyNumberFormat="1" applyFont="1" applyFill="1" applyBorder="1" applyAlignment="1">
      <alignment horizontal="right"/>
    </xf>
    <xf numFmtId="170" fontId="16" fillId="8" borderId="1" xfId="0" applyNumberFormat="1" applyFont="1" applyFill="1" applyBorder="1" applyAlignment="1">
      <alignment horizontal="right"/>
    </xf>
    <xf numFmtId="171" fontId="16" fillId="8" borderId="1" xfId="0" applyNumberFormat="1" applyFont="1" applyFill="1" applyBorder="1" applyAlignment="1">
      <alignment horizontal="center" wrapText="1"/>
    </xf>
    <xf numFmtId="170" fontId="4" fillId="3" borderId="0" xfId="0" applyNumberFormat="1" applyFont="1" applyFill="1"/>
    <xf numFmtId="4" fontId="4" fillId="7" borderId="6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horizontal="center"/>
    </xf>
    <xf numFmtId="4" fontId="4" fillId="7" borderId="7" xfId="0" applyNumberFormat="1" applyFont="1" applyFill="1" applyBorder="1" applyAlignment="1">
      <alignment horizontal="center"/>
    </xf>
    <xf numFmtId="4" fontId="4" fillId="7" borderId="8" xfId="0" applyNumberFormat="1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 wrapText="1"/>
    </xf>
    <xf numFmtId="167" fontId="4" fillId="9" borderId="9" xfId="0" applyNumberFormat="1" applyFont="1" applyFill="1" applyBorder="1" applyAlignment="1">
      <alignment horizontal="center"/>
    </xf>
    <xf numFmtId="4" fontId="4" fillId="7" borderId="10" xfId="0" applyNumberFormat="1" applyFont="1" applyFill="1" applyBorder="1" applyAlignment="1">
      <alignment horizontal="center"/>
    </xf>
    <xf numFmtId="170" fontId="9" fillId="2" borderId="0" xfId="0" applyNumberFormat="1" applyFont="1" applyFill="1" applyAlignment="1">
      <alignment horizontal="center"/>
    </xf>
    <xf numFmtId="172" fontId="4" fillId="7" borderId="11" xfId="0" applyNumberFormat="1" applyFont="1" applyFill="1" applyBorder="1" applyAlignment="1">
      <alignment horizontal="center" vertical="center"/>
    </xf>
    <xf numFmtId="172" fontId="4" fillId="7" borderId="12" xfId="0" applyNumberFormat="1" applyFont="1" applyFill="1" applyBorder="1" applyAlignment="1">
      <alignment horizontal="center" vertical="center"/>
    </xf>
    <xf numFmtId="172" fontId="4" fillId="7" borderId="10" xfId="0" applyNumberFormat="1" applyFont="1" applyFill="1" applyBorder="1" applyAlignment="1">
      <alignment horizontal="center" vertical="center"/>
    </xf>
    <xf numFmtId="172" fontId="4" fillId="7" borderId="13" xfId="0" applyNumberFormat="1" applyFont="1" applyFill="1" applyBorder="1" applyAlignment="1">
      <alignment horizontal="center" vertical="center"/>
    </xf>
    <xf numFmtId="173" fontId="8" fillId="10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6" fillId="2" borderId="0" xfId="0" applyFont="1" applyFill="1"/>
    <xf numFmtId="170" fontId="16" fillId="11" borderId="6" xfId="0" applyNumberFormat="1" applyFont="1" applyFill="1" applyBorder="1"/>
    <xf numFmtId="174" fontId="16" fillId="11" borderId="0" xfId="0" applyNumberFormat="1" applyFont="1" applyFill="1"/>
    <xf numFmtId="170" fontId="16" fillId="11" borderId="0" xfId="0" applyNumberFormat="1" applyFont="1" applyFill="1"/>
    <xf numFmtId="10" fontId="16" fillId="11" borderId="0" xfId="0" applyNumberFormat="1" applyFont="1" applyFill="1"/>
    <xf numFmtId="10" fontId="16" fillId="11" borderId="8" xfId="0" applyNumberFormat="1" applyFont="1" applyFill="1" applyBorder="1"/>
    <xf numFmtId="170" fontId="16" fillId="3" borderId="16" xfId="0" applyNumberFormat="1" applyFont="1" applyFill="1" applyBorder="1"/>
    <xf numFmtId="10" fontId="16" fillId="3" borderId="10" xfId="0" applyNumberFormat="1" applyFont="1" applyFill="1" applyBorder="1"/>
    <xf numFmtId="170" fontId="16" fillId="3" borderId="10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70" fontId="18" fillId="2" borderId="13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0" fontId="18" fillId="2" borderId="0" xfId="0" applyFont="1" applyFill="1" applyAlignment="1">
      <alignment horizontal="right"/>
    </xf>
    <xf numFmtId="170" fontId="18" fillId="2" borderId="0" xfId="0" applyNumberFormat="1" applyFont="1" applyFill="1" applyAlignment="1">
      <alignment horizontal="left"/>
    </xf>
    <xf numFmtId="173" fontId="18" fillId="2" borderId="0" xfId="0" applyNumberFormat="1" applyFont="1" applyFill="1"/>
    <xf numFmtId="170" fontId="19" fillId="12" borderId="0" xfId="0" applyNumberFormat="1" applyFont="1" applyFill="1" applyAlignment="1">
      <alignment horizontal="center" vertical="center"/>
    </xf>
    <xf numFmtId="170" fontId="20" fillId="2" borderId="19" xfId="0" applyNumberFormat="1" applyFont="1" applyFill="1" applyBorder="1" applyAlignment="1">
      <alignment horizontal="left"/>
    </xf>
    <xf numFmtId="170" fontId="20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19" fillId="12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70" fontId="16" fillId="2" borderId="2" xfId="0" applyNumberFormat="1" applyFont="1" applyFill="1" applyBorder="1" applyAlignment="1">
      <alignment horizontal="right"/>
    </xf>
    <xf numFmtId="0" fontId="11" fillId="3" borderId="0" xfId="0" applyFont="1" applyFill="1"/>
    <xf numFmtId="170" fontId="6" fillId="13" borderId="1" xfId="0" applyNumberFormat="1" applyFont="1" applyFill="1" applyBorder="1" applyAlignment="1">
      <alignment horizontal="center" vertical="center"/>
    </xf>
    <xf numFmtId="170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2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70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20" fillId="2" borderId="0" xfId="0" applyFont="1" applyFill="1"/>
    <xf numFmtId="10" fontId="4" fillId="3" borderId="0" xfId="0" applyNumberFormat="1" applyFont="1" applyFill="1"/>
    <xf numFmtId="0" fontId="17" fillId="14" borderId="0" xfId="0" applyFont="1" applyFill="1" applyAlignment="1">
      <alignment wrapText="1"/>
    </xf>
    <xf numFmtId="170" fontId="17" fillId="14" borderId="0" xfId="0" applyNumberFormat="1" applyFont="1" applyFill="1" applyAlignment="1">
      <alignment horizontal="center"/>
    </xf>
    <xf numFmtId="0" fontId="19" fillId="14" borderId="0" xfId="0" applyFont="1" applyFill="1"/>
    <xf numFmtId="170" fontId="19" fillId="14" borderId="0" xfId="0" applyNumberFormat="1" applyFont="1" applyFill="1" applyAlignment="1">
      <alignment horizontal="center"/>
    </xf>
    <xf numFmtId="170" fontId="16" fillId="4" borderId="0" xfId="0" applyNumberFormat="1" applyFont="1" applyFill="1"/>
    <xf numFmtId="170" fontId="22" fillId="4" borderId="14" xfId="0" applyNumberFormat="1" applyFont="1" applyFill="1" applyBorder="1" applyAlignment="1">
      <alignment horizontal="center"/>
    </xf>
    <xf numFmtId="0" fontId="22" fillId="4" borderId="15" xfId="0" applyFont="1" applyFill="1" applyBorder="1"/>
    <xf numFmtId="0" fontId="6" fillId="15" borderId="2" xfId="0" applyFont="1" applyFill="1" applyBorder="1" applyAlignment="1">
      <alignment horizontal="center" wrapText="1"/>
    </xf>
    <xf numFmtId="170" fontId="6" fillId="15" borderId="2" xfId="0" applyNumberFormat="1" applyFont="1" applyFill="1" applyBorder="1" applyAlignment="1">
      <alignment horizontal="center"/>
    </xf>
    <xf numFmtId="170" fontId="6" fillId="15" borderId="2" xfId="0" applyNumberFormat="1" applyFont="1" applyFill="1" applyBorder="1" applyAlignment="1">
      <alignment horizontal="center" wrapText="1"/>
    </xf>
    <xf numFmtId="170" fontId="22" fillId="4" borderId="6" xfId="0" applyNumberFormat="1" applyFont="1" applyFill="1" applyBorder="1" applyAlignment="1">
      <alignment horizontal="center"/>
    </xf>
    <xf numFmtId="0" fontId="22" fillId="4" borderId="8" xfId="0" applyFont="1" applyFill="1" applyBorder="1" applyAlignment="1">
      <alignment horizontal="left"/>
    </xf>
    <xf numFmtId="170" fontId="9" fillId="0" borderId="2" xfId="0" applyNumberFormat="1" applyFont="1" applyBorder="1" applyAlignment="1">
      <alignment horizontal="right"/>
    </xf>
    <xf numFmtId="170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70" fontId="4" fillId="4" borderId="0" xfId="0" applyNumberFormat="1" applyFont="1" applyFill="1"/>
    <xf numFmtId="170" fontId="22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70" fontId="16" fillId="3" borderId="0" xfId="0" applyNumberFormat="1" applyFont="1" applyFill="1" applyAlignment="1">
      <alignment wrapText="1"/>
    </xf>
    <xf numFmtId="170" fontId="16" fillId="3" borderId="0" xfId="0" applyNumberFormat="1" applyFont="1" applyFill="1"/>
    <xf numFmtId="0" fontId="19" fillId="4" borderId="14" xfId="0" applyFont="1" applyFill="1" applyBorder="1" applyAlignment="1">
      <alignment horizontal="left" vertical="center"/>
    </xf>
    <xf numFmtId="170" fontId="4" fillId="4" borderId="15" xfId="0" applyNumberFormat="1" applyFont="1" applyFill="1" applyBorder="1" applyAlignment="1">
      <alignment vertical="center"/>
    </xf>
    <xf numFmtId="0" fontId="11" fillId="2" borderId="0" xfId="0" applyFont="1" applyFill="1"/>
    <xf numFmtId="175" fontId="11" fillId="2" borderId="0" xfId="0" applyNumberFormat="1" applyFont="1" applyFill="1"/>
    <xf numFmtId="0" fontId="19" fillId="4" borderId="6" xfId="0" applyFont="1" applyFill="1" applyBorder="1" applyAlignment="1">
      <alignment horizontal="left" vertical="center" wrapText="1"/>
    </xf>
    <xf numFmtId="170" fontId="4" fillId="4" borderId="8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19" fillId="4" borderId="6" xfId="0" applyFont="1" applyFill="1" applyBorder="1" applyAlignment="1">
      <alignment horizontal="left" wrapText="1"/>
    </xf>
    <xf numFmtId="0" fontId="19" fillId="4" borderId="16" xfId="0" applyFont="1" applyFill="1" applyBorder="1" applyAlignment="1">
      <alignment horizontal="left" vertical="center"/>
    </xf>
    <xf numFmtId="170" fontId="11" fillId="4" borderId="17" xfId="0" applyNumberFormat="1" applyFont="1" applyFill="1" applyBorder="1" applyAlignment="1">
      <alignment vertical="center"/>
    </xf>
    <xf numFmtId="0" fontId="23" fillId="2" borderId="0" xfId="0" applyFont="1" applyFill="1"/>
    <xf numFmtId="170" fontId="10" fillId="2" borderId="1" xfId="0" applyNumberFormat="1" applyFont="1" applyFill="1" applyBorder="1"/>
    <xf numFmtId="176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70" fontId="10" fillId="2" borderId="0" xfId="0" applyNumberFormat="1" applyFont="1" applyFill="1"/>
    <xf numFmtId="170" fontId="9" fillId="2" borderId="0" xfId="0" applyNumberFormat="1" applyFont="1" applyFill="1"/>
    <xf numFmtId="0" fontId="17" fillId="14" borderId="14" xfId="0" applyFont="1" applyFill="1" applyBorder="1" applyAlignment="1">
      <alignment horizontal="right"/>
    </xf>
    <xf numFmtId="0" fontId="24" fillId="16" borderId="15" xfId="0" applyFont="1" applyFill="1" applyBorder="1" applyAlignment="1">
      <alignment horizontal="center"/>
    </xf>
    <xf numFmtId="9" fontId="17" fillId="16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4" borderId="6" xfId="0" applyFont="1" applyFill="1" applyBorder="1" applyAlignment="1">
      <alignment horizontal="right"/>
    </xf>
    <xf numFmtId="170" fontId="17" fillId="14" borderId="8" xfId="0" applyNumberFormat="1" applyFont="1" applyFill="1" applyBorder="1"/>
    <xf numFmtId="0" fontId="17" fillId="17" borderId="6" xfId="0" applyFont="1" applyFill="1" applyBorder="1" applyAlignment="1">
      <alignment horizontal="right"/>
    </xf>
    <xf numFmtId="170" fontId="17" fillId="16" borderId="8" xfId="0" applyNumberFormat="1" applyFont="1" applyFill="1" applyBorder="1"/>
    <xf numFmtId="0" fontId="26" fillId="17" borderId="6" xfId="0" applyFont="1" applyFill="1" applyBorder="1" applyAlignment="1">
      <alignment horizontal="center" wrapText="1"/>
    </xf>
    <xf numFmtId="0" fontId="17" fillId="14" borderId="16" xfId="0" applyFont="1" applyFill="1" applyBorder="1" applyAlignment="1">
      <alignment horizontal="right" wrapText="1"/>
    </xf>
    <xf numFmtId="170" fontId="17" fillId="14" borderId="17" xfId="0" applyNumberFormat="1" applyFont="1" applyFill="1" applyBorder="1"/>
    <xf numFmtId="0" fontId="17" fillId="17" borderId="6" xfId="0" applyFont="1" applyFill="1" applyBorder="1" applyAlignment="1">
      <alignment horizontal="right" wrapText="1"/>
    </xf>
    <xf numFmtId="170" fontId="17" fillId="17" borderId="8" xfId="0" applyNumberFormat="1" applyFont="1" applyFill="1" applyBorder="1"/>
    <xf numFmtId="176" fontId="10" fillId="2" borderId="0" xfId="0" applyNumberFormat="1" applyFont="1" applyFill="1"/>
    <xf numFmtId="0" fontId="19" fillId="3" borderId="0" xfId="0" applyFont="1" applyFill="1"/>
    <xf numFmtId="0" fontId="10" fillId="2" borderId="0" xfId="0" applyFont="1" applyFill="1" applyAlignment="1">
      <alignment vertical="center"/>
    </xf>
    <xf numFmtId="0" fontId="17" fillId="17" borderId="11" xfId="0" applyFont="1" applyFill="1" applyBorder="1" applyAlignment="1">
      <alignment horizontal="right" wrapText="1"/>
    </xf>
    <xf numFmtId="0" fontId="17" fillId="17" borderId="13" xfId="0" applyFont="1" applyFill="1" applyBorder="1"/>
    <xf numFmtId="170" fontId="17" fillId="18" borderId="0" xfId="0" applyNumberFormat="1" applyFont="1" applyFill="1" applyAlignment="1">
      <alignment horizontal="center" vertical="center"/>
    </xf>
    <xf numFmtId="2" fontId="17" fillId="19" borderId="0" xfId="0" applyNumberFormat="1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/>
    </xf>
    <xf numFmtId="1" fontId="17" fillId="18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4" fillId="2" borderId="0" xfId="4" applyFont="1" applyFill="1"/>
    <xf numFmtId="170" fontId="17" fillId="20" borderId="14" xfId="0" applyNumberFormat="1" applyFont="1" applyFill="1" applyBorder="1" applyAlignment="1">
      <alignment horizontal="center" vertical="center"/>
    </xf>
    <xf numFmtId="170" fontId="19" fillId="20" borderId="15" xfId="2" applyNumberFormat="1" applyFont="1" applyFill="1" applyBorder="1"/>
    <xf numFmtId="170" fontId="17" fillId="20" borderId="16" xfId="0" applyNumberFormat="1" applyFont="1" applyFill="1" applyBorder="1" applyAlignment="1">
      <alignment horizontal="center" vertical="center" wrapText="1"/>
    </xf>
    <xf numFmtId="170" fontId="19" fillId="20" borderId="17" xfId="2" applyNumberFormat="1" applyFont="1" applyFill="1" applyBorder="1" applyAlignment="1">
      <alignment horizontal="right"/>
    </xf>
    <xf numFmtId="0" fontId="19" fillId="3" borderId="14" xfId="0" applyFont="1" applyFill="1" applyBorder="1"/>
    <xf numFmtId="0" fontId="19" fillId="3" borderId="7" xfId="0" applyFont="1" applyFill="1" applyBorder="1"/>
    <xf numFmtId="172" fontId="19" fillId="3" borderId="15" xfId="0" applyNumberFormat="1" applyFont="1" applyFill="1" applyBorder="1"/>
    <xf numFmtId="0" fontId="10" fillId="3" borderId="0" xfId="0" applyFont="1" applyFill="1"/>
    <xf numFmtId="0" fontId="19" fillId="3" borderId="6" xfId="0" applyFont="1" applyFill="1" applyBorder="1"/>
    <xf numFmtId="170" fontId="19" fillId="3" borderId="8" xfId="0" applyNumberFormat="1" applyFont="1" applyFill="1" applyBorder="1"/>
    <xf numFmtId="0" fontId="22" fillId="3" borderId="6" xfId="0" applyFont="1" applyFill="1" applyBorder="1"/>
    <xf numFmtId="170" fontId="11" fillId="3" borderId="8" xfId="0" applyNumberFormat="1" applyFont="1" applyFill="1" applyBorder="1"/>
    <xf numFmtId="0" fontId="11" fillId="3" borderId="6" xfId="0" applyFont="1" applyFill="1" applyBorder="1"/>
    <xf numFmtId="170" fontId="11" fillId="3" borderId="0" xfId="0" applyNumberFormat="1" applyFont="1" applyFill="1"/>
    <xf numFmtId="0" fontId="17" fillId="15" borderId="6" xfId="0" applyFont="1" applyFill="1" applyBorder="1"/>
    <xf numFmtId="0" fontId="17" fillId="15" borderId="0" xfId="0" applyFont="1" applyFill="1"/>
    <xf numFmtId="170" fontId="17" fillId="15" borderId="8" xfId="0" applyNumberFormat="1" applyFont="1" applyFill="1" applyBorder="1"/>
    <xf numFmtId="170" fontId="19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177" fontId="19" fillId="3" borderId="8" xfId="0" applyNumberFormat="1" applyFont="1" applyFill="1" applyBorder="1"/>
    <xf numFmtId="170" fontId="10" fillId="3" borderId="0" xfId="0" applyNumberFormat="1" applyFont="1" applyFill="1"/>
    <xf numFmtId="0" fontId="4" fillId="0" borderId="0" xfId="0" applyFont="1" applyAlignment="1">
      <alignment horizontal="left"/>
    </xf>
    <xf numFmtId="10" fontId="19" fillId="3" borderId="8" xfId="2" applyNumberFormat="1" applyFont="1" applyFill="1" applyBorder="1"/>
    <xf numFmtId="0" fontId="8" fillId="2" borderId="0" xfId="4" applyFont="1" applyFill="1"/>
    <xf numFmtId="4" fontId="4" fillId="3" borderId="0" xfId="0" applyNumberFormat="1" applyFont="1" applyFill="1"/>
    <xf numFmtId="0" fontId="19" fillId="3" borderId="16" xfId="0" applyFont="1" applyFill="1" applyBorder="1" applyAlignment="1">
      <alignment wrapText="1"/>
    </xf>
    <xf numFmtId="0" fontId="19" fillId="3" borderId="10" xfId="0" applyFont="1" applyFill="1" applyBorder="1"/>
    <xf numFmtId="170" fontId="19" fillId="3" borderId="17" xfId="0" applyNumberFormat="1" applyFont="1" applyFill="1" applyBorder="1"/>
    <xf numFmtId="0" fontId="9" fillId="2" borderId="0" xfId="0" applyFont="1" applyFill="1" applyAlignment="1">
      <alignment wrapText="1"/>
    </xf>
    <xf numFmtId="170" fontId="19" fillId="12" borderId="6" xfId="0" applyNumberFormat="1" applyFont="1" applyFill="1" applyBorder="1"/>
    <xf numFmtId="170" fontId="19" fillId="12" borderId="0" xfId="0" applyNumberFormat="1" applyFont="1" applyFill="1"/>
    <xf numFmtId="172" fontId="19" fillId="12" borderId="9" xfId="0" applyNumberFormat="1" applyFont="1" applyFill="1" applyBorder="1"/>
    <xf numFmtId="172" fontId="19" fillId="12" borderId="11" xfId="0" applyNumberFormat="1" applyFont="1" applyFill="1" applyBorder="1"/>
    <xf numFmtId="172" fontId="19" fillId="12" borderId="12" xfId="0" applyNumberFormat="1" applyFont="1" applyFill="1" applyBorder="1"/>
    <xf numFmtId="0" fontId="10" fillId="12" borderId="17" xfId="0" applyFont="1" applyFill="1" applyBorder="1"/>
    <xf numFmtId="43" fontId="11" fillId="3" borderId="0" xfId="1" applyFont="1" applyFill="1" applyAlignment="1">
      <alignment horizontal="center"/>
    </xf>
    <xf numFmtId="178" fontId="11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0" fontId="17" fillId="14" borderId="11" xfId="0" applyFont="1" applyFill="1" applyBorder="1" applyAlignment="1">
      <alignment horizontal="center"/>
    </xf>
    <xf numFmtId="0" fontId="17" fillId="14" borderId="13" xfId="0" applyFont="1" applyFill="1" applyBorder="1" applyAlignment="1">
      <alignment horizontal="center"/>
    </xf>
    <xf numFmtId="0" fontId="17" fillId="18" borderId="1" xfId="0" applyFont="1" applyFill="1" applyBorder="1" applyAlignment="1">
      <alignment horizontal="center" vertical="center"/>
    </xf>
    <xf numFmtId="170" fontId="17" fillId="20" borderId="1" xfId="0" applyNumberFormat="1" applyFont="1" applyFill="1" applyBorder="1" applyAlignment="1">
      <alignment horizontal="center" vertical="center" wrapText="1"/>
    </xf>
    <xf numFmtId="170" fontId="24" fillId="21" borderId="1" xfId="0" applyNumberFormat="1" applyFont="1" applyFill="1" applyBorder="1" applyAlignment="1">
      <alignment horizontal="center" vertical="center"/>
    </xf>
    <xf numFmtId="170" fontId="17" fillId="12" borderId="11" xfId="0" applyNumberFormat="1" applyFont="1" applyFill="1" applyBorder="1" applyAlignment="1">
      <alignment horizontal="center" vertical="center"/>
    </xf>
    <xf numFmtId="170" fontId="17" fillId="12" borderId="12" xfId="0" applyNumberFormat="1" applyFont="1" applyFill="1" applyBorder="1" applyAlignment="1">
      <alignment horizontal="center" vertical="center"/>
    </xf>
    <xf numFmtId="170" fontId="17" fillId="12" borderId="13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168" fontId="6" fillId="8" borderId="2" xfId="0" applyNumberFormat="1" applyFont="1" applyFill="1" applyBorder="1" applyAlignment="1">
      <alignment horizontal="center"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3" borderId="13" xfId="0" applyFont="1" applyFill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left" vertical="top" wrapText="1"/>
    </xf>
    <xf numFmtId="168" fontId="21" fillId="0" borderId="21" xfId="0" applyNumberFormat="1" applyFont="1" applyBorder="1" applyAlignment="1">
      <alignment horizontal="left" vertical="top" wrapText="1"/>
    </xf>
    <xf numFmtId="168" fontId="6" fillId="8" borderId="5" xfId="0" applyNumberFormat="1" applyFont="1" applyFill="1" applyBorder="1" applyAlignment="1">
      <alignment horizontal="center" vertical="center" wrapText="1"/>
    </xf>
    <xf numFmtId="168" fontId="6" fillId="8" borderId="19" xfId="0" applyNumberFormat="1" applyFont="1" applyFill="1" applyBorder="1" applyAlignment="1">
      <alignment horizontal="center" vertical="center" wrapText="1"/>
    </xf>
    <xf numFmtId="168" fontId="6" fillId="15" borderId="2" xfId="0" applyNumberFormat="1" applyFont="1" applyFill="1" applyBorder="1" applyAlignment="1">
      <alignment horizontal="center" wrapText="1"/>
    </xf>
    <xf numFmtId="168" fontId="9" fillId="0" borderId="2" xfId="0" applyNumberFormat="1" applyFont="1" applyBorder="1" applyAlignment="1">
      <alignment horizontal="center" wrapText="1"/>
    </xf>
    <xf numFmtId="170" fontId="16" fillId="4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7" fillId="11" borderId="14" xfId="0" applyFont="1" applyFill="1" applyBorder="1" applyAlignment="1">
      <alignment horizontal="center" vertical="center"/>
    </xf>
    <xf numFmtId="0" fontId="17" fillId="11" borderId="7" xfId="0" applyFont="1" applyFill="1" applyBorder="1" applyAlignment="1">
      <alignment horizontal="center" vertical="center"/>
    </xf>
    <xf numFmtId="0" fontId="17" fillId="11" borderId="1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right"/>
    </xf>
    <xf numFmtId="0" fontId="18" fillId="2" borderId="12" xfId="0" applyFont="1" applyFill="1" applyBorder="1" applyAlignment="1">
      <alignment horizontal="right"/>
    </xf>
    <xf numFmtId="0" fontId="18" fillId="2" borderId="11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center"/>
    </xf>
    <xf numFmtId="10" fontId="16" fillId="12" borderId="0" xfId="0" applyNumberFormat="1" applyFont="1" applyFill="1" applyAlignment="1">
      <alignment horizontal="center" vertical="center"/>
    </xf>
    <xf numFmtId="0" fontId="20" fillId="2" borderId="5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9" fontId="4" fillId="5" borderId="1" xfId="2" applyFont="1" applyFill="1" applyBorder="1" applyAlignment="1">
      <alignment horizontal="center"/>
    </xf>
    <xf numFmtId="170" fontId="17" fillId="7" borderId="1" xfId="0" applyNumberFormat="1" applyFont="1" applyFill="1" applyBorder="1" applyAlignment="1">
      <alignment horizontal="center" vertical="center"/>
    </xf>
    <xf numFmtId="170" fontId="17" fillId="7" borderId="4" xfId="0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EF7E6FA9-4F88-4DF9-9EC8-62E622032D08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1</xdr:row>
          <xdr:rowOff>76200</xdr:rowOff>
        </xdr:from>
        <xdr:to>
          <xdr:col>18</xdr:col>
          <xdr:colOff>2105025</xdr:colOff>
          <xdr:row>4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44</xdr:row>
          <xdr:rowOff>561975</xdr:rowOff>
        </xdr:from>
        <xdr:to>
          <xdr:col>16</xdr:col>
          <xdr:colOff>1704975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51955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22815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10</xdr:col>
      <xdr:colOff>1714501</xdr:colOff>
      <xdr:row>45</xdr:row>
      <xdr:rowOff>103909</xdr:rowOff>
    </xdr:from>
    <xdr:to>
      <xdr:col>11</xdr:col>
      <xdr:colOff>536865</xdr:colOff>
      <xdr:row>46</xdr:row>
      <xdr:rowOff>17319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669376" y="16629784"/>
          <a:ext cx="1194089" cy="58016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X8">
            <v>35.43</v>
          </cell>
        </row>
        <row r="24">
          <cell r="O24" t="e">
            <v>#VALUE!</v>
          </cell>
        </row>
        <row r="28">
          <cell r="O28">
            <v>1.1230388282087578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9"/>
  <sheetViews>
    <sheetView tabSelected="1" zoomScale="55" zoomScaleNormal="55" zoomScaleSheetLayoutView="25" workbookViewId="0">
      <selection activeCell="D2" sqref="D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2.28515625" style="17" customWidth="1"/>
    <col min="9" max="9" width="41.710937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2.5703125" style="200" customWidth="1"/>
    <col min="14" max="14" width="34.7109375" style="20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4.28515625" style="6" customWidth="1"/>
    <col min="29" max="29" width="19.5703125" style="6" bestFit="1" customWidth="1"/>
    <col min="30" max="30" width="25.7109375" style="6" bestFit="1" customWidth="1"/>
    <col min="31" max="31" width="17.85546875" style="6" bestFit="1" customWidth="1"/>
    <col min="32" max="32" width="10.7109375" style="6" customWidth="1"/>
    <col min="33" max="33" width="16.85546875" style="6" customWidth="1"/>
    <col min="34" max="34" width="21.5703125" style="6" customWidth="1"/>
    <col min="35" max="35" width="1.28515625" style="6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23" t="s">
        <v>0</v>
      </c>
      <c r="D4" s="223"/>
      <c r="E4" s="223"/>
      <c r="F4" s="223"/>
      <c r="G4" s="223"/>
      <c r="H4" s="223"/>
      <c r="I4" s="223"/>
      <c r="J4" s="223"/>
      <c r="K4" s="223"/>
      <c r="L4" s="223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23" t="s">
        <v>1</v>
      </c>
      <c r="D5" s="223"/>
      <c r="E5" s="223"/>
      <c r="F5" s="223"/>
      <c r="G5" s="223"/>
      <c r="H5" s="223"/>
      <c r="I5" s="223"/>
      <c r="J5" s="223"/>
      <c r="K5" s="223"/>
      <c r="L5" s="223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45" t="s">
        <v>5</v>
      </c>
      <c r="S8" s="245"/>
      <c r="T8" s="5"/>
      <c r="U8" s="16" t="s">
        <v>6</v>
      </c>
      <c r="V8" s="245" t="s">
        <v>5</v>
      </c>
      <c r="W8" s="245"/>
      <c r="X8" s="5"/>
      <c r="Y8" s="5"/>
      <c r="AI8" s="7"/>
      <c r="AJ8" s="241" t="s">
        <v>7</v>
      </c>
      <c r="AK8" s="241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242">
        <v>0</v>
      </c>
      <c r="S9" s="242"/>
      <c r="T9" s="5"/>
      <c r="U9" s="23" t="s">
        <v>11</v>
      </c>
      <c r="V9" s="242">
        <v>0</v>
      </c>
      <c r="W9" s="242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46" t="s">
        <v>15</v>
      </c>
      <c r="S10" s="246"/>
      <c r="T10" s="5"/>
      <c r="U10" s="16" t="s">
        <v>14</v>
      </c>
      <c r="V10" s="246" t="s">
        <v>16</v>
      </c>
      <c r="W10" s="246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45" t="s">
        <v>20</v>
      </c>
      <c r="S11" s="245"/>
      <c r="T11" s="5"/>
      <c r="U11" s="16" t="s">
        <v>19</v>
      </c>
      <c r="V11" s="245" t="s">
        <v>21</v>
      </c>
      <c r="W11" s="245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DATE(VALUE(RIGHT(MID($G$14,21,15),4)),VLOOKUP(LEFT(MID($G$14,21,15),SEARCH("/",MID($G$14,21,15))-1),AJ9:AK20,2,0)-1,1)</f>
        <v>44348</v>
      </c>
      <c r="AE12" s="29">
        <f>DATE(VALUE(RIGHT(MID($G$14,21,15),4)),VLOOKUP(LEFT(MID($G$14,21,15),SEARCH("/",MID($G$14,21,15))-1),AJ9:AK20,2,0),1)</f>
        <v>44378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23" t="s">
        <v>26</v>
      </c>
      <c r="D13" s="223"/>
      <c r="E13" s="223"/>
      <c r="F13" s="223"/>
      <c r="G13" s="223"/>
      <c r="H13" s="223"/>
      <c r="I13" s="223"/>
      <c r="J13" s="223"/>
      <c r="K13" s="223"/>
      <c r="L13" s="223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DATE(VALUE(RIGHT(MID($L$14,31,15),4)), VLOOKUP(LEFT(MID($L$14,31,15),SEARCH("/",MID($L$14,31,15))-1), $AJ$9:$AK$20, 2, 0) - 1, 1)</f>
        <v>44896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4" t="s">
        <v>37</v>
      </c>
      <c r="AK14" s="24">
        <v>6</v>
      </c>
    </row>
    <row r="15" spans="1:37" ht="36.950000000000003" customHeight="1">
      <c r="A15" s="1"/>
      <c r="B15" s="1"/>
      <c r="C15" s="9"/>
      <c r="D15" s="31" t="s">
        <v>38</v>
      </c>
      <c r="E15" s="32">
        <f>[1]MENU!C20</f>
        <v>0</v>
      </c>
      <c r="F15" s="33">
        <f>IFERROR('[1]Selic e IPCA'!$O$24,1)</f>
        <v>1</v>
      </c>
      <c r="G15" s="32">
        <f>ROUND(E15*F15,2)</f>
        <v>0</v>
      </c>
      <c r="H15" s="17" t="s">
        <v>39</v>
      </c>
      <c r="I15" s="32">
        <v>0</v>
      </c>
      <c r="J15" s="32">
        <f>ROUND(G15+I15,2)</f>
        <v>0</v>
      </c>
      <c r="K15" s="34">
        <f>IFERROR('[1]Selic e IPCA'!O28,1)</f>
        <v>1.1230388282087578</v>
      </c>
      <c r="L15" s="32">
        <f>ROUND(J15*K15,2)</f>
        <v>0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4" t="s">
        <v>40</v>
      </c>
      <c r="AK15" s="24">
        <v>7</v>
      </c>
    </row>
    <row r="16" spans="1:37" ht="32.65" customHeight="1">
      <c r="A16" s="1"/>
      <c r="B16" s="1"/>
      <c r="C16" s="9"/>
      <c r="D16" s="31" t="s">
        <v>41</v>
      </c>
      <c r="E16" s="32">
        <f>[1]MENU!C22</f>
        <v>0</v>
      </c>
      <c r="F16" s="33">
        <f>IFERROR('[1]Selic e IPCA'!$O$24,1)</f>
        <v>1</v>
      </c>
      <c r="G16" s="32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2">
        <f>ROUND(G15*H16,2)</f>
        <v>0</v>
      </c>
      <c r="J16" s="36">
        <f>ROUND(G16+I16,2)</f>
        <v>0</v>
      </c>
      <c r="K16" s="37">
        <f>IFERROR('[1]Selic e IPCA'!O28,1)</f>
        <v>1.1230388282087578</v>
      </c>
      <c r="L16" s="36">
        <f>ROUND(J16*K16,2)</f>
        <v>0</v>
      </c>
      <c r="M16" s="4"/>
      <c r="N16" s="4"/>
      <c r="O16" s="1"/>
      <c r="P16" s="5"/>
      <c r="Q16" s="5"/>
      <c r="R16" s="243" t="s">
        <v>42</v>
      </c>
      <c r="S16" s="243"/>
      <c r="T16" s="243"/>
      <c r="U16" s="243"/>
      <c r="V16" s="244"/>
      <c r="W16" s="243"/>
      <c r="X16" s="5"/>
      <c r="Y16" s="5"/>
      <c r="AJ16" s="24" t="s">
        <v>43</v>
      </c>
      <c r="AK16" s="24">
        <v>8</v>
      </c>
    </row>
    <row r="17" spans="1:37" ht="43.15" customHeight="1">
      <c r="A17" s="1"/>
      <c r="B17" s="1"/>
      <c r="C17" s="9"/>
      <c r="D17" s="38" t="s">
        <v>44</v>
      </c>
      <c r="E17" s="39">
        <f>SUM(E15:E16)</f>
        <v>0</v>
      </c>
      <c r="F17" s="40" t="s">
        <v>39</v>
      </c>
      <c r="G17" s="39">
        <f>SUM(G15:G16)</f>
        <v>0</v>
      </c>
      <c r="H17" s="41" t="s">
        <v>39</v>
      </c>
      <c r="I17" s="42">
        <f>SUM(I15:I16)</f>
        <v>0</v>
      </c>
      <c r="J17" s="43">
        <f>SUM(J15:J16)</f>
        <v>0</v>
      </c>
      <c r="K17" s="44" t="s">
        <v>39</v>
      </c>
      <c r="L17" s="43">
        <f>SUM(L15:L16)</f>
        <v>0</v>
      </c>
      <c r="M17" s="4"/>
      <c r="N17" s="4"/>
      <c r="O17" s="1"/>
      <c r="P17" s="5"/>
      <c r="Q17" s="45"/>
      <c r="R17" s="46">
        <f>ROUND(E15,2)</f>
        <v>0</v>
      </c>
      <c r="S17" s="47">
        <f>ROUND(G15,2)</f>
        <v>0</v>
      </c>
      <c r="T17" s="47">
        <f>ROUND(I15,2)</f>
        <v>0</v>
      </c>
      <c r="U17" s="47">
        <f>ROUND(J15,2)</f>
        <v>0</v>
      </c>
      <c r="V17" s="48">
        <f>ROUND(L15,2)</f>
        <v>0</v>
      </c>
      <c r="W17" s="49">
        <f>ROUND(L17,2)</f>
        <v>0</v>
      </c>
      <c r="X17" s="5"/>
      <c r="Y17" s="5"/>
      <c r="AJ17" s="24" t="s">
        <v>45</v>
      </c>
      <c r="AK17" s="24">
        <v>9</v>
      </c>
    </row>
    <row r="18" spans="1:37" ht="23.25">
      <c r="A18" s="1"/>
      <c r="B18" s="1"/>
      <c r="C18" s="9"/>
      <c r="D18" s="4"/>
      <c r="E18" s="4"/>
      <c r="F18" s="4"/>
      <c r="G18" s="4"/>
      <c r="H18" s="4"/>
      <c r="I18" s="4"/>
      <c r="J18" s="50" t="s">
        <v>46</v>
      </c>
      <c r="K18" s="224">
        <f>IFERROR('[1]Selic e IPCA'!X8%,0)</f>
        <v>0.3543</v>
      </c>
      <c r="L18" s="225">
        <f>ROUND(L17*K18,2)</f>
        <v>0</v>
      </c>
      <c r="M18" s="4"/>
      <c r="N18" s="4"/>
      <c r="O18" s="1"/>
      <c r="P18" s="5"/>
      <c r="Q18" s="45"/>
      <c r="R18" s="46">
        <f>ROUND(E16,2)</f>
        <v>0</v>
      </c>
      <c r="S18" s="47">
        <f>ROUND(G16,2)</f>
        <v>0</v>
      </c>
      <c r="T18" s="47">
        <f>ROUND(I16,2)</f>
        <v>0</v>
      </c>
      <c r="U18" s="47">
        <f>ROUND(J16,2)</f>
        <v>0</v>
      </c>
      <c r="V18" s="47">
        <f>ROUND(L16,2)</f>
        <v>0</v>
      </c>
      <c r="W18" s="49">
        <f>ROUND(L18,2)</f>
        <v>0</v>
      </c>
      <c r="X18" s="5"/>
      <c r="Y18" s="5"/>
      <c r="AJ18" s="24" t="s">
        <v>47</v>
      </c>
      <c r="AK18" s="24">
        <v>10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1">
        <v>44927</v>
      </c>
      <c r="K19" s="224"/>
      <c r="L19" s="225"/>
      <c r="M19" s="4"/>
      <c r="N19" s="4"/>
      <c r="O19" s="1"/>
      <c r="P19" s="5"/>
      <c r="Q19" s="45"/>
      <c r="R19" s="46">
        <f t="shared" ref="R19:W19" si="0">SUM(R17:R18)</f>
        <v>0</v>
      </c>
      <c r="S19" s="47">
        <f t="shared" si="0"/>
        <v>0</v>
      </c>
      <c r="T19" s="47">
        <f t="shared" si="0"/>
        <v>0</v>
      </c>
      <c r="U19" s="47">
        <f t="shared" si="0"/>
        <v>0</v>
      </c>
      <c r="V19" s="52">
        <f t="shared" si="0"/>
        <v>0</v>
      </c>
      <c r="W19" s="49">
        <f t="shared" si="0"/>
        <v>0</v>
      </c>
      <c r="X19" s="5"/>
      <c r="Y19" s="5"/>
      <c r="AJ19" s="24" t="s">
        <v>48</v>
      </c>
      <c r="AK19" s="24">
        <v>11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3"/>
      <c r="J20" s="51">
        <f ca="1">DATE(YEAR(TODAY()), MONTH(1 &amp; TEXT(TODAY(), "mmmm")), 1)</f>
        <v>45689</v>
      </c>
      <c r="K20" s="224"/>
      <c r="L20" s="225"/>
      <c r="M20" s="4"/>
      <c r="N20" s="4"/>
      <c r="O20" s="1"/>
      <c r="P20" s="5"/>
      <c r="Q20" s="45"/>
      <c r="R20" s="54">
        <f>R19-E17</f>
        <v>0</v>
      </c>
      <c r="S20" s="55">
        <f>S19-G17</f>
        <v>0</v>
      </c>
      <c r="T20" s="55">
        <f>T19-I17</f>
        <v>0</v>
      </c>
      <c r="U20" s="55">
        <f>U19-J17</f>
        <v>0</v>
      </c>
      <c r="V20" s="56">
        <f>V19-L17</f>
        <v>0</v>
      </c>
      <c r="W20" s="57">
        <f>W19-L21</f>
        <v>0</v>
      </c>
      <c r="X20" s="5"/>
      <c r="Y20" s="5"/>
      <c r="AJ20" s="24" t="s">
        <v>49</v>
      </c>
      <c r="AK20" s="24">
        <v>12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26" t="str">
        <f ca="1">"Valor Total Devido em "&amp;UPPER(TEXT(TODAY(),"mmmm"))&amp;"/"&amp;YEAR(TODAY())</f>
        <v>Valor Total Devido em FEVEREIRO/2025</v>
      </c>
      <c r="K21" s="226"/>
      <c r="L21" s="58">
        <f>L17+L18</f>
        <v>0</v>
      </c>
      <c r="M21" s="4"/>
      <c r="N21" s="4"/>
      <c r="O21" s="1"/>
      <c r="P21" s="5"/>
      <c r="Q21" s="45"/>
      <c r="R21" s="59"/>
      <c r="S21" s="59"/>
      <c r="T21" s="59"/>
      <c r="U21" s="59"/>
      <c r="V21" s="59"/>
      <c r="W21" s="59"/>
      <c r="X21" s="5"/>
      <c r="Y21" s="5"/>
    </row>
    <row r="22" spans="1:37" ht="72" customHeight="1">
      <c r="A22" s="1"/>
      <c r="B22" s="1"/>
      <c r="C22" s="9"/>
      <c r="D22" s="60"/>
      <c r="E22" s="14"/>
      <c r="F22" s="14"/>
      <c r="G22" s="14"/>
      <c r="H22" s="14"/>
      <c r="I22" s="53"/>
      <c r="J22" s="11"/>
      <c r="K22" s="11"/>
      <c r="L22" s="11"/>
      <c r="M22" s="4"/>
      <c r="N22" s="4"/>
      <c r="O22" s="1"/>
      <c r="P22" s="5"/>
      <c r="Q22" s="45"/>
      <c r="R22" s="227" t="str">
        <f ca="1">"DIVISÃO "&amp;UPPER(TEXT(TODAY(),"mmmm"))&amp;"/"&amp;YEAR(TODAY())&amp;""</f>
        <v>DIVISÃO FEVEREIRO/2025</v>
      </c>
      <c r="S22" s="227"/>
      <c r="T22" s="227"/>
      <c r="U22" s="227"/>
      <c r="V22" s="227"/>
      <c r="W22" s="227"/>
      <c r="X22" s="5"/>
      <c r="Y22" s="5"/>
    </row>
    <row r="23" spans="1:37" ht="48" customHeight="1">
      <c r="A23" s="1"/>
      <c r="B23" s="1"/>
      <c r="C23" s="9"/>
      <c r="D23" s="60"/>
      <c r="E23" s="60"/>
      <c r="F23" s="60"/>
      <c r="G23" s="60"/>
      <c r="H23" s="60"/>
      <c r="I23" s="60"/>
      <c r="J23" s="11"/>
      <c r="K23" s="11"/>
      <c r="L23" s="11"/>
      <c r="M23" s="4"/>
      <c r="N23" s="4"/>
      <c r="O23" s="1"/>
      <c r="P23" s="5"/>
      <c r="Q23" s="45"/>
      <c r="R23" s="228" t="s">
        <v>50</v>
      </c>
      <c r="S23" s="229"/>
      <c r="T23" s="229" t="s">
        <v>51</v>
      </c>
      <c r="U23" s="229"/>
      <c r="V23" s="229" t="s">
        <v>52</v>
      </c>
      <c r="W23" s="230"/>
      <c r="X23" s="5"/>
      <c r="Y23" s="5"/>
    </row>
    <row r="24" spans="1:37" ht="48" customHeight="1">
      <c r="A24" s="1"/>
      <c r="B24" s="1"/>
      <c r="C24" s="9"/>
      <c r="D24" s="60"/>
      <c r="E24" s="60"/>
      <c r="F24" s="60"/>
      <c r="G24" s="60"/>
      <c r="H24" s="60"/>
      <c r="I24" s="60"/>
      <c r="J24" s="11"/>
      <c r="K24" s="11"/>
      <c r="L24" s="11"/>
      <c r="M24" s="4"/>
      <c r="N24" s="4"/>
      <c r="O24" s="1"/>
      <c r="P24" s="5"/>
      <c r="Q24" s="45"/>
      <c r="R24" s="61">
        <f>$L$21</f>
        <v>0</v>
      </c>
      <c r="S24" s="62">
        <v>1</v>
      </c>
      <c r="T24" s="63">
        <f>R24</f>
        <v>0</v>
      </c>
      <c r="U24" s="64">
        <f>S24</f>
        <v>1</v>
      </c>
      <c r="V24" s="63">
        <f>T24</f>
        <v>0</v>
      </c>
      <c r="W24" s="65">
        <f>U24</f>
        <v>1</v>
      </c>
      <c r="X24" s="5"/>
      <c r="Y24" s="5"/>
    </row>
    <row r="25" spans="1:37" ht="31.5" customHeight="1">
      <c r="A25" s="1"/>
      <c r="B25" s="1"/>
      <c r="C25" s="9"/>
      <c r="D25" s="60"/>
      <c r="E25" s="60"/>
      <c r="F25" s="60"/>
      <c r="G25" s="60"/>
      <c r="H25" s="60"/>
      <c r="I25" s="60"/>
      <c r="J25" s="11"/>
      <c r="K25" s="11"/>
      <c r="L25" s="11"/>
      <c r="M25" s="4"/>
      <c r="N25" s="4"/>
      <c r="O25" s="1"/>
      <c r="P25" s="5"/>
      <c r="Q25" s="45"/>
      <c r="R25" s="66">
        <f>L15</f>
        <v>0</v>
      </c>
      <c r="S25" s="67" t="e">
        <f>R25*S24/R24</f>
        <v>#DIV/0!</v>
      </c>
      <c r="T25" s="68">
        <f>$L$16</f>
        <v>0</v>
      </c>
      <c r="U25" s="67" t="e">
        <f>T25*U24/T24</f>
        <v>#DIV/0!</v>
      </c>
      <c r="V25" s="68">
        <f>L21-L17</f>
        <v>0</v>
      </c>
      <c r="W25" s="69" t="e">
        <f>V25*W24/V24</f>
        <v>#DIV/0!</v>
      </c>
      <c r="X25" s="5"/>
      <c r="Y25" s="5"/>
    </row>
    <row r="26" spans="1:37" ht="31.5" customHeight="1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5"/>
      <c r="R26" s="59"/>
      <c r="S26" s="59"/>
      <c r="T26" s="59"/>
      <c r="U26" s="59"/>
      <c r="V26" s="59"/>
      <c r="W26" s="59"/>
      <c r="X26" s="5"/>
      <c r="Y26" s="5"/>
    </row>
    <row r="27" spans="1:37" ht="25.5" customHeight="1">
      <c r="A27" s="1"/>
      <c r="B27" s="1"/>
      <c r="C27" s="9"/>
      <c r="D27" s="14"/>
      <c r="E27" s="14"/>
      <c r="F27" s="14"/>
      <c r="G27" s="14"/>
      <c r="H27" s="14"/>
      <c r="I27" s="53"/>
      <c r="J27" s="231" t="str">
        <f>"(+)Honorários Sucumbência- (B)– "&amp;TEXT(V9,"0%")&amp;" sobre"</f>
        <v>(+)Honorários Sucumbência- (B)– 0% sobre</v>
      </c>
      <c r="K27" s="232"/>
      <c r="L27" s="232"/>
      <c r="M27" s="70">
        <f>L21</f>
        <v>0</v>
      </c>
      <c r="N27" s="71">
        <f>IF(V8="Sim",ROUND(L21*$V$9,2),L21*0)</f>
        <v>0</v>
      </c>
      <c r="O27" s="1"/>
      <c r="P27" s="5"/>
      <c r="Q27" s="45"/>
      <c r="R27" s="59"/>
      <c r="S27" s="59"/>
      <c r="T27" s="59"/>
      <c r="U27" s="59"/>
      <c r="V27" s="59"/>
      <c r="W27" s="59"/>
      <c r="X27" s="5"/>
      <c r="Y27" s="5"/>
    </row>
    <row r="28" spans="1:37" ht="25.5" customHeight="1">
      <c r="A28" s="1"/>
      <c r="B28" s="1"/>
      <c r="C28" s="9"/>
      <c r="D28" s="14"/>
      <c r="E28" s="14"/>
      <c r="F28" s="14"/>
      <c r="G28" s="14"/>
      <c r="H28" s="14"/>
      <c r="I28" s="53"/>
      <c r="J28" s="72"/>
      <c r="K28" s="72"/>
      <c r="L28" s="72"/>
      <c r="M28" s="73"/>
      <c r="N28" s="74"/>
      <c r="O28" s="1"/>
      <c r="P28" s="5"/>
      <c r="Q28" s="45"/>
      <c r="R28" s="59"/>
      <c r="S28" s="59"/>
      <c r="T28" s="59"/>
      <c r="U28" s="59"/>
      <c r="V28" s="59"/>
      <c r="W28" s="59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3"/>
      <c r="J29" s="72"/>
      <c r="K29" s="72"/>
      <c r="L29" s="233" t="s">
        <v>53</v>
      </c>
      <c r="M29" s="234"/>
      <c r="N29" s="71">
        <f>L21+N27</f>
        <v>0</v>
      </c>
      <c r="O29" s="1"/>
      <c r="P29" s="5"/>
      <c r="Q29" s="45"/>
      <c r="R29" s="59"/>
      <c r="S29" s="59"/>
      <c r="T29" s="59"/>
      <c r="U29" s="59"/>
      <c r="V29" s="59"/>
      <c r="W29" s="59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3"/>
      <c r="J30" s="14"/>
      <c r="K30" s="1"/>
      <c r="L30" s="11"/>
      <c r="M30" s="4"/>
      <c r="N30" s="4"/>
      <c r="O30" s="1"/>
      <c r="P30" s="5"/>
      <c r="Q30" s="45"/>
      <c r="R30" s="59"/>
      <c r="S30" s="235" t="s">
        <v>54</v>
      </c>
      <c r="T30" s="75">
        <f>R25+T25+V25</f>
        <v>0</v>
      </c>
      <c r="U30" s="59"/>
      <c r="V30" s="59"/>
      <c r="W30" s="59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3"/>
      <c r="J31" s="236" t="str">
        <f>"(-)Honorários Contratuais- (" &amp; IF(V8="Sim", "C","B") &amp; ")– " &amp; TEXT(R9, "0%") &amp; " sobre"</f>
        <v>(-)Honorários Contratuais- (C)– 0% sobre</v>
      </c>
      <c r="K31" s="237"/>
      <c r="L31" s="237"/>
      <c r="M31" s="76">
        <f>L21</f>
        <v>0</v>
      </c>
      <c r="N31" s="77">
        <f>IF(R8="sim",ROUND(L21*$R$9,2),L21*0)</f>
        <v>0</v>
      </c>
      <c r="O31" s="78"/>
      <c r="P31" s="59"/>
      <c r="Q31" s="5"/>
      <c r="R31" s="5"/>
      <c r="S31" s="235"/>
      <c r="T31" s="79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3"/>
      <c r="J32" s="80"/>
      <c r="K32" s="80"/>
      <c r="L32" s="80"/>
      <c r="M32" s="80"/>
      <c r="N32" s="81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53"/>
      <c r="J33" s="80"/>
      <c r="K33" s="238" t="s">
        <v>55</v>
      </c>
      <c r="L33" s="239"/>
      <c r="M33" s="240"/>
      <c r="N33" s="82">
        <f>L21- N31</f>
        <v>0</v>
      </c>
      <c r="O33" s="1"/>
      <c r="P33" s="59"/>
      <c r="Q33" s="45"/>
      <c r="R33" s="5"/>
      <c r="S33" s="5"/>
      <c r="T33" s="5"/>
      <c r="U33" s="5"/>
      <c r="V33" s="5"/>
      <c r="W33" s="5"/>
      <c r="X33" s="83"/>
      <c r="Y33" s="5"/>
    </row>
    <row r="34" spans="1:25" ht="29.25" customHeight="1">
      <c r="A34" s="1"/>
      <c r="B34" s="1"/>
      <c r="C34" s="9"/>
      <c r="D34" s="14"/>
      <c r="E34" s="14"/>
      <c r="F34" s="53"/>
      <c r="G34" s="2"/>
      <c r="H34" s="53"/>
      <c r="I34" s="14"/>
      <c r="J34" s="14"/>
      <c r="K34" s="1"/>
      <c r="L34" s="11"/>
      <c r="M34" s="4"/>
      <c r="N34" s="4"/>
      <c r="O34" s="1"/>
      <c r="P34" s="5"/>
      <c r="Q34" s="5"/>
      <c r="R34" s="5"/>
      <c r="S34" s="83"/>
      <c r="T34" s="83"/>
      <c r="U34" s="83"/>
      <c r="V34" s="83"/>
      <c r="W34" s="83"/>
      <c r="X34" s="83"/>
      <c r="Y34" s="5"/>
    </row>
    <row r="35" spans="1:25" ht="29.25" customHeight="1">
      <c r="A35" s="1"/>
      <c r="B35" s="1"/>
      <c r="C35" s="9"/>
      <c r="D35" s="14"/>
      <c r="E35" s="14"/>
      <c r="F35" s="53"/>
      <c r="G35" s="2"/>
      <c r="H35" s="53"/>
      <c r="I35" s="14"/>
      <c r="J35" s="14"/>
      <c r="K35" s="1"/>
      <c r="L35" s="11"/>
      <c r="M35" s="4"/>
      <c r="N35" s="4"/>
      <c r="O35" s="1"/>
      <c r="P35" s="5"/>
      <c r="Q35" s="5"/>
      <c r="R35" s="5"/>
      <c r="S35" s="83"/>
      <c r="T35" s="83"/>
      <c r="U35" s="83"/>
      <c r="V35" s="83"/>
      <c r="W35" s="83"/>
      <c r="X35" s="83"/>
      <c r="Y35" s="5"/>
    </row>
    <row r="36" spans="1:25" ht="29.25" hidden="1" customHeight="1" outlineLevel="1">
      <c r="A36" s="1"/>
      <c r="B36" s="1"/>
      <c r="C36" s="223" t="s">
        <v>56</v>
      </c>
      <c r="D36" s="223"/>
      <c r="E36" s="223"/>
      <c r="F36" s="223"/>
      <c r="G36" s="223"/>
      <c r="H36" s="223"/>
      <c r="I36" s="223"/>
      <c r="J36" s="223"/>
      <c r="K36" s="223"/>
      <c r="L36" s="223"/>
      <c r="M36" s="223"/>
      <c r="N36" s="4"/>
      <c r="O36" s="1"/>
      <c r="P36" s="5"/>
      <c r="Q36" s="5"/>
      <c r="R36" s="5"/>
      <c r="S36" s="83"/>
      <c r="T36" s="83"/>
      <c r="U36" s="83"/>
      <c r="V36" s="83"/>
      <c r="W36" s="83"/>
      <c r="X36" s="83"/>
      <c r="Y36" s="5"/>
    </row>
    <row r="37" spans="1:25" ht="68.25" hidden="1" customHeight="1" outlineLevel="1">
      <c r="A37" s="1"/>
      <c r="B37" s="1"/>
      <c r="C37" s="9"/>
      <c r="D37" s="212" t="s">
        <v>57</v>
      </c>
      <c r="E37" s="213"/>
      <c r="F37" s="84" t="s">
        <v>58</v>
      </c>
      <c r="G37" s="85" t="s">
        <v>59</v>
      </c>
      <c r="H37" s="85" t="str">
        <f>"HON.CONTRATUAIS " &amp; IF(V8="Sim", TEXT(V9,"0%"), "")</f>
        <v>HON.CONTRATUAIS 0%</v>
      </c>
      <c r="I37" s="85" t="str">
        <f>"HON.SUCUMBÊNCIA " &amp; IF(V8="Sim", TEXT(V9,"0%"), "")</f>
        <v>HON.SUCUMBÊNCIA 0%</v>
      </c>
      <c r="J37" s="85" t="s">
        <v>60</v>
      </c>
      <c r="K37" s="85" t="s">
        <v>61</v>
      </c>
      <c r="L37" s="85" t="s">
        <v>62</v>
      </c>
      <c r="M37" s="85" t="s">
        <v>63</v>
      </c>
      <c r="N37" s="4"/>
      <c r="O37" s="1"/>
      <c r="P37" s="5"/>
      <c r="Q37" s="5"/>
      <c r="R37" s="5"/>
      <c r="S37" s="83"/>
      <c r="T37" s="83"/>
      <c r="U37" s="83"/>
      <c r="V37" s="83"/>
      <c r="W37" s="83"/>
      <c r="X37" s="83"/>
      <c r="Y37" s="5"/>
    </row>
    <row r="38" spans="1:25" ht="29.25" hidden="1" customHeight="1" outlineLevel="1">
      <c r="A38" s="1"/>
      <c r="B38" s="1"/>
      <c r="C38" s="9"/>
      <c r="D38" s="214"/>
      <c r="E38" s="215"/>
      <c r="F38" s="86"/>
      <c r="G38" s="87">
        <f>$L$21*F38</f>
        <v>0</v>
      </c>
      <c r="H38" s="87">
        <f>IF($R$8="Sim",G38*$R$9,0)</f>
        <v>0</v>
      </c>
      <c r="I38" s="87">
        <f>IF($V$8="Sim",F38*$V$9,0)</f>
        <v>0</v>
      </c>
      <c r="J38" s="87">
        <f>G38-H38-I38</f>
        <v>0</v>
      </c>
      <c r="K38" s="87" t="e">
        <f>$X$57</f>
        <v>#DIV/0!</v>
      </c>
      <c r="L38" s="87" t="e">
        <f>F38*$U$77</f>
        <v>#DIV/0!</v>
      </c>
      <c r="M38" s="88" t="e">
        <f>$U$73*F38</f>
        <v>#DIV/0!</v>
      </c>
      <c r="N38" s="4"/>
      <c r="O38" s="1"/>
      <c r="P38" s="5"/>
      <c r="Q38" s="5"/>
      <c r="R38" s="5"/>
      <c r="S38" s="83"/>
      <c r="T38" s="83"/>
      <c r="U38" s="83"/>
      <c r="V38" s="83"/>
      <c r="W38" s="83"/>
      <c r="X38" s="83"/>
      <c r="Y38" s="5"/>
    </row>
    <row r="39" spans="1:25" ht="29.25" hidden="1" customHeight="1" outlineLevel="1">
      <c r="A39" s="1"/>
      <c r="B39" s="1"/>
      <c r="C39" s="9"/>
      <c r="D39" s="214"/>
      <c r="E39" s="215"/>
      <c r="F39" s="86"/>
      <c r="G39" s="87">
        <f>$L$21*F39</f>
        <v>0</v>
      </c>
      <c r="H39" s="87">
        <f>IF($R$8="Sim",G39*$R$9,0)</f>
        <v>0</v>
      </c>
      <c r="I39" s="87">
        <f>IF($V$8="Sim",F39*$V$9,0)</f>
        <v>0</v>
      </c>
      <c r="J39" s="87">
        <f>G39-H39-I39</f>
        <v>0</v>
      </c>
      <c r="K39" s="87" t="e">
        <f>$X$57</f>
        <v>#DIV/0!</v>
      </c>
      <c r="L39" s="87" t="e">
        <f>F39*$U$77</f>
        <v>#DIV/0!</v>
      </c>
      <c r="M39" s="88" t="e">
        <f>$U$73*F39</f>
        <v>#DIV/0!</v>
      </c>
      <c r="N39" s="4"/>
      <c r="O39" s="1"/>
      <c r="P39" s="5"/>
      <c r="Q39" s="5"/>
      <c r="R39" s="5"/>
      <c r="S39" s="83"/>
      <c r="T39" s="83"/>
      <c r="U39" s="83"/>
      <c r="V39" s="83"/>
      <c r="W39" s="83"/>
      <c r="X39" s="83"/>
      <c r="Y39" s="5"/>
    </row>
    <row r="40" spans="1:25" ht="29.25" hidden="1" customHeight="1" outlineLevel="1">
      <c r="A40" s="1"/>
      <c r="B40" s="1"/>
      <c r="C40" s="9"/>
      <c r="D40" s="216" t="s">
        <v>64</v>
      </c>
      <c r="E40" s="217"/>
      <c r="F40" s="89">
        <f>SUM(F38:F39)</f>
        <v>0</v>
      </c>
      <c r="G40" s="90">
        <f>SUM(G38:G39)</f>
        <v>0</v>
      </c>
      <c r="H40" s="90">
        <f t="shared" ref="H40:I40" si="1">SUM(H38:H39)</f>
        <v>0</v>
      </c>
      <c r="I40" s="90">
        <f t="shared" si="1"/>
        <v>0</v>
      </c>
      <c r="J40" s="90">
        <f>SUM(J38:J39)</f>
        <v>0</v>
      </c>
      <c r="K40" s="90" t="e">
        <f>SUM(K38:K39)</f>
        <v>#DIV/0!</v>
      </c>
      <c r="L40" s="90" t="e">
        <f>SUM(L38:L39)</f>
        <v>#DIV/0!</v>
      </c>
      <c r="M40" s="91" t="e">
        <f>SUM(M38:M39)</f>
        <v>#DIV/0!</v>
      </c>
      <c r="N40" s="4"/>
      <c r="O40" s="1"/>
      <c r="P40" s="5"/>
      <c r="Q40" s="5"/>
      <c r="R40" s="5"/>
      <c r="S40" s="83"/>
      <c r="T40" s="83"/>
      <c r="U40" s="83"/>
      <c r="V40" s="83"/>
      <c r="W40" s="83"/>
      <c r="X40" s="83"/>
      <c r="Y40" s="5"/>
    </row>
    <row r="41" spans="1:25" ht="23.25" customHeight="1" collapsed="1">
      <c r="A41" s="1"/>
      <c r="B41" s="1"/>
      <c r="C41" s="9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"/>
      <c r="P41" s="5"/>
      <c r="Q41" s="5"/>
      <c r="R41" s="5"/>
      <c r="S41" s="83"/>
      <c r="T41" s="83"/>
      <c r="U41" s="83"/>
      <c r="V41" s="83"/>
      <c r="W41" s="83"/>
      <c r="X41" s="83"/>
      <c r="Y41" s="93"/>
    </row>
    <row r="42" spans="1:25" ht="64.5" customHeight="1">
      <c r="A42" s="1"/>
      <c r="B42" s="1"/>
      <c r="C42" s="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94" t="s">
        <v>65</v>
      </c>
      <c r="S42" s="95">
        <f>L21</f>
        <v>0</v>
      </c>
      <c r="T42" s="220" t="s">
        <v>66</v>
      </c>
      <c r="U42" s="220"/>
      <c r="V42" s="220"/>
      <c r="W42" s="83"/>
      <c r="X42" s="83"/>
      <c r="Y42" s="5"/>
    </row>
    <row r="43" spans="1:25" ht="48.75" customHeight="1">
      <c r="A43" s="1"/>
      <c r="B43" s="1"/>
      <c r="C43" s="9"/>
      <c r="D43" s="221" t="s">
        <v>67</v>
      </c>
      <c r="E43" s="221"/>
      <c r="F43" s="221"/>
      <c r="G43" s="221"/>
      <c r="H43" s="221"/>
      <c r="I43" s="221"/>
      <c r="J43" s="221"/>
      <c r="K43" s="4"/>
      <c r="L43" s="4"/>
      <c r="M43" s="4"/>
      <c r="N43" s="4"/>
      <c r="O43" s="1"/>
      <c r="P43" s="5"/>
      <c r="Q43" s="5"/>
      <c r="R43" s="96" t="s">
        <v>68</v>
      </c>
      <c r="S43" s="97" t="e">
        <f>ROUND(S42*S25,2)</f>
        <v>#DIV/0!</v>
      </c>
      <c r="T43" s="98" t="e">
        <f>ROUND($K$18*S43,2)</f>
        <v>#DIV/0!</v>
      </c>
      <c r="U43" s="99" t="e">
        <f>SUM(S43:T43)</f>
        <v>#DIV/0!</v>
      </c>
      <c r="V43" s="100" t="s">
        <v>69</v>
      </c>
      <c r="W43" s="83"/>
      <c r="X43" s="83"/>
      <c r="Y43" s="5"/>
    </row>
    <row r="44" spans="1:25" ht="23.25">
      <c r="A44" s="1"/>
      <c r="B44" s="1"/>
      <c r="C44" s="9"/>
      <c r="D44" s="218" t="s">
        <v>70</v>
      </c>
      <c r="E44" s="218"/>
      <c r="F44" s="101" t="s">
        <v>71</v>
      </c>
      <c r="G44" s="102" t="s">
        <v>72</v>
      </c>
      <c r="H44" s="103" t="s">
        <v>73</v>
      </c>
      <c r="I44" s="102" t="s">
        <v>74</v>
      </c>
      <c r="J44" s="102" t="s">
        <v>75</v>
      </c>
      <c r="K44" s="4"/>
      <c r="L44" s="4"/>
      <c r="M44" s="4"/>
      <c r="N44" s="4"/>
      <c r="O44" s="1"/>
      <c r="P44" s="5"/>
      <c r="Q44" s="5"/>
      <c r="R44" s="96" t="s">
        <v>76</v>
      </c>
      <c r="S44" s="97" t="e">
        <f>ROUND(U25*S42,2)</f>
        <v>#DIV/0!</v>
      </c>
      <c r="T44" s="98" t="e">
        <f>ROUND($K$18*S44,2)</f>
        <v>#DIV/0!</v>
      </c>
      <c r="U44" s="104" t="e">
        <f>SUM(S44:T44)</f>
        <v>#DIV/0!</v>
      </c>
      <c r="V44" s="105" t="s">
        <v>77</v>
      </c>
      <c r="W44" s="83"/>
      <c r="X44" s="83"/>
      <c r="Y44" s="5"/>
    </row>
    <row r="45" spans="1:25" ht="46.5" customHeight="1">
      <c r="A45" s="1"/>
      <c r="B45" s="1"/>
      <c r="C45" s="9"/>
      <c r="D45" s="219" t="str">
        <f>E10</f>
        <v>Digite Nome do Exequente</v>
      </c>
      <c r="E45" s="219"/>
      <c r="F45" s="106">
        <f>T52</f>
        <v>0</v>
      </c>
      <c r="G45" s="107" t="e">
        <f>T58</f>
        <v>#DIV/0!</v>
      </c>
      <c r="H45" s="107" t="e">
        <f>U77</f>
        <v>#DIV/0!</v>
      </c>
      <c r="I45" s="107" t="e">
        <f>F45-G45-H45</f>
        <v>#DIV/0!</v>
      </c>
      <c r="J45" s="108" t="e">
        <f>IF(V66="sim", U73, "-")</f>
        <v>#DIV/0!</v>
      </c>
      <c r="K45" s="4"/>
      <c r="L45" s="4"/>
      <c r="M45" s="4"/>
      <c r="N45" s="4"/>
      <c r="O45" s="1"/>
      <c r="P45" s="5"/>
      <c r="Q45" s="5"/>
      <c r="R45" s="96" t="s">
        <v>78</v>
      </c>
      <c r="S45" s="97" t="e">
        <f>ROUND(S42*W25,2)</f>
        <v>#DIV/0!</v>
      </c>
      <c r="T45" s="109" t="e">
        <f>SUM(T43:T44)</f>
        <v>#DIV/0!</v>
      </c>
      <c r="U45" s="110" t="e">
        <f>SUM(U43:U44)</f>
        <v>#DIV/0!</v>
      </c>
      <c r="V45" s="111" t="s">
        <v>79</v>
      </c>
      <c r="W45" s="83"/>
      <c r="X45" s="83"/>
      <c r="Y45" s="5"/>
    </row>
    <row r="46" spans="1:25" ht="52.5" customHeight="1">
      <c r="A46" s="1"/>
      <c r="B46" s="1"/>
      <c r="C46" s="9"/>
      <c r="D46" s="219" t="str">
        <f>TEXT(R10,"Texto")&amp;" (Honorários  Contratual)"</f>
        <v>Gabriel de Jesus Silva (Honorários  Contratual)</v>
      </c>
      <c r="E46" s="219"/>
      <c r="F46" s="106">
        <f>T49</f>
        <v>0</v>
      </c>
      <c r="G46" s="107">
        <v>0</v>
      </c>
      <c r="H46" s="107">
        <f>ROUND(IF(R11="cpf", IF(F46&gt;=[1]IR!$B$4,F46* [1]IR!$C$4-[1]IR!$D$4, IF(F46&gt;=[1]IR!$B$5,F46* [1]IR!$C$5-[1]IR!$D$5, IF(F46&gt;=[1]IR!$B$6,F46* [1]IR!$C$6-[1]IR!$D$6, IF(F46&gt;=[1]IR!$B$7,F46* [1]IR!$C$7-[1]IR!$D$7, 0)))), IF(R11="cnpj",F46* [1]IR!$C$10, "0")),2)</f>
        <v>0</v>
      </c>
      <c r="I46" s="107">
        <f>F46-G46-H46</f>
        <v>0</v>
      </c>
      <c r="J46" s="108" t="s">
        <v>39</v>
      </c>
      <c r="K46" s="4"/>
      <c r="L46" s="4"/>
      <c r="M46" s="4"/>
      <c r="N46" s="4"/>
      <c r="O46" s="1"/>
      <c r="P46" s="5"/>
      <c r="Q46" s="5"/>
      <c r="R46" s="112"/>
      <c r="S46" s="112"/>
      <c r="T46" s="112"/>
      <c r="U46" s="112"/>
      <c r="V46" s="83"/>
      <c r="W46" s="83"/>
      <c r="X46" s="83"/>
      <c r="Y46" s="5"/>
    </row>
    <row r="47" spans="1:25" ht="63.75" customHeight="1">
      <c r="A47" s="1"/>
      <c r="B47" s="1"/>
      <c r="C47" s="9"/>
      <c r="D47" s="219" t="str">
        <f>TEXT(V10,"Texto")&amp;" (Honorários de Sucumbência)"</f>
        <v>GABRIEL DE JESUS SILVA (Honorários de Sucumbência)</v>
      </c>
      <c r="E47" s="219"/>
      <c r="F47" s="106">
        <f>T51</f>
        <v>0</v>
      </c>
      <c r="G47" s="107">
        <v>0</v>
      </c>
      <c r="H47" s="107">
        <f>ROUND(IF(V11="cpf", IF(F47&gt;=[1]IR!$B$4,F47* [1]IR!$C$4-[1]IR!$D$4, IF(F47&gt;=[1]IR!$B$5,F47* [1]IR!$C$5-[1]IR!$D$5, IF(F47&gt;=[1]IR!$B$6,F47* [1]IR!$C$6-[1]IR!$D$6, IF(F47&gt;=[1]IR!$B$7,F47* [1]IR!$C$7-[1]IR!$D$7, 0)))), IF(V11="cnpj",F47* [1]IR!$C$10, "0")),2)</f>
        <v>0</v>
      </c>
      <c r="I47" s="107">
        <f>F47-G47-H47</f>
        <v>0</v>
      </c>
      <c r="J47" s="108" t="s">
        <v>39</v>
      </c>
      <c r="K47" s="4"/>
      <c r="L47" s="4"/>
      <c r="M47" s="4"/>
      <c r="N47" s="4"/>
      <c r="O47" s="1"/>
      <c r="P47" s="5"/>
      <c r="Q47" s="5"/>
      <c r="R47" s="113"/>
      <c r="S47" s="222" t="s">
        <v>80</v>
      </c>
      <c r="T47" s="222"/>
      <c r="U47" s="83"/>
      <c r="V47" s="83"/>
      <c r="W47" s="83"/>
      <c r="X47" s="83"/>
      <c r="Y47" s="5"/>
    </row>
    <row r="48" spans="1:25" ht="41.25" customHeight="1">
      <c r="A48" s="1"/>
      <c r="B48" s="1"/>
      <c r="C48" s="9"/>
      <c r="D48" s="211" t="s">
        <v>81</v>
      </c>
      <c r="E48" s="211"/>
      <c r="F48" s="90">
        <f t="shared" ref="F48" si="2">SUM(F45:F47)</f>
        <v>0</v>
      </c>
      <c r="G48" s="90" t="e">
        <f>SUM(G45:G47)</f>
        <v>#DIV/0!</v>
      </c>
      <c r="H48" s="90" t="e">
        <f>SUM(H45:H47)</f>
        <v>#DIV/0!</v>
      </c>
      <c r="I48" s="90" t="e">
        <f>SUM(I45:I47)</f>
        <v>#DIV/0!</v>
      </c>
      <c r="J48" s="90" t="s">
        <v>39</v>
      </c>
      <c r="K48" s="4"/>
      <c r="L48" s="4"/>
      <c r="M48" s="4"/>
      <c r="N48" s="4"/>
      <c r="O48" s="1"/>
      <c r="P48" s="5"/>
      <c r="Q48" s="5"/>
      <c r="R48" s="114"/>
      <c r="S48" s="115" t="s">
        <v>82</v>
      </c>
      <c r="T48" s="116">
        <f>S42</f>
        <v>0</v>
      </c>
      <c r="U48" s="83"/>
      <c r="V48" s="83"/>
      <c r="W48" s="83"/>
      <c r="X48" s="83"/>
      <c r="Y48" s="5"/>
    </row>
    <row r="49" spans="1:25" ht="23.25" customHeight="1">
      <c r="A49" s="1"/>
      <c r="B49" s="1"/>
      <c r="C49" s="9"/>
      <c r="D49" s="117"/>
      <c r="E49" s="117"/>
      <c r="F49" s="118"/>
      <c r="G49" s="117"/>
      <c r="H49" s="117"/>
      <c r="I49" s="117"/>
      <c r="J49" s="117"/>
      <c r="K49" s="4"/>
      <c r="L49" s="4"/>
      <c r="M49" s="4"/>
      <c r="N49" s="4"/>
      <c r="O49" s="1"/>
      <c r="P49" s="5"/>
      <c r="Q49" s="5"/>
      <c r="R49" s="114"/>
      <c r="S49" s="119" t="s">
        <v>83</v>
      </c>
      <c r="T49" s="120">
        <f>IF(R8="Sim",ROUND(T48*$R$9,2),T48*0)</f>
        <v>0</v>
      </c>
      <c r="U49" s="83"/>
      <c r="V49" s="83"/>
      <c r="W49" s="83"/>
      <c r="X49" s="121"/>
      <c r="Y49" s="5"/>
    </row>
    <row r="50" spans="1:25" ht="31.5" customHeight="1">
      <c r="A50" s="1"/>
      <c r="B50" s="1"/>
      <c r="C50" s="9"/>
      <c r="D50" s="12" t="str" cm="1">
        <f t="array" ref="D50">"Importa a presente conta o valor bruto de R$ " &amp; TEXT(ROUND($F$48,2), "#.##0,00") &amp; " (" &amp; PROPER(Converter_numero(ROUND($F$48,2))) &amp; ")"</f>
        <v>Importa a presente conta o valor bruto de R$ 0,00 ()</v>
      </c>
      <c r="E50" s="12"/>
      <c r="F50" s="122"/>
      <c r="G50" s="12"/>
      <c r="H50" s="12"/>
      <c r="I50" s="12"/>
      <c r="J50" s="14"/>
      <c r="K50" s="4"/>
      <c r="L50" s="4"/>
      <c r="M50" s="4"/>
      <c r="N50" s="4"/>
      <c r="O50" s="1"/>
      <c r="P50" s="5"/>
      <c r="Q50" s="5"/>
      <c r="R50" s="114"/>
      <c r="S50" s="119" t="s">
        <v>84</v>
      </c>
      <c r="T50" s="120">
        <v>0</v>
      </c>
      <c r="U50" s="83"/>
      <c r="V50" s="83"/>
      <c r="W50" s="83"/>
      <c r="X50" s="83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14"/>
      <c r="S51" s="123" t="s">
        <v>85</v>
      </c>
      <c r="T51" s="120">
        <f>IF(V8="Sim",ROUND(T48*$V$9,2),T48*0)</f>
        <v>0</v>
      </c>
      <c r="U51" s="83"/>
      <c r="V51" s="83"/>
      <c r="W51" s="83"/>
      <c r="X51" s="83"/>
      <c r="Y51" s="5"/>
    </row>
    <row r="52" spans="1:25" ht="23.25">
      <c r="A52" s="1"/>
      <c r="B52" s="1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14"/>
      <c r="S52" s="124" t="s">
        <v>86</v>
      </c>
      <c r="T52" s="125">
        <f>T48-SUM(T49:T50)</f>
        <v>0</v>
      </c>
      <c r="U52" s="83"/>
      <c r="V52" s="83"/>
      <c r="W52" s="83"/>
      <c r="X52" s="83"/>
      <c r="Y52" s="5"/>
    </row>
    <row r="53" spans="1:25" ht="23.25">
      <c r="A53" s="1"/>
      <c r="B53" s="1"/>
      <c r="C53" s="126" t="s">
        <v>87</v>
      </c>
      <c r="D53" s="12"/>
      <c r="E53" s="12"/>
      <c r="F53" s="12"/>
      <c r="G53" s="12"/>
      <c r="H53" s="12"/>
      <c r="I53" s="14"/>
      <c r="J53" s="14"/>
      <c r="K53" s="10"/>
      <c r="L53" s="3"/>
      <c r="M53" s="3"/>
      <c r="N53" s="4"/>
      <c r="O53" s="1"/>
      <c r="P53" s="5"/>
      <c r="Q53" s="5"/>
      <c r="R53" s="114"/>
      <c r="S53" s="112"/>
      <c r="T53" s="114"/>
      <c r="U53" s="83"/>
      <c r="V53" s="83"/>
      <c r="W53" s="83"/>
      <c r="X53" s="83"/>
      <c r="Y53" s="5"/>
    </row>
    <row r="54" spans="1:25" ht="28.5" customHeight="1">
      <c r="A54" s="1"/>
      <c r="B54" s="1"/>
      <c r="C54" s="81"/>
      <c r="D54" s="210" t="s">
        <v>88</v>
      </c>
      <c r="E54" s="210"/>
      <c r="F54" s="127" t="s">
        <v>89</v>
      </c>
      <c r="G54" s="81"/>
      <c r="H54" s="81"/>
      <c r="I54" s="12"/>
      <c r="J54" s="128"/>
      <c r="K54" s="10"/>
      <c r="L54" s="3"/>
      <c r="M54" s="4"/>
      <c r="N54" s="4"/>
      <c r="O54" s="1"/>
      <c r="P54" s="5"/>
      <c r="Q54" s="5"/>
      <c r="R54" s="114"/>
      <c r="S54" s="83"/>
      <c r="T54" s="83"/>
      <c r="U54" s="83"/>
      <c r="V54" s="83"/>
      <c r="W54" s="83"/>
      <c r="X54" s="83"/>
      <c r="Y54" s="5"/>
    </row>
    <row r="55" spans="1:25" ht="98.25" customHeight="1">
      <c r="A55" s="1"/>
      <c r="B55" s="1"/>
      <c r="C55" s="81"/>
      <c r="D55" s="129" t="s">
        <v>90</v>
      </c>
      <c r="E55" s="127" t="e">
        <f>U70</f>
        <v>#DIV/0!</v>
      </c>
      <c r="F55" s="130" t="e">
        <f>J45</f>
        <v>#DIV/0!</v>
      </c>
      <c r="G55" s="81"/>
      <c r="H55" s="131"/>
      <c r="I55" s="132"/>
      <c r="J55" s="128"/>
      <c r="K55" s="10"/>
      <c r="L55" s="3"/>
      <c r="M55" s="4"/>
      <c r="N55" s="4"/>
      <c r="O55" s="1"/>
      <c r="P55" s="5"/>
      <c r="Q55" s="5"/>
      <c r="R55" s="114"/>
      <c r="S55" s="133" t="s">
        <v>91</v>
      </c>
      <c r="T55" s="134" t="s">
        <v>5</v>
      </c>
      <c r="U55" s="135">
        <v>0.14000000000000001</v>
      </c>
      <c r="V55" s="136" t="s">
        <v>92</v>
      </c>
      <c r="W55" s="201" t="s">
        <v>93</v>
      </c>
      <c r="X55" s="202"/>
      <c r="Y55" s="5"/>
    </row>
    <row r="56" spans="1:25" ht="57.75" customHeight="1">
      <c r="A56" s="1"/>
      <c r="B56" s="1"/>
      <c r="C56" s="81"/>
      <c r="D56" s="129" t="s">
        <v>94</v>
      </c>
      <c r="E56" s="127" t="e">
        <f>T52-U70</f>
        <v>#DIV/0!</v>
      </c>
      <c r="F56" s="81"/>
      <c r="G56" s="81"/>
      <c r="H56" s="81"/>
      <c r="I56" s="12"/>
      <c r="J56" s="12"/>
      <c r="K56" s="10"/>
      <c r="L56" s="3"/>
      <c r="M56" s="4"/>
      <c r="N56" s="4"/>
      <c r="O56" s="1"/>
      <c r="P56" s="5"/>
      <c r="Q56" s="5"/>
      <c r="R56" s="114"/>
      <c r="S56" s="137" t="s">
        <v>95</v>
      </c>
      <c r="T56" s="138" t="e">
        <f>IF(T55="Sim", U43, "R$ 0,00")</f>
        <v>#DIV/0!</v>
      </c>
      <c r="U56" s="5"/>
      <c r="V56" s="5"/>
      <c r="W56" s="139" t="s">
        <v>96</v>
      </c>
      <c r="X56" s="140" t="e">
        <f>T58</f>
        <v>#DIV/0!</v>
      </c>
      <c r="Y56" s="5"/>
    </row>
    <row r="57" spans="1:25" ht="63.75" customHeight="1">
      <c r="A57" s="1"/>
      <c r="B57" s="1"/>
      <c r="C57" s="81"/>
      <c r="D57" s="129" t="s">
        <v>97</v>
      </c>
      <c r="E57" s="127">
        <v>0</v>
      </c>
      <c r="F57" s="81"/>
      <c r="G57" s="81"/>
      <c r="H57" s="81"/>
      <c r="I57" s="12"/>
      <c r="J57" s="12"/>
      <c r="K57" s="10"/>
      <c r="L57" s="3"/>
      <c r="M57" s="4"/>
      <c r="N57" s="4"/>
      <c r="O57" s="1"/>
      <c r="P57" s="5"/>
      <c r="Q57" s="5"/>
      <c r="R57" s="114"/>
      <c r="S57" s="137" t="str">
        <f>CONCATENATE("Aliquota ", TEXT(U55, "0%"))</f>
        <v>Aliquota 14%</v>
      </c>
      <c r="T57" s="138" t="e">
        <f>ROUND(T56*U55,2)</f>
        <v>#DIV/0!</v>
      </c>
      <c r="U57" s="5"/>
      <c r="V57" s="5"/>
      <c r="W57" s="141" t="s">
        <v>98</v>
      </c>
      <c r="X57" s="140" t="e">
        <f>X56/2</f>
        <v>#DIV/0!</v>
      </c>
      <c r="Y57" s="5"/>
    </row>
    <row r="58" spans="1:25" ht="39.75" customHeight="1">
      <c r="A58" s="1"/>
      <c r="B58" s="1"/>
      <c r="C58" s="81"/>
      <c r="E58" s="81"/>
      <c r="F58" s="81"/>
      <c r="G58" s="81"/>
      <c r="H58" s="81"/>
      <c r="I58" s="12"/>
      <c r="J58" s="12"/>
      <c r="K58" s="10"/>
      <c r="L58" s="3"/>
      <c r="M58" s="4"/>
      <c r="N58" s="4"/>
      <c r="O58" s="1"/>
      <c r="P58" s="5"/>
      <c r="Q58" s="5"/>
      <c r="R58" s="114"/>
      <c r="S58" s="142" t="s">
        <v>71</v>
      </c>
      <c r="T58" s="143" t="e">
        <f>T57</f>
        <v>#DIV/0!</v>
      </c>
      <c r="U58" s="5"/>
      <c r="V58" s="5"/>
      <c r="W58" s="144" t="s">
        <v>99</v>
      </c>
      <c r="X58" s="145">
        <f>G38</f>
        <v>0</v>
      </c>
      <c r="Y58" s="5"/>
    </row>
    <row r="59" spans="1:25" ht="46.5">
      <c r="A59" s="1"/>
      <c r="B59" s="1"/>
      <c r="C59" s="81"/>
      <c r="D59" s="81" t="s">
        <v>100</v>
      </c>
      <c r="E59" s="81"/>
      <c r="F59" s="146"/>
      <c r="G59" s="81"/>
      <c r="H59" s="81"/>
      <c r="I59" s="12"/>
      <c r="J59" s="12"/>
      <c r="K59" s="10"/>
      <c r="L59" s="3"/>
      <c r="M59" s="4"/>
      <c r="N59" s="4"/>
      <c r="O59" s="1"/>
      <c r="P59" s="5"/>
      <c r="Q59" s="5"/>
      <c r="R59" s="114"/>
      <c r="S59" s="5"/>
      <c r="T59" s="5"/>
      <c r="U59" s="5"/>
      <c r="V59" s="147"/>
      <c r="W59" s="144" t="s">
        <v>101</v>
      </c>
      <c r="X59" s="145">
        <f>S42</f>
        <v>0</v>
      </c>
      <c r="Y59" s="5"/>
    </row>
    <row r="60" spans="1:25" ht="46.5">
      <c r="A60" s="1"/>
      <c r="B60" s="1"/>
      <c r="C60" s="81"/>
      <c r="D60" s="148" t="s">
        <v>102</v>
      </c>
      <c r="E60" s="81"/>
      <c r="F60" s="146"/>
      <c r="G60" s="81"/>
      <c r="H60" s="81"/>
      <c r="I60" s="12"/>
      <c r="J60" s="12"/>
      <c r="K60" s="10"/>
      <c r="L60" s="3"/>
      <c r="M60" s="4"/>
      <c r="N60" s="4"/>
      <c r="O60" s="1"/>
      <c r="P60" s="5"/>
      <c r="Q60" s="5"/>
      <c r="R60" s="114"/>
      <c r="S60" s="203" t="s">
        <v>75</v>
      </c>
      <c r="T60" s="203"/>
      <c r="U60" s="112"/>
      <c r="V60" s="83"/>
      <c r="W60" s="149" t="s">
        <v>103</v>
      </c>
      <c r="X60" s="150" t="e">
        <f>X59*X57/X58</f>
        <v>#DIV/0!</v>
      </c>
      <c r="Y60" s="5"/>
    </row>
    <row r="61" spans="1:25" ht="23.25">
      <c r="A61" s="1"/>
      <c r="B61" s="1"/>
      <c r="C61" s="81"/>
      <c r="D61" s="148" t="s">
        <v>104</v>
      </c>
      <c r="E61" s="81"/>
      <c r="F61" s="146"/>
      <c r="G61" s="81"/>
      <c r="H61" s="81"/>
      <c r="I61" s="117"/>
      <c r="J61" s="117"/>
      <c r="K61" s="117"/>
      <c r="L61" s="117"/>
      <c r="M61" s="4"/>
      <c r="N61" s="4"/>
      <c r="O61" s="1"/>
      <c r="P61" s="5"/>
      <c r="Q61" s="5"/>
      <c r="R61" s="83"/>
      <c r="S61" s="151">
        <f>(IF(V66="Sim",R24,0))</f>
        <v>0</v>
      </c>
      <c r="T61" s="152">
        <v>61</v>
      </c>
      <c r="U61" s="83"/>
      <c r="V61" s="83"/>
      <c r="W61" s="83"/>
      <c r="X61" s="83"/>
      <c r="Y61" s="5"/>
    </row>
    <row r="62" spans="1:25" ht="26.25">
      <c r="A62" s="1"/>
      <c r="B62" s="1"/>
      <c r="C62" s="81"/>
      <c r="D62" s="81" t="s">
        <v>105</v>
      </c>
      <c r="E62" s="81"/>
      <c r="F62" s="146"/>
      <c r="G62" s="81"/>
      <c r="H62" s="81"/>
      <c r="I62" s="117"/>
      <c r="J62" s="117"/>
      <c r="K62" s="117"/>
      <c r="L62" s="117"/>
      <c r="M62" s="4"/>
      <c r="N62" s="4"/>
      <c r="O62" s="1"/>
      <c r="P62" s="5"/>
      <c r="Q62" s="5"/>
      <c r="R62" s="114"/>
      <c r="S62" s="151">
        <f>T48</f>
        <v>0</v>
      </c>
      <c r="T62" s="153" t="s">
        <v>106</v>
      </c>
      <c r="U62" s="83"/>
      <c r="V62" s="83"/>
      <c r="W62" s="83"/>
      <c r="X62" s="83"/>
      <c r="Y62" s="5"/>
    </row>
    <row r="63" spans="1:25" ht="23.25">
      <c r="A63" s="1"/>
      <c r="B63" s="1"/>
      <c r="C63" s="81"/>
      <c r="D63" s="81" t="s">
        <v>107</v>
      </c>
      <c r="E63" s="81"/>
      <c r="F63" s="146"/>
      <c r="G63" s="81"/>
      <c r="H63" s="81"/>
      <c r="I63" s="117"/>
      <c r="J63" s="117"/>
      <c r="K63" s="117"/>
      <c r="L63" s="117"/>
      <c r="M63" s="4"/>
      <c r="N63" s="4"/>
      <c r="O63" s="1"/>
      <c r="P63" s="5"/>
      <c r="Q63" s="5"/>
      <c r="R63" s="114"/>
      <c r="S63" s="154"/>
      <c r="T63" s="155" t="e">
        <f>ROUND((S62*T61)/S61,0)</f>
        <v>#DIV/0!</v>
      </c>
      <c r="U63" s="83"/>
      <c r="V63" s="83"/>
      <c r="W63" s="83"/>
      <c r="X63" s="83"/>
      <c r="Y63" s="5"/>
    </row>
    <row r="64" spans="1:25" ht="23.25">
      <c r="A64" s="1"/>
      <c r="B64" s="1"/>
      <c r="C64" s="81"/>
      <c r="D64" s="81" t="s">
        <v>108</v>
      </c>
      <c r="E64" s="81"/>
      <c r="F64" s="146"/>
      <c r="G64" s="81"/>
      <c r="H64" s="81"/>
      <c r="I64" s="117"/>
      <c r="J64" s="117"/>
      <c r="K64" s="117"/>
      <c r="L64" s="117"/>
      <c r="M64" s="4"/>
      <c r="N64" s="4"/>
      <c r="O64" s="1"/>
      <c r="P64" s="5"/>
      <c r="Q64" s="5"/>
      <c r="R64" s="114"/>
      <c r="S64" s="83"/>
      <c r="T64" s="83"/>
      <c r="U64" s="83"/>
      <c r="V64" s="83"/>
      <c r="W64" s="83"/>
      <c r="X64" s="83"/>
      <c r="Y64" s="5"/>
    </row>
    <row r="65" spans="1:25" ht="23.25">
      <c r="A65" s="1"/>
      <c r="B65" s="1"/>
      <c r="C65" s="156"/>
      <c r="D65" s="81" t="s">
        <v>109</v>
      </c>
      <c r="E65" s="81"/>
      <c r="F65" s="81"/>
      <c r="G65" s="81"/>
      <c r="H65" s="12"/>
      <c r="I65" s="12"/>
      <c r="J65" s="12"/>
      <c r="K65" s="10"/>
      <c r="L65" s="3"/>
      <c r="M65" s="4"/>
      <c r="N65" s="4"/>
      <c r="O65" s="1"/>
      <c r="P65" s="5"/>
      <c r="Q65" s="5"/>
      <c r="R65" s="83"/>
      <c r="S65" s="83"/>
      <c r="T65" s="83"/>
      <c r="U65" s="83"/>
      <c r="V65" s="83"/>
      <c r="W65" s="83"/>
      <c r="X65" s="83"/>
      <c r="Y65" s="5"/>
    </row>
    <row r="66" spans="1:25" ht="23.25">
      <c r="A66" s="1"/>
      <c r="B66" s="1"/>
      <c r="C66" s="156"/>
      <c r="D66" s="157" t="s">
        <v>110</v>
      </c>
      <c r="E66" s="81"/>
      <c r="F66" s="81"/>
      <c r="G66" s="81"/>
      <c r="H66" s="12"/>
      <c r="I66" s="12"/>
      <c r="J66" s="12"/>
      <c r="K66" s="10"/>
      <c r="L66" s="3"/>
      <c r="M66" s="4"/>
      <c r="N66" s="4"/>
      <c r="O66" s="1"/>
      <c r="P66" s="5"/>
      <c r="Q66" s="5"/>
      <c r="R66" s="5"/>
      <c r="S66" s="204" t="s">
        <v>111</v>
      </c>
      <c r="T66" s="158" t="s">
        <v>112</v>
      </c>
      <c r="U66" s="159" t="e">
        <f>U43</f>
        <v>#DIV/0!</v>
      </c>
      <c r="V66" s="205" t="s">
        <v>5</v>
      </c>
      <c r="W66" s="83"/>
      <c r="X66" s="83"/>
      <c r="Y66" s="5"/>
    </row>
    <row r="67" spans="1:25" ht="69.75">
      <c r="A67" s="1"/>
      <c r="B67" s="1"/>
      <c r="C67" s="156"/>
      <c r="D67" s="157" t="s">
        <v>113</v>
      </c>
      <c r="E67" s="81"/>
      <c r="F67" s="81"/>
      <c r="G67" s="81"/>
      <c r="H67" s="12"/>
      <c r="I67" s="12"/>
      <c r="J67" s="12"/>
      <c r="K67" s="12"/>
      <c r="L67" s="3"/>
      <c r="M67" s="4"/>
      <c r="N67" s="4"/>
      <c r="O67" s="1"/>
      <c r="P67" s="5"/>
      <c r="Q67" s="5"/>
      <c r="R67" s="5"/>
      <c r="S67" s="204"/>
      <c r="T67" s="160" t="s">
        <v>114</v>
      </c>
      <c r="U67" s="161">
        <v>0</v>
      </c>
      <c r="V67" s="205"/>
      <c r="W67" s="83"/>
      <c r="X67" s="83"/>
      <c r="Y67" s="5"/>
    </row>
    <row r="68" spans="1:25" ht="23.25">
      <c r="A68" s="1"/>
      <c r="B68" s="1"/>
      <c r="C68" s="156"/>
      <c r="D68" s="157" t="s">
        <v>115</v>
      </c>
      <c r="E68" s="81"/>
      <c r="F68" s="81"/>
      <c r="G68" s="81"/>
      <c r="H68" s="12"/>
      <c r="I68" s="12"/>
      <c r="J68" s="12"/>
      <c r="K68" s="12"/>
      <c r="L68" s="3"/>
      <c r="M68" s="4"/>
      <c r="N68" s="4"/>
      <c r="O68" s="1"/>
      <c r="P68" s="5"/>
      <c r="Q68" s="5"/>
      <c r="R68" s="114"/>
      <c r="S68" s="162" t="s">
        <v>116</v>
      </c>
      <c r="T68" s="163"/>
      <c r="U68" s="164" t="e">
        <f>IF(R8="sim",R9*(U66+U67),0)</f>
        <v>#DIV/0!</v>
      </c>
      <c r="V68" s="165"/>
      <c r="W68" s="83"/>
      <c r="X68" s="83"/>
      <c r="Y68" s="5"/>
    </row>
    <row r="69" spans="1:25" ht="23.25">
      <c r="A69" s="1"/>
      <c r="B69" s="1"/>
      <c r="C69" s="156"/>
      <c r="D69" s="157" t="s">
        <v>117</v>
      </c>
      <c r="E69" s="81"/>
      <c r="F69" s="81"/>
      <c r="G69" s="81"/>
      <c r="H69" s="12"/>
      <c r="I69" s="12"/>
      <c r="J69" s="12"/>
      <c r="K69" s="12"/>
      <c r="L69" s="3"/>
      <c r="M69" s="4"/>
      <c r="N69" s="4"/>
      <c r="O69" s="1"/>
      <c r="P69" s="5"/>
      <c r="Q69" s="5"/>
      <c r="R69" s="114"/>
      <c r="S69" s="166" t="s">
        <v>118</v>
      </c>
      <c r="T69" s="147"/>
      <c r="U69" s="167">
        <v>0</v>
      </c>
      <c r="V69" s="165"/>
      <c r="W69" s="83"/>
      <c r="X69" s="83"/>
      <c r="Y69" s="5"/>
    </row>
    <row r="70" spans="1:25" ht="23.25">
      <c r="A70" s="1"/>
      <c r="B70" s="1"/>
      <c r="C70" s="156"/>
      <c r="D70" s="157" t="s">
        <v>119</v>
      </c>
      <c r="E70" s="81"/>
      <c r="F70" s="81"/>
      <c r="G70" s="81"/>
      <c r="H70" s="12"/>
      <c r="I70" s="12"/>
      <c r="J70" s="12"/>
      <c r="K70" s="12"/>
      <c r="L70" s="3"/>
      <c r="M70" s="4"/>
      <c r="N70" s="4"/>
      <c r="O70" s="1"/>
      <c r="P70" s="5"/>
      <c r="Q70" s="5"/>
      <c r="R70" s="114"/>
      <c r="S70" s="168" t="s">
        <v>120</v>
      </c>
      <c r="T70" s="83"/>
      <c r="U70" s="169" t="e">
        <f>U66-U67-U68-U69</f>
        <v>#DIV/0!</v>
      </c>
      <c r="V70" s="165"/>
      <c r="W70" s="83"/>
      <c r="X70" s="83"/>
      <c r="Y70" s="5"/>
    </row>
    <row r="71" spans="1:25" ht="23.25">
      <c r="A71" s="1"/>
      <c r="B71" s="1"/>
      <c r="C71" s="157"/>
      <c r="D71" s="157" t="e">
        <f>CONCATENATE("Faixa ", IF(U77=0, "Isenta", U75*100), ". RRA Total: ", T61,". RRA do pagamento: ", Z103)</f>
        <v>#DIV/0!</v>
      </c>
      <c r="E71" s="81"/>
      <c r="F71" s="81"/>
      <c r="G71" s="146"/>
      <c r="H71" s="12"/>
      <c r="I71" s="12"/>
      <c r="J71" s="12"/>
      <c r="K71" s="12"/>
      <c r="L71" s="156"/>
      <c r="M71" s="4"/>
      <c r="N71" s="4"/>
      <c r="O71" s="1"/>
      <c r="P71" s="5"/>
      <c r="Q71" s="5"/>
      <c r="R71" s="114"/>
      <c r="S71" s="170" t="s">
        <v>121</v>
      </c>
      <c r="T71" s="83"/>
      <c r="U71" s="169" t="e">
        <f>T58</f>
        <v>#DIV/0!</v>
      </c>
      <c r="V71" s="171"/>
      <c r="W71" s="83"/>
      <c r="X71" s="83"/>
      <c r="Y71" s="5"/>
    </row>
    <row r="72" spans="1:25" ht="23.25">
      <c r="A72" s="1"/>
      <c r="B72" s="1"/>
      <c r="C72" s="12"/>
      <c r="D72" s="157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2" s="81"/>
      <c r="F72" s="81"/>
      <c r="G72" s="146"/>
      <c r="H72" s="12"/>
      <c r="I72" s="12"/>
      <c r="J72" s="12"/>
      <c r="K72" s="12"/>
      <c r="L72" s="156"/>
      <c r="M72" s="4"/>
      <c r="N72" s="4"/>
      <c r="O72" s="1"/>
      <c r="P72" s="5"/>
      <c r="Q72" s="5"/>
      <c r="R72" s="83"/>
      <c r="S72" s="172" t="s">
        <v>122</v>
      </c>
      <c r="T72" s="173"/>
      <c r="U72" s="174" t="e">
        <f>U70-U71</f>
        <v>#DIV/0!</v>
      </c>
      <c r="V72" s="175"/>
      <c r="W72" s="83"/>
      <c r="X72" s="83"/>
      <c r="Y72" s="5"/>
    </row>
    <row r="73" spans="1:25" ht="23.25">
      <c r="A73" s="1"/>
      <c r="B73" s="1"/>
      <c r="C73" s="12"/>
      <c r="D73" s="176" t="str">
        <f>IF(R8="Não", "", IF(R11="cpf", "Alíquota: " &amp; IF(F46&gt;=[1]IR!$B$4, [1]IR!$C$4*100 &amp;"%", IF(F46&gt;=[1]IR!$B$5, [1]IR!$C$5*100 &amp;"%", IF(F46&gt;=[1]IR!$B$6, [1]IR!$C$6*100 &amp;"%", IF(F46&gt;=[1]IR!$B$7, [1]IR!$C$7*100, "Isento")))), IF(R11="cnpj", "Alíquota: " &amp; [1]IR!$C$10*100 &amp;"%", "Escolha Inválida")))</f>
        <v>Alíquota: 1,5%</v>
      </c>
      <c r="E73" s="81"/>
      <c r="F73" s="81"/>
      <c r="G73" s="146"/>
      <c r="H73" s="12"/>
      <c r="I73" s="12"/>
      <c r="J73" s="12"/>
      <c r="K73" s="12"/>
      <c r="L73" s="156"/>
      <c r="M73" s="4"/>
      <c r="N73" s="4"/>
      <c r="O73" s="1"/>
      <c r="P73" s="5"/>
      <c r="Q73" s="5"/>
      <c r="R73" s="83"/>
      <c r="S73" s="166" t="s">
        <v>75</v>
      </c>
      <c r="T73" s="147"/>
      <c r="U73" s="177" t="e">
        <f>ROUND(T63,0)</f>
        <v>#DIV/0!</v>
      </c>
      <c r="V73" s="165"/>
      <c r="W73" s="83"/>
      <c r="X73" s="83"/>
      <c r="Y73" s="5"/>
    </row>
    <row r="74" spans="1:25" ht="23.25">
      <c r="A74" s="1"/>
      <c r="B74" s="1"/>
      <c r="C74" s="1"/>
      <c r="D74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"/>
      <c r="R74" s="5"/>
      <c r="S74" s="166" t="s">
        <v>123</v>
      </c>
      <c r="T74" s="147"/>
      <c r="U74" s="167" t="e">
        <f>U72/U73</f>
        <v>#DIV/0!</v>
      </c>
      <c r="V74" s="178"/>
      <c r="W74" s="83"/>
      <c r="X74" s="83"/>
      <c r="Y74" s="5"/>
    </row>
    <row r="75" spans="1:25" ht="23.25">
      <c r="A75" s="1"/>
      <c r="B75" s="1"/>
      <c r="C75" s="1"/>
      <c r="D75" s="179" t="str">
        <f>IF(V8="Não", "", IF(V11="cpf", "Alíquota: " &amp; IF(F47&gt;=[1]IR!$B$4, [1]IR!$C$4*100 &amp;"%", IF(F47&gt;=[1]IR!$B$5, [1]IR!$C$5*100 &amp;"%", IF(F47&gt;=[1]IR!$B$6, [1]IR!$C$6*100 &amp;"%", IF(F47&gt;=[1]IR!$B$7, [1]IR!$C$7*100 &amp;"%", "Isento")))), IF(V11="cnpj", "Alíquota: " &amp; [1]IR!$C$10*100 &amp;"%", "Escolha Inválida")))</f>
        <v>Alíquota: Isento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45"/>
      <c r="R75" s="5"/>
      <c r="S75" s="166" t="s">
        <v>124</v>
      </c>
      <c r="T75" s="147"/>
      <c r="U75" s="180" t="e">
        <f>IF(U74&gt;=[1]IR!$B$4, [1]IR!$C$4, IF(U74&gt;=[1]IR!$B$5, [1]IR!$C$5, IF(U74&gt;=[1]IR!$B$6, [1]IR!$C$6, IF(U74&gt;=[1]IR!$B$7, [1]IR!$C$7, [1]IR!$C$8))))</f>
        <v>#DIV/0!</v>
      </c>
      <c r="V75" s="165"/>
      <c r="W75" s="83"/>
      <c r="X75" s="83"/>
      <c r="Y75" s="5"/>
    </row>
    <row r="76" spans="1:25" ht="23.25">
      <c r="A76" s="1"/>
      <c r="B76" s="1"/>
      <c r="C76" s="1"/>
      <c r="D76" s="181" t="str">
        <f>IF(R24-T48=0,"9-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182"/>
      <c r="R76" s="5"/>
      <c r="S76" s="166" t="s">
        <v>125</v>
      </c>
      <c r="T76" s="147"/>
      <c r="U76" s="167" t="e">
        <f>IF(U75=[1]IR!$C$7, U74*U75-[1]IR!$D$7, IF(U75=[1]IR!$C$6, U74*U75-[1]IR!$D$6, IF(U75=[1]IR!$C$5, U74*U75-[1]IR!$D$5, IF(U75=[1]IR!$C$4, U74*U75-[1]IR!$D$4, [1]IR!$D$8))))</f>
        <v>#DIV/0!</v>
      </c>
      <c r="V76" s="165"/>
      <c r="W76" s="83"/>
      <c r="X76" s="83"/>
      <c r="Y76" s="5"/>
    </row>
    <row r="77" spans="1:25" ht="23.25">
      <c r="A77" s="1"/>
      <c r="B77" s="1"/>
      <c r="C77" s="1"/>
      <c r="D77" s="2"/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83" t="s">
        <v>126</v>
      </c>
      <c r="T77" s="184" t="e">
        <f>"(" &amp; U73 &amp; " meses)"</f>
        <v>#DIV/0!</v>
      </c>
      <c r="U77" s="185" t="e">
        <f>IF(V66="sim", ROUND(U76*U73,2), 0)</f>
        <v>#DIV/0!</v>
      </c>
      <c r="V77" s="165"/>
      <c r="W77" s="83"/>
      <c r="X77" s="83"/>
      <c r="Y77" s="5"/>
    </row>
    <row r="78" spans="1:25" ht="23.25">
      <c r="A78" s="1"/>
      <c r="B78" s="1"/>
      <c r="C78" s="186"/>
      <c r="D78" s="2"/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83"/>
      <c r="T78" s="83"/>
      <c r="U78" s="83"/>
      <c r="V78" s="83"/>
      <c r="W78" s="83"/>
      <c r="X78" s="83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206" t="s">
        <v>127</v>
      </c>
      <c r="S79" s="207"/>
      <c r="T79" s="207"/>
      <c r="U79" s="207"/>
      <c r="V79" s="208"/>
      <c r="W79" s="5"/>
      <c r="X79" s="83"/>
      <c r="Y79" s="5"/>
    </row>
    <row r="80" spans="1:25" ht="23.25">
      <c r="A80" s="1"/>
      <c r="B80" s="1"/>
      <c r="C80" s="2"/>
      <c r="D80" s="209" t="str">
        <f ca="1">"Teresina, " &amp; TEXT(TODAY(), "dd") &amp; " de " &amp; TEXT(TODAY(), "mmmm") &amp; " de " &amp; TEXT(TODAY(), "aaaa")</f>
        <v>Teresina, 22 de fevereiro de 2025</v>
      </c>
      <c r="E80" s="209"/>
      <c r="F80" s="209"/>
      <c r="G80" s="209"/>
      <c r="H80" s="209"/>
      <c r="I80" s="209"/>
      <c r="J80" s="209"/>
      <c r="K80" s="209"/>
      <c r="L80" s="209"/>
      <c r="M80" s="209"/>
      <c r="N80" s="4"/>
      <c r="O80" s="1"/>
      <c r="P80" s="5"/>
      <c r="Q80" s="5"/>
      <c r="R80" s="187">
        <f t="shared" ref="R80:U82" si="3">ROUND(F45,2)</f>
        <v>0</v>
      </c>
      <c r="S80" s="188" t="e">
        <f t="shared" si="3"/>
        <v>#DIV/0!</v>
      </c>
      <c r="T80" s="188" t="e">
        <f t="shared" si="3"/>
        <v>#DIV/0!</v>
      </c>
      <c r="U80" s="188" t="e">
        <f t="shared" si="3"/>
        <v>#DIV/0!</v>
      </c>
      <c r="V80" s="189" t="e">
        <f>F45-S80-T80-U80</f>
        <v>#DIV/0!</v>
      </c>
      <c r="W80" s="5"/>
      <c r="X80" s="83"/>
      <c r="Y80" s="5"/>
    </row>
    <row r="81" spans="1:25" ht="23.25">
      <c r="A81" s="1"/>
      <c r="B81" s="1"/>
      <c r="C81" s="2"/>
      <c r="D81" s="209" t="str">
        <f>[1]MENU!$AD$24</f>
        <v>Gabriel de Jesus Silva</v>
      </c>
      <c r="E81" s="209"/>
      <c r="F81" s="209"/>
      <c r="G81" s="209"/>
      <c r="H81" s="209"/>
      <c r="I81" s="209"/>
      <c r="J81" s="209"/>
      <c r="K81" s="209"/>
      <c r="L81" s="209"/>
      <c r="M81" s="209"/>
      <c r="N81" s="4"/>
      <c r="O81" s="1"/>
      <c r="P81" s="5"/>
      <c r="Q81" s="5"/>
      <c r="R81" s="187">
        <f t="shared" si="3"/>
        <v>0</v>
      </c>
      <c r="S81" s="188">
        <f t="shared" si="3"/>
        <v>0</v>
      </c>
      <c r="T81" s="188">
        <f t="shared" si="3"/>
        <v>0</v>
      </c>
      <c r="U81" s="188">
        <f t="shared" si="3"/>
        <v>0</v>
      </c>
      <c r="V81" s="189">
        <f>F46-S81-T81-U81</f>
        <v>0</v>
      </c>
      <c r="W81" s="5"/>
      <c r="X81" s="5"/>
      <c r="Y81" s="5"/>
    </row>
    <row r="82" spans="1:25" ht="23.25">
      <c r="A82" s="1"/>
      <c r="B82" s="1"/>
      <c r="C82" s="4"/>
      <c r="D82" s="209" t="str">
        <f>[1]MENU!$AD$25</f>
        <v>Servidor TJ/PI - Coordenadoria de Precatórios</v>
      </c>
      <c r="E82" s="209"/>
      <c r="F82" s="209"/>
      <c r="G82" s="209"/>
      <c r="H82" s="209"/>
      <c r="I82" s="209"/>
      <c r="J82" s="209"/>
      <c r="K82" s="209"/>
      <c r="L82" s="209"/>
      <c r="M82" s="209"/>
      <c r="N82" s="4"/>
      <c r="O82" s="1"/>
      <c r="P82" s="5"/>
      <c r="Q82" s="5"/>
      <c r="R82" s="187">
        <f t="shared" si="3"/>
        <v>0</v>
      </c>
      <c r="S82" s="188">
        <f t="shared" si="3"/>
        <v>0</v>
      </c>
      <c r="T82" s="188">
        <f t="shared" si="3"/>
        <v>0</v>
      </c>
      <c r="U82" s="188">
        <f t="shared" si="3"/>
        <v>0</v>
      </c>
      <c r="V82" s="189">
        <f>F47-S82-T82-U82</f>
        <v>0</v>
      </c>
      <c r="W82" s="5"/>
      <c r="X82" s="5"/>
      <c r="Y82" s="5"/>
    </row>
    <row r="83" spans="1:25" ht="23.25">
      <c r="A83" s="1"/>
      <c r="B83" s="1"/>
      <c r="C83" s="12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7">
        <f>SUM(R80:R82)</f>
        <v>0</v>
      </c>
      <c r="S83" s="188" t="e">
        <f t="shared" ref="S83:T83" si="4">SUM(S80:S82)</f>
        <v>#DIV/0!</v>
      </c>
      <c r="T83" s="188" t="e">
        <f t="shared" si="4"/>
        <v>#DIV/0!</v>
      </c>
      <c r="U83" s="188" t="e">
        <f>SUM(U80:U82)</f>
        <v>#DIV/0!</v>
      </c>
      <c r="V83" s="189" t="e">
        <f>F48-S83-T83-U83</f>
        <v>#DIV/0!</v>
      </c>
      <c r="W83" s="5"/>
      <c r="X83" s="5"/>
      <c r="Y83" s="5"/>
    </row>
    <row r="84" spans="1:25" ht="23.25">
      <c r="A84" s="1"/>
      <c r="B84" s="1"/>
      <c r="C84" s="12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90">
        <f>R83-F48</f>
        <v>0</v>
      </c>
      <c r="S84" s="191" t="e">
        <f>S83-G48</f>
        <v>#DIV/0!</v>
      </c>
      <c r="T84" s="191" t="e">
        <f>T83-H48</f>
        <v>#DIV/0!</v>
      </c>
      <c r="U84" s="191" t="e">
        <f>U83-I48</f>
        <v>#DIV/0!</v>
      </c>
      <c r="V84" s="192"/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5"/>
      <c r="R85" s="83"/>
      <c r="S85" s="83"/>
      <c r="T85" s="83"/>
      <c r="U85" s="83"/>
      <c r="V85" s="83"/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3"/>
      <c r="R86" s="83"/>
      <c r="S86" s="83"/>
      <c r="T86" s="83"/>
      <c r="U86" s="83"/>
      <c r="V86" s="83"/>
      <c r="W86" s="5"/>
      <c r="X86" s="5"/>
      <c r="Y86" s="5"/>
    </row>
    <row r="87" spans="1:25" ht="99" customHeight="1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93"/>
      <c r="R87" s="83"/>
      <c r="S87" s="83"/>
      <c r="T87" s="83"/>
      <c r="U87" s="83"/>
      <c r="V87" s="83"/>
      <c r="W87" s="5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194"/>
      <c r="R88" s="83"/>
      <c r="S88" s="83"/>
      <c r="T88" s="83"/>
      <c r="U88" s="83"/>
      <c r="V88" s="83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195"/>
      <c r="R89" s="83"/>
      <c r="S89" s="83"/>
      <c r="T89" s="83"/>
      <c r="U89" s="83"/>
      <c r="V89" s="83"/>
      <c r="W89" s="5"/>
      <c r="X89" s="5"/>
      <c r="Y89" s="5"/>
    </row>
    <row r="90" spans="1:25" ht="28.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83"/>
      <c r="S90" s="83"/>
      <c r="T90" s="83"/>
      <c r="U90" s="83"/>
      <c r="V90" s="83"/>
      <c r="W90" s="5"/>
      <c r="X90" s="5"/>
      <c r="Y90" s="5"/>
    </row>
    <row r="91" spans="1:25" ht="26.25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5"/>
      <c r="R91" s="83"/>
      <c r="S91" s="83"/>
      <c r="T91" s="83"/>
      <c r="U91" s="83"/>
      <c r="V91" s="83"/>
      <c r="W91" s="5"/>
      <c r="X91" s="5"/>
      <c r="Y91" s="5"/>
    </row>
    <row r="92" spans="1:25" ht="27" customHeight="1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5"/>
      <c r="R92" s="83"/>
      <c r="S92" s="83"/>
      <c r="T92" s="83"/>
      <c r="U92" s="83"/>
      <c r="V92" s="83"/>
      <c r="W92" s="5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5"/>
      <c r="X95" s="16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5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7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7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5"/>
      <c r="S100" s="165"/>
      <c r="T100" s="165"/>
      <c r="U100" s="165"/>
      <c r="V100" s="17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5"/>
      <c r="S101" s="165"/>
      <c r="T101" s="165"/>
      <c r="U101" s="165"/>
      <c r="V101" s="147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 t="e">
        <f>ROUND(T63,0)</f>
        <v>#DIV/0!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5"/>
      <c r="S105" s="165"/>
      <c r="T105" s="165"/>
      <c r="U105" s="165"/>
      <c r="V105" s="165"/>
      <c r="W105" s="165"/>
      <c r="X105" s="165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5"/>
      <c r="S106" s="165"/>
      <c r="T106" s="165"/>
      <c r="U106" s="165"/>
      <c r="V106" s="165"/>
      <c r="W106" s="165"/>
      <c r="X106" s="16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5"/>
      <c r="S107" s="165"/>
      <c r="T107" s="165"/>
      <c r="U107" s="165"/>
      <c r="V107" s="165"/>
      <c r="W107" s="165"/>
      <c r="X107" s="165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5"/>
      <c r="S108" s="165"/>
      <c r="T108" s="165"/>
      <c r="U108" s="165"/>
      <c r="V108" s="165"/>
      <c r="W108" s="165"/>
      <c r="X108" s="16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5"/>
      <c r="S109" s="165"/>
      <c r="T109" s="165"/>
      <c r="U109" s="165"/>
      <c r="V109" s="165"/>
      <c r="W109" s="165"/>
      <c r="X109" s="165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5"/>
      <c r="S110" s="165"/>
      <c r="T110" s="165"/>
      <c r="U110" s="165"/>
      <c r="V110" s="165"/>
      <c r="W110" s="165"/>
      <c r="X110" s="165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83"/>
      <c r="X111" s="83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96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0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7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98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199"/>
      <c r="D139" s="26"/>
      <c r="E139" s="26"/>
      <c r="F139" s="26"/>
      <c r="G139" s="26"/>
      <c r="H139" s="26"/>
      <c r="I139" s="26"/>
      <c r="J139" s="26"/>
      <c r="K139" s="199"/>
    </row>
    <row r="140" spans="1:25" ht="15.6" customHeight="1">
      <c r="C140" s="199"/>
      <c r="D140" s="26"/>
      <c r="E140" s="26"/>
      <c r="F140" s="26"/>
      <c r="G140" s="26"/>
      <c r="H140" s="26"/>
      <c r="I140" s="26"/>
      <c r="J140" s="26"/>
      <c r="K140" s="199"/>
    </row>
    <row r="141" spans="1:25" ht="15.6" customHeight="1">
      <c r="C141" s="199"/>
      <c r="D141" s="26"/>
      <c r="E141" s="26"/>
      <c r="F141" s="26"/>
      <c r="G141" s="26"/>
      <c r="H141" s="26"/>
      <c r="I141" s="26"/>
      <c r="J141" s="26"/>
      <c r="K141" s="199"/>
    </row>
    <row r="142" spans="1:25" ht="15.6" customHeight="1">
      <c r="C142" s="199"/>
      <c r="D142" s="26"/>
      <c r="E142" s="26"/>
      <c r="F142" s="26"/>
      <c r="G142" s="26"/>
      <c r="H142" s="26"/>
      <c r="I142" s="26"/>
      <c r="J142" s="26"/>
      <c r="K142" s="199"/>
    </row>
    <row r="143" spans="1:25" ht="15.6" customHeight="1">
      <c r="C143" s="199"/>
      <c r="D143" s="26"/>
      <c r="E143" s="26"/>
      <c r="F143" s="26"/>
      <c r="G143" s="26"/>
      <c r="H143" s="26"/>
      <c r="I143" s="26"/>
      <c r="J143" s="26"/>
      <c r="K143" s="199"/>
    </row>
    <row r="144" spans="1:25" ht="15.6" customHeight="1">
      <c r="C144" s="199"/>
      <c r="D144" s="26"/>
      <c r="E144" s="26"/>
      <c r="F144" s="26"/>
      <c r="G144" s="26"/>
      <c r="H144" s="26"/>
      <c r="I144" s="26"/>
      <c r="J144" s="26"/>
      <c r="K144" s="199"/>
    </row>
    <row r="145" spans="3:11" ht="15.6" customHeight="1">
      <c r="C145" s="199"/>
      <c r="D145" s="26"/>
      <c r="E145" s="26"/>
      <c r="F145" s="26"/>
      <c r="G145" s="26"/>
      <c r="H145" s="26"/>
      <c r="I145" s="26"/>
      <c r="J145" s="26"/>
      <c r="K145" s="199"/>
    </row>
    <row r="146" spans="3:11" ht="15.6" customHeight="1">
      <c r="C146" s="199"/>
      <c r="D146" s="26"/>
      <c r="E146" s="26"/>
      <c r="F146" s="26"/>
      <c r="G146" s="26"/>
      <c r="H146" s="26"/>
      <c r="I146" s="26"/>
      <c r="J146" s="26"/>
      <c r="K146" s="199"/>
    </row>
    <row r="147" spans="3:11" ht="15.6" customHeight="1">
      <c r="C147" s="199"/>
      <c r="D147" s="26"/>
      <c r="E147" s="26"/>
      <c r="F147" s="26"/>
      <c r="G147" s="26"/>
      <c r="H147" s="26"/>
      <c r="I147" s="26"/>
      <c r="J147" s="26"/>
      <c r="K147" s="199"/>
    </row>
    <row r="148" spans="3:11" ht="15.6" customHeight="1">
      <c r="C148" s="199"/>
      <c r="D148" s="26"/>
      <c r="E148" s="26"/>
      <c r="F148" s="26"/>
      <c r="G148" s="26"/>
      <c r="H148" s="26"/>
      <c r="I148" s="26"/>
      <c r="J148" s="26"/>
      <c r="K148" s="199"/>
    </row>
    <row r="149" spans="3:11" ht="15.6" customHeight="1">
      <c r="C149" s="199"/>
      <c r="D149" s="26"/>
      <c r="E149" s="26"/>
      <c r="F149" s="26"/>
      <c r="G149" s="26"/>
      <c r="H149" s="26"/>
      <c r="I149" s="26"/>
      <c r="J149" s="26"/>
      <c r="K149" s="199"/>
    </row>
    <row r="150" spans="3:11" ht="15.6" customHeight="1">
      <c r="C150" s="199"/>
      <c r="D150" s="26"/>
      <c r="E150" s="26"/>
      <c r="F150" s="26"/>
      <c r="G150" s="26"/>
      <c r="H150" s="26"/>
      <c r="I150" s="26"/>
      <c r="J150" s="26"/>
      <c r="K150" s="199"/>
    </row>
    <row r="151" spans="3:11" ht="15.6" customHeight="1">
      <c r="C151" s="199"/>
      <c r="D151" s="26"/>
      <c r="E151" s="26"/>
      <c r="F151" s="26"/>
      <c r="G151" s="26"/>
      <c r="H151" s="26"/>
      <c r="I151" s="26"/>
      <c r="J151" s="26"/>
      <c r="K151" s="199"/>
    </row>
    <row r="152" spans="3:11" ht="15.6" customHeight="1">
      <c r="C152" s="199"/>
      <c r="D152" s="26"/>
      <c r="E152" s="26"/>
      <c r="F152" s="26"/>
      <c r="G152" s="26"/>
      <c r="H152" s="26"/>
      <c r="I152" s="26"/>
      <c r="J152" s="26"/>
      <c r="K152" s="199"/>
    </row>
    <row r="153" spans="3:11" ht="15.6" customHeight="1">
      <c r="C153" s="199"/>
      <c r="D153" s="26"/>
      <c r="E153" s="26"/>
      <c r="F153" s="26"/>
      <c r="G153" s="26"/>
      <c r="H153" s="26"/>
      <c r="I153" s="26"/>
      <c r="J153" s="26"/>
      <c r="K153" s="199"/>
    </row>
    <row r="154" spans="3:11" ht="15.6" customHeight="1">
      <c r="C154" s="199"/>
      <c r="D154" s="26"/>
      <c r="E154" s="26"/>
      <c r="F154" s="26"/>
      <c r="G154" s="26"/>
      <c r="H154" s="26"/>
      <c r="I154" s="26"/>
      <c r="J154" s="26"/>
      <c r="K154" s="199"/>
    </row>
    <row r="155" spans="3:11" ht="15.6" customHeight="1">
      <c r="C155" s="199"/>
      <c r="D155" s="26"/>
      <c r="E155" s="26"/>
      <c r="F155" s="26"/>
      <c r="G155" s="26"/>
      <c r="H155" s="26"/>
      <c r="I155" s="26"/>
      <c r="J155" s="26"/>
      <c r="K155" s="199"/>
    </row>
    <row r="156" spans="3:11" ht="15.6" customHeight="1">
      <c r="C156" s="199"/>
      <c r="D156" s="26"/>
      <c r="E156" s="26"/>
      <c r="F156" s="26"/>
      <c r="G156" s="26"/>
      <c r="H156" s="26"/>
      <c r="I156" s="26"/>
      <c r="J156" s="26"/>
      <c r="K156" s="199"/>
    </row>
    <row r="157" spans="3:11" ht="15.6" customHeight="1">
      <c r="C157" s="199"/>
      <c r="D157" s="26"/>
      <c r="E157" s="26"/>
      <c r="F157" s="26"/>
      <c r="G157" s="26"/>
      <c r="H157" s="26"/>
      <c r="I157" s="26"/>
      <c r="J157" s="26"/>
      <c r="K157" s="199"/>
    </row>
    <row r="158" spans="3:11" ht="15.6" customHeight="1">
      <c r="C158" s="199"/>
      <c r="D158" s="26"/>
      <c r="E158" s="26"/>
      <c r="F158" s="26"/>
      <c r="G158" s="26"/>
      <c r="H158" s="26"/>
      <c r="I158" s="26"/>
      <c r="J158" s="26"/>
      <c r="K158" s="199"/>
    </row>
    <row r="159" spans="3:11" ht="15.6" customHeight="1">
      <c r="C159" s="199"/>
      <c r="D159" s="26"/>
      <c r="E159" s="26"/>
      <c r="F159" s="26"/>
      <c r="G159" s="26"/>
      <c r="H159" s="26"/>
      <c r="I159" s="26"/>
      <c r="J159" s="26"/>
      <c r="K159" s="199"/>
    </row>
  </sheetData>
  <mergeCells count="47">
    <mergeCell ref="AJ8:AK8"/>
    <mergeCell ref="R9:S9"/>
    <mergeCell ref="V9:W9"/>
    <mergeCell ref="R16:W16"/>
    <mergeCell ref="C4:L4"/>
    <mergeCell ref="C5:L5"/>
    <mergeCell ref="R8:S8"/>
    <mergeCell ref="V8:W8"/>
    <mergeCell ref="R10:S10"/>
    <mergeCell ref="V10:W10"/>
    <mergeCell ref="R11:S11"/>
    <mergeCell ref="V11:W11"/>
    <mergeCell ref="C13:L13"/>
    <mergeCell ref="C36:M36"/>
    <mergeCell ref="K18:K20"/>
    <mergeCell ref="L18:L20"/>
    <mergeCell ref="J21:K21"/>
    <mergeCell ref="R22:W22"/>
    <mergeCell ref="R23:S23"/>
    <mergeCell ref="T23:U23"/>
    <mergeCell ref="V23:W23"/>
    <mergeCell ref="J27:L27"/>
    <mergeCell ref="L29:M29"/>
    <mergeCell ref="S30:S31"/>
    <mergeCell ref="J31:L31"/>
    <mergeCell ref="K33:M33"/>
    <mergeCell ref="D45:E45"/>
    <mergeCell ref="D46:E46"/>
    <mergeCell ref="D47:E47"/>
    <mergeCell ref="T42:V42"/>
    <mergeCell ref="D43:J43"/>
    <mergeCell ref="S47:T47"/>
    <mergeCell ref="D37:E37"/>
    <mergeCell ref="D38:E38"/>
    <mergeCell ref="D39:E39"/>
    <mergeCell ref="D40:E40"/>
    <mergeCell ref="D44:E44"/>
    <mergeCell ref="D80:M80"/>
    <mergeCell ref="D81:M81"/>
    <mergeCell ref="D82:M82"/>
    <mergeCell ref="D54:E54"/>
    <mergeCell ref="D48:E48"/>
    <mergeCell ref="W55:X55"/>
    <mergeCell ref="S60:T60"/>
    <mergeCell ref="S66:S67"/>
    <mergeCell ref="V66:V67"/>
    <mergeCell ref="R79:V79"/>
  </mergeCells>
  <conditionalFormatting sqref="D46:J46">
    <cfRule type="expression" dxfId="6" priority="5">
      <formula>$R$8="Não"</formula>
    </cfRule>
    <cfRule type="expression" dxfId="5" priority="6">
      <formula>$R$8="Não"</formula>
    </cfRule>
  </conditionalFormatting>
  <conditionalFormatting sqref="D47:J47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T55 V66" xr:uid="{13CBB728-49E4-472F-BBAA-64F9880C764A}">
      <formula1>"Sim,Não"</formula1>
    </dataValidation>
    <dataValidation type="list" allowBlank="1" showInputMessage="1" showErrorMessage="1" sqref="R11:S12 V11:W12" xr:uid="{088029B4-147F-4A99-8834-FFE7EB80D29C}">
      <formula1>"CNPJ,CPF,NÃO"</formula1>
    </dataValidation>
    <dataValidation type="list" allowBlank="1" showInputMessage="1" showErrorMessage="1" sqref="V8 R6 R8" xr:uid="{E808A2FA-F5B1-43DD-9782-1FBD1C39F2C3}">
      <formula1>"Sim,Não,"</formula1>
    </dataValidation>
  </dataValidations>
  <hyperlinks>
    <hyperlink ref="AD11" location="'Selic e IPCA'!A1" display="IPCAE" xr:uid="{D1A37BC5-3748-46C6-AB71-54C7DB6FF876}"/>
  </hyperlinks>
  <pageMargins left="0.7" right="0.7" top="0.75" bottom="0.75" header="0.3" footer="0.3"/>
  <pageSetup paperSize="9" scale="21" orientation="portrait" r:id="rId1"/>
  <colBreaks count="1" manualBreakCount="1">
    <brk id="14" max="86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409575</xdr:colOff>
                    <xdr:row>1</xdr:row>
                    <xdr:rowOff>76200</xdr:rowOff>
                  </from>
                  <to>
                    <xdr:col>18</xdr:col>
                    <xdr:colOff>2105025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9525</xdr:colOff>
                    <xdr:row>44</xdr:row>
                    <xdr:rowOff>561975</xdr:rowOff>
                  </from>
                  <to>
                    <xdr:col>16</xdr:col>
                    <xdr:colOff>1704975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2022</vt:lpstr>
      <vt:lpstr>aliquotaprevidencia</vt:lpstr>
      <vt:lpstr>'ORDEM 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2025-02-22T10:08:20Z</dcterms:modified>
</cp:coreProperties>
</file>