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\Downloads\PreCalc\planilhas\"/>
    </mc:Choice>
  </mc:AlternateContent>
  <xr:revisionPtr revIDLastSave="0" documentId="13_ncr:1_{50CC64BB-013B-47C9-B39A-0FF336F9F12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CORDO ORC2024" sheetId="1" r:id="rId1"/>
  </sheets>
  <functionGroups builtInGroupCount="19"/>
  <externalReferences>
    <externalReference r:id="rId2"/>
  </externalReferences>
  <definedNames>
    <definedName name="aliquotaprevidencia">'ACORDO ORC2024'!$U$57</definedName>
    <definedName name="_xlnm.Print_Area" localSheetId="0">'ACORDO ORC2024'!$C$1:$N$91</definedName>
    <definedName name="NomeContador">'ACORDO ORC2024'!$D$85</definedName>
    <definedName name="rratotal">'ACORDO ORC2024'!$T$66</definedName>
    <definedName name="selicpercentual">'ACORDO ORC2024'!$M$24</definedName>
    <definedName name="selicvalor">'ACORDO ORC2024'!$N$24</definedName>
    <definedName name="valorbruto">'ACORDO ORC2024'!$H$52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7" i="1" l="1"/>
  <c r="D86" i="1"/>
  <c r="D85" i="1"/>
  <c r="F16" i="1"/>
  <c r="E16" i="1"/>
  <c r="F15" i="1"/>
  <c r="E15" i="1"/>
  <c r="E14" i="1"/>
  <c r="E11" i="1"/>
  <c r="E10" i="1"/>
  <c r="D49" i="1" s="1"/>
  <c r="E9" i="1"/>
  <c r="E8" i="1"/>
  <c r="H16" i="1" s="1" a="1"/>
  <c r="H16" i="1" s="1"/>
  <c r="E7" i="1"/>
  <c r="D84" i="1"/>
  <c r="D78" i="1"/>
  <c r="D76" i="1"/>
  <c r="S59" i="1"/>
  <c r="F51" i="1"/>
  <c r="G51" i="1" s="1"/>
  <c r="H51" i="1" s="1"/>
  <c r="J51" i="1" s="1"/>
  <c r="D51" i="1"/>
  <c r="F50" i="1"/>
  <c r="D50" i="1"/>
  <c r="F42" i="1"/>
  <c r="I41" i="1"/>
  <c r="I42" i="1" s="1"/>
  <c r="I40" i="1"/>
  <c r="I39" i="1"/>
  <c r="H39" i="1"/>
  <c r="J34" i="1"/>
  <c r="J30" i="1"/>
  <c r="U26" i="1"/>
  <c r="W26" i="1" s="1"/>
  <c r="L25" i="1"/>
  <c r="R24" i="1"/>
  <c r="M20" i="1"/>
  <c r="R17" i="1"/>
  <c r="R16" i="1"/>
  <c r="AD13" i="1"/>
  <c r="AE12" i="1"/>
  <c r="AD12" i="1"/>
  <c r="J9" i="1" l="1"/>
  <c r="D79" i="1"/>
  <c r="G16" i="1"/>
  <c r="G15" i="1"/>
  <c r="G17" i="1" s="1"/>
  <c r="E17" i="1"/>
  <c r="K51" i="1"/>
  <c r="G50" i="1"/>
  <c r="H50" i="1" s="1"/>
  <c r="J50" i="1" s="1"/>
  <c r="I16" i="1" l="1"/>
  <c r="I17" i="1" s="1"/>
  <c r="J15" i="1"/>
  <c r="L15" i="1" s="1"/>
  <c r="K50" i="1"/>
  <c r="J16" i="1" l="1"/>
  <c r="L16" i="1" s="1"/>
  <c r="L17" i="1" s="1"/>
  <c r="J17" i="1" l="1"/>
  <c r="N18" i="1" l="1"/>
  <c r="K18" i="1" l="1"/>
  <c r="M24" i="1" s="1"/>
  <c r="M16" i="1" l="1"/>
  <c r="N16" i="1" s="1"/>
  <c r="T27" i="1" s="1"/>
  <c r="M15" i="1"/>
  <c r="N15" i="1" s="1"/>
  <c r="R27" i="1" l="1"/>
  <c r="N17" i="1"/>
  <c r="N24" i="1" s="1"/>
  <c r="N25" i="1" s="1"/>
  <c r="G41" i="1" l="1"/>
  <c r="H41" i="1" s="1"/>
  <c r="J41" i="1" s="1"/>
  <c r="M30" i="1"/>
  <c r="R26" i="1"/>
  <c r="G40" i="1"/>
  <c r="T44" i="1"/>
  <c r="V27" i="1"/>
  <c r="T29" i="1" s="1"/>
  <c r="N30" i="1"/>
  <c r="N32" i="1" s="1"/>
  <c r="M34" i="1"/>
  <c r="N34" i="1"/>
  <c r="N36" i="1" s="1"/>
  <c r="S27" i="1"/>
  <c r="G42" i="1" l="1"/>
  <c r="H40" i="1"/>
  <c r="H42" i="1" s="1"/>
  <c r="X60" i="1"/>
  <c r="J40" i="1"/>
  <c r="J42" i="1" s="1"/>
  <c r="S66" i="1"/>
  <c r="T26" i="1"/>
  <c r="T50" i="1"/>
  <c r="X61" i="1"/>
  <c r="T45" i="1"/>
  <c r="V26" i="1" l="1"/>
  <c r="W27" i="1" s="1"/>
  <c r="T47" i="1" s="1"/>
  <c r="U27" i="1"/>
  <c r="V45" i="1"/>
  <c r="U45" i="1"/>
  <c r="U47" i="1" s="1"/>
  <c r="T53" i="1"/>
  <c r="S67" i="1"/>
  <c r="T68" i="1" s="1"/>
  <c r="T51" i="1"/>
  <c r="T54" i="1" s="1"/>
  <c r="U79" i="1" l="1"/>
  <c r="Z107" i="1"/>
  <c r="F49" i="1"/>
  <c r="T55" i="1"/>
  <c r="U70" i="1"/>
  <c r="U72" i="1" s="1"/>
  <c r="U74" i="1" s="1"/>
  <c r="U75" i="1" s="1"/>
  <c r="U76" i="1" s="1"/>
  <c r="E59" i="1" s="1"/>
  <c r="V47" i="1"/>
  <c r="T58" i="1"/>
  <c r="T59" i="1" s="1"/>
  <c r="T61" i="1" s="1"/>
  <c r="T62" i="1" s="1"/>
  <c r="T63" i="1" s="1"/>
  <c r="T46" i="1"/>
  <c r="U46" i="1" s="1"/>
  <c r="V46" i="1" s="1"/>
  <c r="T30" i="1"/>
  <c r="U77" i="1" l="1"/>
  <c r="U78" i="1" s="1"/>
  <c r="U80" i="1" s="1"/>
  <c r="U81" i="1" s="1"/>
  <c r="U82" i="1" s="1"/>
  <c r="U83" i="1" s="1"/>
  <c r="X58" i="1"/>
  <c r="X59" i="1" s="1"/>
  <c r="I49" i="1"/>
  <c r="I52" i="1" s="1"/>
  <c r="E60" i="1"/>
  <c r="F52" i="1"/>
  <c r="G49" i="1"/>
  <c r="G52" i="1" s="1"/>
  <c r="M41" i="1"/>
  <c r="M40" i="1"/>
  <c r="M42" i="1" s="1"/>
  <c r="T83" i="1"/>
  <c r="L49" i="1"/>
  <c r="F59" i="1" s="1"/>
  <c r="H49" i="1" l="1"/>
  <c r="K41" i="1"/>
  <c r="K40" i="1"/>
  <c r="K42" i="1" s="1"/>
  <c r="X62" i="1"/>
  <c r="H52" i="1"/>
  <c r="L40" i="1"/>
  <c r="L42" i="1" s="1"/>
  <c r="D75" i="1"/>
  <c r="L41" i="1"/>
  <c r="J49" i="1"/>
  <c r="J52" i="1" s="1"/>
  <c r="D54" i="1" a="1"/>
  <c r="D54" i="1" l="1"/>
  <c r="K49" i="1"/>
  <c r="K5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<sst xmlns="http://schemas.openxmlformats.org/spreadsheetml/2006/main" count="161" uniqueCount="140">
  <si>
    <t>TRIBUNAL DE JUSTIÇA DO ESTADO DO PIAUÍ</t>
  </si>
  <si>
    <t xml:space="preserve">COORDENADORIA DE PRECATÓRIOS  </t>
  </si>
  <si>
    <t>PRECATÓRIO Nº:</t>
  </si>
  <si>
    <t>P. ORÇAMENTO</t>
  </si>
  <si>
    <t>Há H. Contratual?</t>
  </si>
  <si>
    <t>Sim</t>
  </si>
  <si>
    <t>Há H. Sucumbencial?</t>
  </si>
  <si>
    <t>CONVERSOR DE DATA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</si>
  <si>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</si>
  <si>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</si>
  <si>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</si>
  <si>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</si>
  <si>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Janeiro</t>
  </si>
  <si>
    <t>EXEQUENTE:</t>
  </si>
  <si>
    <t>Nome</t>
  </si>
  <si>
    <t>Gabriel de Jesus Silva</t>
  </si>
  <si>
    <t>GABRIEL DE JESUS SILVA</t>
  </si>
  <si>
    <t>Fevereiro</t>
  </si>
  <si>
    <t>EXECUTADO:</t>
  </si>
  <si>
    <t>CNPJ/CPF?</t>
  </si>
  <si>
    <t>CNPJ</t>
  </si>
  <si>
    <t>CPF</t>
  </si>
  <si>
    <t>IPCAE</t>
  </si>
  <si>
    <t>Março</t>
  </si>
  <si>
    <t>1ª att iPCA:</t>
  </si>
  <si>
    <t>Abril</t>
  </si>
  <si>
    <t>MEMÓRIA DE CÁLCULO</t>
  </si>
  <si>
    <t>2ª att iPCA:</t>
  </si>
  <si>
    <t>Maio</t>
  </si>
  <si>
    <t>Mês/Ano:</t>
  </si>
  <si>
    <t>Índice de Correção</t>
  </si>
  <si>
    <t>Valor Atualizado em Dezembro/2021</t>
  </si>
  <si>
    <t>Juros (%)</t>
  </si>
  <si>
    <t>Valor Juros</t>
  </si>
  <si>
    <t>Valor Atualizado com Juros Dezembro/2021</t>
  </si>
  <si>
    <t xml:space="preserve">Índice de Atualização </t>
  </si>
  <si>
    <t>Valor Atualizado em Abril/2023</t>
  </si>
  <si>
    <t>Índice de Atualização IPCA-E</t>
  </si>
  <si>
    <t>Valor Atualizado com Juros em JANEIRO/2025</t>
  </si>
  <si>
    <t>Aderiu ao acordo?</t>
  </si>
  <si>
    <t>DIVISAO</t>
  </si>
  <si>
    <t>Junho</t>
  </si>
  <si>
    <t>PRINCIPAL</t>
  </si>
  <si>
    <t>-</t>
  </si>
  <si>
    <t>CREDOR</t>
  </si>
  <si>
    <t>Julho</t>
  </si>
  <si>
    <t>JUROS</t>
  </si>
  <si>
    <t>Não</t>
  </si>
  <si>
    <t>Agosto</t>
  </si>
  <si>
    <t>TOTAL (a)</t>
  </si>
  <si>
    <t>Setembro</t>
  </si>
  <si>
    <t>Selic acumulada -</t>
  </si>
  <si>
    <t>Outubro</t>
  </si>
  <si>
    <t>Novembro</t>
  </si>
  <si>
    <t>Dezembro</t>
  </si>
  <si>
    <t>Total SELIC Acumulada (B)</t>
  </si>
  <si>
    <t>valor atualizado</t>
  </si>
  <si>
    <t>juros</t>
  </si>
  <si>
    <t>SELIC</t>
  </si>
  <si>
    <t>VERIFICAÇÃO:</t>
  </si>
  <si>
    <t>TOTAL DEVIDO (A+B)</t>
  </si>
  <si>
    <t>TOTAL DEVIDO AO EXEQUENTE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</si>
  <si>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</si>
  <si>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</si>
  <si>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</si>
  <si>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</si>
  <si>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</si>
  <si>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</si>
  <si>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>DIVISAO IMPOSTO DE RENDA</t>
  </si>
  <si>
    <t>RRA PROPORCIONAL DA PREF.</t>
  </si>
  <si>
    <t>TOTAL</t>
  </si>
  <si>
    <t>Para PAGAMENTO</t>
  </si>
  <si>
    <t>INCORPORANDO A SELIC</t>
  </si>
  <si>
    <t>Principal atualizado</t>
  </si>
  <si>
    <t>Principal com Selic</t>
  </si>
  <si>
    <t>Juros atualizado</t>
  </si>
  <si>
    <t>Juros com Selic</t>
  </si>
  <si>
    <t>PAGAMENTO ACORDO</t>
  </si>
  <si>
    <t>Selic</t>
  </si>
  <si>
    <t>Total com Selic</t>
  </si>
  <si>
    <t xml:space="preserve">Exequente  </t>
  </si>
  <si>
    <t>Valor Devido</t>
  </si>
  <si>
    <t>(-) deságio de 40%</t>
  </si>
  <si>
    <t>(=) Valor Bruto após deságio</t>
  </si>
  <si>
    <t>Previdência</t>
  </si>
  <si>
    <t>Imposto de Renda</t>
  </si>
  <si>
    <t>Valor Líquido</t>
  </si>
  <si>
    <t>RRA</t>
  </si>
  <si>
    <t>DIVISÃO PAGAMENTO</t>
  </si>
  <si>
    <t>VALOR A PAGAR PREF.</t>
  </si>
  <si>
    <t>(-) HONORÁRIOS CONTRATUAIS</t>
  </si>
  <si>
    <t xml:space="preserve">TOTAL  </t>
  </si>
  <si>
    <t>(-) Pagamento</t>
  </si>
  <si>
    <t>HONORÁRIOS SUCUMBENCIAIS</t>
  </si>
  <si>
    <t>VALOR EXEQUENTE SEM DESAGIO</t>
  </si>
  <si>
    <t>VALOR EXEQUENTE COM DESAGIO</t>
  </si>
  <si>
    <t>Notas explicativas:</t>
  </si>
  <si>
    <t>PREVIDENCIA</t>
  </si>
  <si>
    <t>*informar aliquota</t>
  </si>
  <si>
    <t>PREVIDENCIA HERDEIROS</t>
  </si>
  <si>
    <t>Requerente</t>
  </si>
  <si>
    <t>RRA(MESES)</t>
  </si>
  <si>
    <t>BC</t>
  </si>
  <si>
    <t>TOTAL DA PREV: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</si>
  <si>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</si>
  <si>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Divida pela quantidade de herd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</si>
  <si>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</si>
  <si>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(-) PARCEL. PREF paga atualizada</t>
  </si>
  <si>
    <t>*informar valor</t>
  </si>
  <si>
    <t>VALOR DO HERD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</si>
  <si>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</si>
  <si>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Valor Devido antes do Deságio</t>
  </si>
  <si>
    <t>VALOR A PAGAR PARA O HERD</t>
  </si>
  <si>
    <t>Deságio (40%)</t>
  </si>
  <si>
    <t>PREV A PAGAR HERD.</t>
  </si>
  <si>
    <t>1- Atualização Monetária conforme Resolução CNJ nº 303/2019 , Resolução Nº 198/2020 TJ-PI e  nº 113.</t>
  </si>
  <si>
    <t>2- Índices de correção monetária, conforme  caput do Art.21- A da Resolução 303/2019 do CNJ.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</si>
  <si>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</si>
  <si>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</si>
  <si>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</si>
  <si>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>x</t>
  </si>
  <si>
    <t xml:space="preserve"> § 12º da CF/88, Art.22 da Resolução 303 do CNJ  e SV nº 17 do STF.</t>
  </si>
  <si>
    <t>4- Atualização do cálculo de ID.9999 - Pág. 12.</t>
  </si>
  <si>
    <r>
      <t xml:space="preserve">5-Cálculo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</si>
  <si>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t>Imposto de renda</t>
  </si>
  <si>
    <t>VALOR A PAGAR</t>
  </si>
  <si>
    <r>
      <t>art. 5° da Lei n° 7.311/2019,</t>
    </r>
    <r>
      <rPr>
        <b/>
        <sz val="18"/>
        <color rgb="FF000000"/>
        <rFont val="Verdana1"/>
      </rPr>
      <t xml:space="preserve">alíquota de 14% </t>
    </r>
    <r>
      <rPr>
        <sz val="18"/>
        <color rgb="FF000000"/>
        <rFont val="Verdana1"/>
      </rPr>
      <t>sobre o valor atualizado, excluído os juros, em analogia ao §8°, art. 9°</t>
    </r>
  </si>
  <si>
    <t>da IN da RFB n° 1332/2013 com redação dada pela IN RFB 1643/2016.</t>
  </si>
  <si>
    <t>(-) PARCE. HONORÁRIOS CONTRATUAIS</t>
  </si>
  <si>
    <r>
      <t xml:space="preserve">6-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</si>
  <si>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(-) OUTRAS DEDUÇÕES</t>
  </si>
  <si>
    <t>lei LEI Nº 14.848, DE 1º DE MAIO DE 2024, e em conformidade com a decisão do Recurso Extraordinário n° 855091/RS, com Repercussão Geral, Tema 808.</t>
  </si>
  <si>
    <t>(-) deságio 40%</t>
  </si>
  <si>
    <t>BC SEM HONORÁRIOS E OUTRAS DEDUÇÕES</t>
  </si>
  <si>
    <t>(-) Prev.</t>
  </si>
  <si>
    <t>9- Conforme cálculo apresentado NÃO restará saldo a pagar neste precatório.</t>
  </si>
  <si>
    <t>BC/MÊS</t>
  </si>
  <si>
    <t>ALIQOTA</t>
  </si>
  <si>
    <t>IR MENSAL</t>
  </si>
  <si>
    <t xml:space="preserve">TOTAL A SER RECOLHIDO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</si>
</sst>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0.000000%"/>
    <numFmt numFmtId="165" formatCode="#,##0.0000000"/>
    <numFmt numFmtId="166" formatCode="mmmm\,\ yyyy;@"/>
    <numFmt numFmtId="167" formatCode="mmmm/yyyy"/>
    <numFmt numFmtId="168" formatCode="mm/yy"/>
    <numFmt numFmtId="169" formatCode="0.00000"/>
    <numFmt numFmtId="170" formatCode="0.0000"/>
    <numFmt numFmtId="171" formatCode="0.000000"/>
    <numFmt numFmtId="172" formatCode="[$R$-416]&quot; &quot;#,##0.00;[Red]&quot;-&quot;[$R$-416]&quot; &quot;#,##0.00"/>
    <numFmt numFmtId="173" formatCode="0.0000000"/>
    <numFmt numFmtId="174" formatCode="[$R$-416]\ #,##0.00;[Red][$R$-416]\ #,##0.00"/>
    <numFmt numFmtId="175" formatCode="&quot;R$&quot;\ #,##0.00"/>
    <numFmt numFmtId="176" formatCode="[$-416]0.00%"/>
    <numFmt numFmtId="177" formatCode="&quot;R$&quot;#,##0.00_);[Red]\(&quot;R$&quot;#,##0.00\)"/>
    <numFmt numFmtId="178" formatCode="#,##0.00;[Red]&quot;-&quot;#,##0.00"/>
    <numFmt numFmtId="179" formatCode="[$-416]General"/>
    <numFmt numFmtId="180" formatCode="#,##0.000&quot; &quot;;&quot;-&quot;#,##0.000&quot; &quot;;&quot;-&quot;00.0&quot; &quot;;@&quot; &quot;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sz val="10"/>
      <color rgb="FF000000"/>
      <name val="Calibri"/>
      <family val="2"/>
    </font>
    <font>
      <u/>
      <sz val="18"/>
      <color rgb="FF0000EE"/>
      <name val="Calibri"/>
      <family val="2"/>
    </font>
    <font>
      <b/>
      <sz val="18"/>
      <color rgb="FF000000"/>
      <name val="Verdana3"/>
    </font>
    <font>
      <b/>
      <sz val="18"/>
      <color rgb="FFFF0000"/>
      <name val="Verdana1"/>
    </font>
    <font>
      <b/>
      <sz val="18"/>
      <color rgb="FF000000"/>
      <name val="Verdana11"/>
    </font>
    <font>
      <sz val="18"/>
      <color rgb="FF000000"/>
      <name val="Verdana11"/>
    </font>
    <font>
      <b/>
      <sz val="18"/>
      <color theme="1"/>
      <name val="Verdana3"/>
    </font>
    <font>
      <b/>
      <sz val="18"/>
      <color rgb="FFFF0000"/>
      <name val="Verdana3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rgb="FFFFFFCC"/>
        <bgColor rgb="FF8EA9DB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30" fillId="0" borderId="0" applyNumberFormat="0" applyBorder="0" applyProtection="0"/>
  </cellStyleXfs>
  <cellXfs count="244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6" fillId="2" borderId="0" xfId="0" applyFont="1" applyFill="1" applyAlignment="1">
      <alignment horizontal="center"/>
    </xf>
    <xf numFmtId="0" fontId="7" fillId="2" borderId="0" xfId="0" applyFont="1" applyFill="1"/>
    <xf numFmtId="4" fontId="8" fillId="2" borderId="0" xfId="0" applyNumberFormat="1" applyFont="1" applyFill="1" applyAlignment="1">
      <alignment horizontal="center"/>
    </xf>
    <xf numFmtId="0" fontId="9" fillId="2" borderId="0" xfId="0" applyFont="1" applyFill="1"/>
    <xf numFmtId="0" fontId="10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8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14" fontId="10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2" fillId="2" borderId="1" xfId="0" applyFont="1" applyFill="1" applyBorder="1" applyAlignment="1">
      <alignment horizontal="left" wrapText="1"/>
    </xf>
    <xf numFmtId="164" fontId="12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8" fillId="4" borderId="1" xfId="0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9" fillId="2" borderId="0" xfId="0" applyFont="1" applyFill="1" applyAlignment="1">
      <alignment horizontal="left" vertical="center"/>
    </xf>
    <xf numFmtId="0" fontId="9" fillId="0" borderId="0" xfId="0" applyFont="1" applyAlignment="1">
      <alignment horizontal="center"/>
    </xf>
    <xf numFmtId="166" fontId="15" fillId="0" borderId="0" xfId="3" applyNumberFormat="1" applyFont="1" applyAlignment="1">
      <alignment horizontal="center"/>
    </xf>
    <xf numFmtId="0" fontId="11" fillId="3" borderId="0" xfId="0" applyFont="1" applyFill="1" applyAlignment="1">
      <alignment horizontal="center"/>
    </xf>
    <xf numFmtId="167" fontId="4" fillId="0" borderId="0" xfId="0" applyNumberFormat="1" applyFont="1"/>
    <xf numFmtId="0" fontId="16" fillId="6" borderId="2" xfId="0" applyFont="1" applyFill="1" applyBorder="1" applyAlignment="1">
      <alignment horizontal="center" wrapText="1"/>
    </xf>
    <xf numFmtId="0" fontId="17" fillId="3" borderId="3" xfId="0" applyFont="1" applyFill="1" applyBorder="1"/>
    <xf numFmtId="168" fontId="16" fillId="0" borderId="2" xfId="0" applyNumberFormat="1" applyFont="1" applyBorder="1" applyAlignment="1">
      <alignment horizontal="center" wrapText="1"/>
    </xf>
    <xf numFmtId="4" fontId="10" fillId="0" borderId="2" xfId="0" applyNumberFormat="1" applyFont="1" applyBorder="1" applyAlignment="1">
      <alignment horizontal="right"/>
    </xf>
    <xf numFmtId="169" fontId="10" fillId="0" borderId="2" xfId="0" applyNumberFormat="1" applyFont="1" applyBorder="1"/>
    <xf numFmtId="170" fontId="10" fillId="0" borderId="2" xfId="0" applyNumberFormat="1" applyFont="1" applyBorder="1" applyAlignment="1">
      <alignment horizontal="center" wrapText="1"/>
    </xf>
    <xf numFmtId="171" fontId="10" fillId="2" borderId="2" xfId="0" applyNumberFormat="1" applyFont="1" applyFill="1" applyBorder="1" applyAlignment="1">
      <alignment horizontal="center" wrapText="1"/>
    </xf>
    <xf numFmtId="0" fontId="11" fillId="5" borderId="1" xfId="0" applyFont="1" applyFill="1" applyBorder="1" applyAlignment="1">
      <alignment horizontal="center" vertical="center"/>
    </xf>
    <xf numFmtId="164" fontId="10" fillId="0" borderId="2" xfId="0" applyNumberFormat="1" applyFont="1" applyBorder="1"/>
    <xf numFmtId="4" fontId="10" fillId="0" borderId="6" xfId="0" applyNumberFormat="1" applyFont="1" applyBorder="1" applyAlignment="1">
      <alignment horizontal="right"/>
    </xf>
    <xf numFmtId="170" fontId="10" fillId="0" borderId="6" xfId="0" applyNumberFormat="1" applyFont="1" applyBorder="1" applyAlignment="1">
      <alignment horizontal="center" wrapText="1"/>
    </xf>
    <xf numFmtId="0" fontId="16" fillId="8" borderId="2" xfId="0" applyFont="1" applyFill="1" applyBorder="1" applyAlignment="1">
      <alignment horizontal="center" wrapText="1"/>
    </xf>
    <xf numFmtId="172" fontId="16" fillId="8" borderId="2" xfId="0" applyNumberFormat="1" applyFont="1" applyFill="1" applyBorder="1" applyAlignment="1">
      <alignment horizontal="right"/>
    </xf>
    <xf numFmtId="173" fontId="16" fillId="8" borderId="2" xfId="0" applyNumberFormat="1" applyFont="1" applyFill="1" applyBorder="1" applyAlignment="1">
      <alignment horizontal="center" wrapText="1"/>
    </xf>
    <xf numFmtId="172" fontId="16" fillId="8" borderId="2" xfId="0" applyNumberFormat="1" applyFont="1" applyFill="1" applyBorder="1" applyAlignment="1">
      <alignment horizontal="center"/>
    </xf>
    <xf numFmtId="172" fontId="16" fillId="8" borderId="7" xfId="0" applyNumberFormat="1" applyFont="1" applyFill="1" applyBorder="1" applyAlignment="1">
      <alignment horizontal="right"/>
    </xf>
    <xf numFmtId="172" fontId="16" fillId="8" borderId="1" xfId="0" applyNumberFormat="1" applyFont="1" applyFill="1" applyBorder="1" applyAlignment="1">
      <alignment horizontal="right"/>
    </xf>
    <xf numFmtId="173" fontId="16" fillId="8" borderId="1" xfId="0" applyNumberFormat="1" applyFont="1" applyFill="1" applyBorder="1" applyAlignment="1">
      <alignment horizontal="center" wrapText="1"/>
    </xf>
    <xf numFmtId="172" fontId="16" fillId="8" borderId="8" xfId="0" applyNumberFormat="1" applyFont="1" applyFill="1" applyBorder="1" applyAlignment="1">
      <alignment horizontal="right"/>
    </xf>
    <xf numFmtId="173" fontId="16" fillId="8" borderId="9" xfId="0" applyNumberFormat="1" applyFont="1" applyFill="1" applyBorder="1" applyAlignment="1">
      <alignment horizontal="center" wrapText="1"/>
    </xf>
    <xf numFmtId="172" fontId="16" fillId="8" borderId="10" xfId="0" applyNumberFormat="1" applyFont="1" applyFill="1" applyBorder="1" applyAlignment="1">
      <alignment horizontal="right"/>
    </xf>
    <xf numFmtId="0" fontId="9" fillId="9" borderId="11" xfId="0" applyFont="1" applyFill="1" applyBorder="1" applyAlignment="1">
      <alignment horizontal="center" wrapText="1"/>
    </xf>
    <xf numFmtId="172" fontId="4" fillId="3" borderId="0" xfId="0" applyNumberFormat="1" applyFont="1" applyFill="1"/>
    <xf numFmtId="167" fontId="4" fillId="9" borderId="11" xfId="0" applyNumberFormat="1" applyFont="1" applyFill="1" applyBorder="1" applyAlignment="1">
      <alignment horizontal="center"/>
    </xf>
    <xf numFmtId="167" fontId="4" fillId="9" borderId="12" xfId="0" applyNumberFormat="1" applyFont="1" applyFill="1" applyBorder="1" applyAlignment="1">
      <alignment horizontal="center"/>
    </xf>
    <xf numFmtId="10" fontId="4" fillId="2" borderId="0" xfId="0" applyNumberFormat="1" applyFont="1" applyFill="1" applyAlignment="1">
      <alignment horizontal="center" vertical="center"/>
    </xf>
    <xf numFmtId="174" fontId="4" fillId="3" borderId="0" xfId="0" applyNumberFormat="1" applyFont="1" applyFill="1"/>
    <xf numFmtId="0" fontId="6" fillId="10" borderId="1" xfId="0" applyFont="1" applyFill="1" applyBorder="1" applyAlignment="1">
      <alignment horizontal="center" wrapText="1"/>
    </xf>
    <xf numFmtId="10" fontId="4" fillId="10" borderId="1" xfId="0" applyNumberFormat="1" applyFont="1" applyFill="1" applyBorder="1"/>
    <xf numFmtId="4" fontId="4" fillId="10" borderId="1" xfId="0" applyNumberFormat="1" applyFont="1" applyFill="1" applyBorder="1" applyAlignment="1">
      <alignment horizontal="center"/>
    </xf>
    <xf numFmtId="175" fontId="8" fillId="11" borderId="1" xfId="0" applyNumberFormat="1" applyFont="1" applyFill="1" applyBorder="1" applyAlignment="1">
      <alignment horizontal="right"/>
    </xf>
    <xf numFmtId="172" fontId="16" fillId="12" borderId="16" xfId="0" applyNumberFormat="1" applyFont="1" applyFill="1" applyBorder="1"/>
    <xf numFmtId="176" fontId="16" fillId="12" borderId="0" xfId="0" applyNumberFormat="1" applyFont="1" applyFill="1"/>
    <xf numFmtId="172" fontId="16" fillId="12" borderId="0" xfId="0" applyNumberFormat="1" applyFont="1" applyFill="1"/>
    <xf numFmtId="10" fontId="16" fillId="12" borderId="0" xfId="0" applyNumberFormat="1" applyFont="1" applyFill="1"/>
    <xf numFmtId="10" fontId="16" fillId="12" borderId="17" xfId="0" applyNumberFormat="1" applyFont="1" applyFill="1" applyBorder="1"/>
    <xf numFmtId="172" fontId="16" fillId="3" borderId="18" xfId="0" applyNumberFormat="1" applyFont="1" applyFill="1" applyBorder="1"/>
    <xf numFmtId="10" fontId="16" fillId="3" borderId="3" xfId="0" applyNumberFormat="1" applyFont="1" applyFill="1" applyBorder="1"/>
    <xf numFmtId="172" fontId="16" fillId="3" borderId="3" xfId="0" applyNumberFormat="1" applyFont="1" applyFill="1" applyBorder="1"/>
    <xf numFmtId="10" fontId="16" fillId="3" borderId="19" xfId="0" applyNumberFormat="1" applyFont="1" applyFill="1" applyBorder="1" applyAlignment="1">
      <alignment vertical="center"/>
    </xf>
    <xf numFmtId="172" fontId="19" fillId="13" borderId="0" xfId="0" applyNumberFormat="1" applyFont="1" applyFill="1" applyAlignment="1">
      <alignment horizontal="center" vertical="center"/>
    </xf>
    <xf numFmtId="172" fontId="9" fillId="2" borderId="0" xfId="0" applyNumberFormat="1" applyFont="1" applyFill="1" applyAlignment="1">
      <alignment horizontal="center"/>
    </xf>
    <xf numFmtId="172" fontId="20" fillId="2" borderId="5" xfId="0" applyNumberFormat="1" applyFont="1" applyFill="1" applyBorder="1" applyAlignment="1">
      <alignment horizontal="left"/>
    </xf>
    <xf numFmtId="175" fontId="20" fillId="2" borderId="1" xfId="0" applyNumberFormat="1" applyFont="1" applyFill="1" applyBorder="1"/>
    <xf numFmtId="10" fontId="19" fillId="13" borderId="0" xfId="2" applyNumberFormat="1" applyFont="1" applyFill="1" applyAlignment="1">
      <alignment horizontal="center"/>
    </xf>
    <xf numFmtId="0" fontId="21" fillId="2" borderId="0" xfId="0" applyFont="1" applyFill="1" applyAlignment="1">
      <alignment horizontal="right"/>
    </xf>
    <xf numFmtId="172" fontId="21" fillId="2" borderId="0" xfId="0" applyNumberFormat="1" applyFont="1" applyFill="1" applyAlignment="1">
      <alignment horizontal="left"/>
    </xf>
    <xf numFmtId="175" fontId="21" fillId="2" borderId="0" xfId="0" applyNumberFormat="1" applyFont="1" applyFill="1"/>
    <xf numFmtId="172" fontId="21" fillId="2" borderId="8" xfId="0" applyNumberFormat="1" applyFont="1" applyFill="1" applyBorder="1" applyAlignment="1">
      <alignment horizontal="left"/>
    </xf>
    <xf numFmtId="172" fontId="21" fillId="2" borderId="2" xfId="0" applyNumberFormat="1" applyFont="1" applyFill="1" applyBorder="1" applyAlignment="1">
      <alignment horizontal="right"/>
    </xf>
    <xf numFmtId="174" fontId="4" fillId="2" borderId="0" xfId="0" applyNumberFormat="1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/>
    <xf numFmtId="172" fontId="16" fillId="2" borderId="2" xfId="0" applyNumberFormat="1" applyFont="1" applyFill="1" applyBorder="1" applyAlignment="1">
      <alignment horizontal="right"/>
    </xf>
    <xf numFmtId="0" fontId="11" fillId="3" borderId="0" xfId="0" applyFont="1" applyFill="1"/>
    <xf numFmtId="0" fontId="21" fillId="2" borderId="0" xfId="0" applyFont="1" applyFill="1"/>
    <xf numFmtId="10" fontId="4" fillId="3" borderId="0" xfId="0" applyNumberFormat="1" applyFont="1" applyFill="1"/>
    <xf numFmtId="172" fontId="6" fillId="14" borderId="1" xfId="0" applyNumberFormat="1" applyFont="1" applyFill="1" applyBorder="1" applyAlignment="1">
      <alignment horizontal="center" vertical="center"/>
    </xf>
    <xf numFmtId="172" fontId="6" fillId="14" borderId="1" xfId="0" applyNumberFormat="1" applyFont="1" applyFill="1" applyBorder="1" applyAlignment="1">
      <alignment horizontal="center" vertical="center" wrapText="1"/>
    </xf>
    <xf numFmtId="10" fontId="9" fillId="0" borderId="2" xfId="0" applyNumberFormat="1" applyFont="1" applyBorder="1" applyAlignment="1">
      <alignment horizontal="center" wrapText="1"/>
    </xf>
    <xf numFmtId="174" fontId="11" fillId="2" borderId="1" xfId="0" applyNumberFormat="1" applyFont="1" applyFill="1" applyBorder="1" applyAlignment="1">
      <alignment horizontal="center"/>
    </xf>
    <xf numFmtId="1" fontId="11" fillId="2" borderId="1" xfId="0" applyNumberFormat="1" applyFont="1" applyFill="1" applyBorder="1" applyAlignment="1">
      <alignment horizontal="center"/>
    </xf>
    <xf numFmtId="10" fontId="6" fillId="8" borderId="2" xfId="0" applyNumberFormat="1" applyFont="1" applyFill="1" applyBorder="1" applyAlignment="1">
      <alignment horizontal="center"/>
    </xf>
    <xf numFmtId="172" fontId="6" fillId="8" borderId="2" xfId="0" applyNumberFormat="1" applyFont="1" applyFill="1" applyBorder="1" applyAlignment="1">
      <alignment horizontal="center"/>
    </xf>
    <xf numFmtId="1" fontId="6" fillId="8" borderId="2" xfId="0" applyNumberFormat="1" applyFont="1" applyFill="1" applyBorder="1" applyAlignment="1">
      <alignment horizontal="center"/>
    </xf>
    <xf numFmtId="0" fontId="18" fillId="15" borderId="0" xfId="0" applyFont="1" applyFill="1"/>
    <xf numFmtId="172" fontId="18" fillId="15" borderId="0" xfId="0" applyNumberFormat="1" applyFont="1" applyFill="1" applyAlignment="1">
      <alignment horizontal="center"/>
    </xf>
    <xf numFmtId="0" fontId="19" fillId="15" borderId="0" xfId="0" applyFont="1" applyFill="1"/>
    <xf numFmtId="172" fontId="19" fillId="15" borderId="0" xfId="0" applyNumberFormat="1" applyFont="1" applyFill="1" applyAlignment="1">
      <alignment horizontal="center"/>
    </xf>
    <xf numFmtId="172" fontId="16" fillId="4" borderId="0" xfId="0" applyNumberFormat="1" applyFont="1" applyFill="1"/>
    <xf numFmtId="172" fontId="23" fillId="4" borderId="13" xfId="0" applyNumberFormat="1" applyFont="1" applyFill="1" applyBorder="1" applyAlignment="1">
      <alignment horizontal="center"/>
    </xf>
    <xf numFmtId="0" fontId="23" fillId="4" borderId="15" xfId="0" applyFont="1" applyFill="1" applyBorder="1"/>
    <xf numFmtId="172" fontId="23" fillId="4" borderId="16" xfId="0" applyNumberFormat="1" applyFont="1" applyFill="1" applyBorder="1" applyAlignment="1">
      <alignment horizontal="center"/>
    </xf>
    <xf numFmtId="0" fontId="23" fillId="4" borderId="17" xfId="0" applyFont="1" applyFill="1" applyBorder="1" applyAlignment="1">
      <alignment horizontal="left"/>
    </xf>
    <xf numFmtId="172" fontId="4" fillId="4" borderId="0" xfId="0" applyNumberFormat="1" applyFont="1" applyFill="1"/>
    <xf numFmtId="172" fontId="23" fillId="4" borderId="1" xfId="0" applyNumberFormat="1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6" fillId="16" borderId="2" xfId="0" applyFont="1" applyFill="1" applyBorder="1" applyAlignment="1">
      <alignment horizontal="center" wrapText="1"/>
    </xf>
    <xf numFmtId="172" fontId="6" fillId="16" borderId="2" xfId="0" applyNumberFormat="1" applyFont="1" applyFill="1" applyBorder="1" applyAlignment="1">
      <alignment horizontal="center"/>
    </xf>
    <xf numFmtId="172" fontId="6" fillId="16" borderId="2" xfId="0" applyNumberFormat="1" applyFont="1" applyFill="1" applyBorder="1" applyAlignment="1">
      <alignment horizontal="center" wrapText="1"/>
    </xf>
    <xf numFmtId="172" fontId="16" fillId="3" borderId="0" xfId="0" applyNumberFormat="1" applyFont="1" applyFill="1"/>
    <xf numFmtId="172" fontId="9" fillId="0" borderId="2" xfId="0" applyNumberFormat="1" applyFont="1" applyBorder="1" applyAlignment="1">
      <alignment horizontal="right"/>
    </xf>
    <xf numFmtId="172" fontId="9" fillId="0" borderId="2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10" fontId="16" fillId="3" borderId="0" xfId="0" applyNumberFormat="1" applyFont="1" applyFill="1"/>
    <xf numFmtId="0" fontId="19" fillId="4" borderId="13" xfId="0" applyFont="1" applyFill="1" applyBorder="1" applyAlignment="1">
      <alignment horizontal="left" vertical="center"/>
    </xf>
    <xf numFmtId="172" fontId="4" fillId="4" borderId="15" xfId="0" applyNumberFormat="1" applyFont="1" applyFill="1" applyBorder="1" applyAlignment="1">
      <alignment vertical="center"/>
    </xf>
    <xf numFmtId="0" fontId="19" fillId="4" borderId="16" xfId="0" applyFont="1" applyFill="1" applyBorder="1" applyAlignment="1">
      <alignment horizontal="left" vertical="center" wrapText="1"/>
    </xf>
    <xf numFmtId="172" fontId="4" fillId="4" borderId="17" xfId="0" applyNumberFormat="1" applyFont="1" applyFill="1" applyBorder="1" applyAlignment="1">
      <alignment horizontal="center" vertical="center" wrapText="1"/>
    </xf>
    <xf numFmtId="0" fontId="11" fillId="2" borderId="0" xfId="0" applyFont="1" applyFill="1"/>
    <xf numFmtId="177" fontId="11" fillId="2" borderId="0" xfId="0" applyNumberFormat="1" applyFont="1" applyFill="1"/>
    <xf numFmtId="0" fontId="19" fillId="4" borderId="16" xfId="0" applyFont="1" applyFill="1" applyBorder="1" applyAlignment="1">
      <alignment horizontal="left" wrapText="1"/>
    </xf>
    <xf numFmtId="2" fontId="11" fillId="3" borderId="0" xfId="0" applyNumberFormat="1" applyFont="1" applyFill="1"/>
    <xf numFmtId="172" fontId="6" fillId="2" borderId="0" xfId="0" applyNumberFormat="1" applyFont="1" applyFill="1" applyAlignment="1">
      <alignment horizontal="left"/>
    </xf>
    <xf numFmtId="0" fontId="19" fillId="14" borderId="16" xfId="0" applyFont="1" applyFill="1" applyBorder="1" applyAlignment="1">
      <alignment horizontal="left" vertical="center"/>
    </xf>
    <xf numFmtId="172" fontId="11" fillId="14" borderId="17" xfId="0" applyNumberFormat="1" applyFont="1" applyFill="1" applyBorder="1" applyAlignment="1">
      <alignment vertical="center"/>
    </xf>
    <xf numFmtId="0" fontId="19" fillId="17" borderId="18" xfId="0" applyFont="1" applyFill="1" applyBorder="1" applyAlignment="1">
      <alignment horizontal="left" vertical="center"/>
    </xf>
    <xf numFmtId="172" fontId="16" fillId="17" borderId="19" xfId="0" applyNumberFormat="1" applyFont="1" applyFill="1" applyBorder="1"/>
    <xf numFmtId="0" fontId="24" fillId="2" borderId="0" xfId="0" applyFont="1" applyFill="1"/>
    <xf numFmtId="0" fontId="18" fillId="15" borderId="13" xfId="0" applyFont="1" applyFill="1" applyBorder="1" applyAlignment="1">
      <alignment horizontal="right"/>
    </xf>
    <xf numFmtId="0" fontId="25" fillId="18" borderId="15" xfId="0" applyFont="1" applyFill="1" applyBorder="1" applyAlignment="1">
      <alignment horizontal="center"/>
    </xf>
    <xf numFmtId="9" fontId="18" fillId="18" borderId="0" xfId="0" applyNumberFormat="1" applyFont="1" applyFill="1" applyAlignment="1">
      <alignment horizontal="center" vertical="center"/>
    </xf>
    <xf numFmtId="0" fontId="26" fillId="3" borderId="0" xfId="0" applyFont="1" applyFill="1" applyAlignment="1">
      <alignment vertical="center"/>
    </xf>
    <xf numFmtId="172" fontId="10" fillId="2" borderId="1" xfId="0" applyNumberFormat="1" applyFont="1" applyFill="1" applyBorder="1"/>
    <xf numFmtId="178" fontId="9" fillId="2" borderId="0" xfId="0" applyNumberFormat="1" applyFont="1" applyFill="1"/>
    <xf numFmtId="0" fontId="18" fillId="15" borderId="16" xfId="0" applyFont="1" applyFill="1" applyBorder="1" applyAlignment="1">
      <alignment horizontal="right"/>
    </xf>
    <xf numFmtId="172" fontId="18" fillId="15" borderId="17" xfId="0" applyNumberFormat="1" applyFont="1" applyFill="1" applyBorder="1"/>
    <xf numFmtId="0" fontId="18" fillId="19" borderId="16" xfId="0" applyFont="1" applyFill="1" applyBorder="1" applyAlignment="1">
      <alignment horizontal="right"/>
    </xf>
    <xf numFmtId="172" fontId="18" fillId="18" borderId="17" xfId="0" applyNumberFormat="1" applyFont="1" applyFill="1" applyBorder="1"/>
    <xf numFmtId="0" fontId="4" fillId="0" borderId="1" xfId="0" applyFont="1" applyBorder="1" applyAlignment="1">
      <alignment horizontal="left" wrapText="1"/>
    </xf>
    <xf numFmtId="1" fontId="10" fillId="2" borderId="1" xfId="0" applyNumberFormat="1" applyFont="1" applyFill="1" applyBorder="1" applyAlignment="1">
      <alignment horizontal="center"/>
    </xf>
    <xf numFmtId="172" fontId="10" fillId="2" borderId="0" xfId="0" applyNumberFormat="1" applyFont="1" applyFill="1"/>
    <xf numFmtId="172" fontId="9" fillId="2" borderId="0" xfId="0" applyNumberFormat="1" applyFont="1" applyFill="1"/>
    <xf numFmtId="0" fontId="27" fillId="19" borderId="16" xfId="0" applyFont="1" applyFill="1" applyBorder="1" applyAlignment="1">
      <alignment horizontal="center" wrapText="1"/>
    </xf>
    <xf numFmtId="0" fontId="18" fillId="15" borderId="16" xfId="0" applyFont="1" applyFill="1" applyBorder="1" applyAlignment="1">
      <alignment horizontal="right" wrapText="1"/>
    </xf>
    <xf numFmtId="175" fontId="18" fillId="18" borderId="0" xfId="0" applyNumberFormat="1" applyFont="1" applyFill="1" applyAlignment="1">
      <alignment horizontal="center" vertical="center"/>
    </xf>
    <xf numFmtId="0" fontId="18" fillId="19" borderId="16" xfId="0" applyFont="1" applyFill="1" applyBorder="1" applyAlignment="1">
      <alignment horizontal="right" wrapText="1"/>
    </xf>
    <xf numFmtId="172" fontId="18" fillId="19" borderId="17" xfId="0" applyNumberFormat="1" applyFont="1" applyFill="1" applyBorder="1"/>
    <xf numFmtId="0" fontId="18" fillId="15" borderId="16" xfId="0" applyFont="1" applyFill="1" applyBorder="1" applyAlignment="1">
      <alignment horizontal="right" vertical="center" wrapText="1"/>
    </xf>
    <xf numFmtId="172" fontId="19" fillId="3" borderId="0" xfId="0" applyNumberFormat="1" applyFont="1" applyFill="1"/>
    <xf numFmtId="0" fontId="19" fillId="3" borderId="0" xfId="0" applyFont="1" applyFill="1"/>
    <xf numFmtId="0" fontId="18" fillId="19" borderId="4" xfId="0" applyFont="1" applyFill="1" applyBorder="1" applyAlignment="1">
      <alignment horizontal="right" wrapText="1"/>
    </xf>
    <xf numFmtId="0" fontId="18" fillId="19" borderId="5" xfId="0" applyFont="1" applyFill="1" applyBorder="1"/>
    <xf numFmtId="178" fontId="10" fillId="2" borderId="0" xfId="0" applyNumberFormat="1" applyFont="1" applyFill="1"/>
    <xf numFmtId="0" fontId="18" fillId="15" borderId="18" xfId="0" applyFont="1" applyFill="1" applyBorder="1" applyAlignment="1">
      <alignment horizontal="right" wrapText="1"/>
    </xf>
    <xf numFmtId="172" fontId="18" fillId="15" borderId="19" xfId="0" applyNumberFormat="1" applyFont="1" applyFill="1" applyBorder="1"/>
    <xf numFmtId="0" fontId="10" fillId="2" borderId="0" xfId="0" applyFont="1" applyFill="1" applyAlignment="1">
      <alignment vertical="center"/>
    </xf>
    <xf numFmtId="172" fontId="18" fillId="20" borderId="0" xfId="0" applyNumberFormat="1" applyFont="1" applyFill="1" applyAlignment="1">
      <alignment horizontal="center" vertical="center"/>
    </xf>
    <xf numFmtId="2" fontId="18" fillId="21" borderId="0" xfId="0" applyNumberFormat="1" applyFont="1" applyFill="1" applyAlignment="1">
      <alignment horizontal="center" vertical="center"/>
    </xf>
    <xf numFmtId="0" fontId="18" fillId="20" borderId="0" xfId="0" applyFont="1" applyFill="1" applyAlignment="1">
      <alignment horizontal="center" vertical="center"/>
    </xf>
    <xf numFmtId="0" fontId="18" fillId="20" borderId="0" xfId="0" applyFont="1" applyFill="1" applyAlignment="1">
      <alignment horizontal="center"/>
    </xf>
    <xf numFmtId="1" fontId="18" fillId="20" borderId="0" xfId="0" applyNumberFormat="1" applyFont="1" applyFill="1" applyAlignment="1">
      <alignment horizontal="center" vertical="center"/>
    </xf>
    <xf numFmtId="0" fontId="9" fillId="2" borderId="0" xfId="0" applyFont="1" applyFill="1" applyAlignment="1">
      <alignment horizontal="left"/>
    </xf>
    <xf numFmtId="0" fontId="4" fillId="2" borderId="0" xfId="4" applyFont="1" applyFill="1"/>
    <xf numFmtId="172" fontId="18" fillId="22" borderId="13" xfId="0" applyNumberFormat="1" applyFont="1" applyFill="1" applyBorder="1" applyAlignment="1">
      <alignment horizontal="center" vertical="center"/>
    </xf>
    <xf numFmtId="172" fontId="19" fillId="22" borderId="15" xfId="2" applyNumberFormat="1" applyFont="1" applyFill="1" applyBorder="1"/>
    <xf numFmtId="172" fontId="18" fillId="22" borderId="18" xfId="0" applyNumberFormat="1" applyFont="1" applyFill="1" applyBorder="1" applyAlignment="1">
      <alignment horizontal="center" vertical="center" wrapText="1"/>
    </xf>
    <xf numFmtId="172" fontId="19" fillId="22" borderId="19" xfId="2" applyNumberFormat="1" applyFont="1" applyFill="1" applyBorder="1" applyAlignment="1">
      <alignment horizontal="right"/>
    </xf>
    <xf numFmtId="0" fontId="19" fillId="3" borderId="13" xfId="0" applyFont="1" applyFill="1" applyBorder="1"/>
    <xf numFmtId="0" fontId="19" fillId="3" borderId="14" xfId="0" applyFont="1" applyFill="1" applyBorder="1"/>
    <xf numFmtId="174" fontId="19" fillId="3" borderId="15" xfId="0" applyNumberFormat="1" applyFont="1" applyFill="1" applyBorder="1"/>
    <xf numFmtId="0" fontId="10" fillId="3" borderId="0" xfId="0" applyFont="1" applyFill="1"/>
    <xf numFmtId="0" fontId="19" fillId="3" borderId="16" xfId="0" applyFont="1" applyFill="1" applyBorder="1"/>
    <xf numFmtId="172" fontId="19" fillId="3" borderId="17" xfId="0" applyNumberFormat="1" applyFont="1" applyFill="1" applyBorder="1"/>
    <xf numFmtId="0" fontId="23" fillId="3" borderId="16" xfId="0" applyFont="1" applyFill="1" applyBorder="1"/>
    <xf numFmtId="172" fontId="11" fillId="3" borderId="17" xfId="0" applyNumberFormat="1" applyFont="1" applyFill="1" applyBorder="1"/>
    <xf numFmtId="172" fontId="11" fillId="3" borderId="0" xfId="0" applyNumberFormat="1" applyFont="1" applyFill="1"/>
    <xf numFmtId="4" fontId="4" fillId="2" borderId="0" xfId="0" applyNumberFormat="1" applyFont="1" applyFill="1" applyAlignment="1">
      <alignment horizontal="left"/>
    </xf>
    <xf numFmtId="0" fontId="11" fillId="3" borderId="16" xfId="0" applyFont="1" applyFill="1" applyBorder="1"/>
    <xf numFmtId="0" fontId="18" fillId="16" borderId="16" xfId="0" applyFont="1" applyFill="1" applyBorder="1"/>
    <xf numFmtId="0" fontId="18" fillId="16" borderId="0" xfId="0" applyFont="1" applyFill="1"/>
    <xf numFmtId="172" fontId="18" fillId="16" borderId="17" xfId="0" applyNumberFormat="1" applyFont="1" applyFill="1" applyBorder="1"/>
    <xf numFmtId="172" fontId="10" fillId="3" borderId="0" xfId="0" applyNumberFormat="1" applyFont="1" applyFill="1"/>
    <xf numFmtId="0" fontId="4" fillId="0" borderId="0" xfId="0" applyFont="1" applyAlignment="1">
      <alignment horizontal="left"/>
    </xf>
    <xf numFmtId="179" fontId="19" fillId="3" borderId="17" xfId="0" applyNumberFormat="1" applyFont="1" applyFill="1" applyBorder="1"/>
    <xf numFmtId="0" fontId="8" fillId="2" borderId="0" xfId="4" applyFont="1" applyFill="1"/>
    <xf numFmtId="4" fontId="4" fillId="3" borderId="0" xfId="0" applyNumberFormat="1" applyFont="1" applyFill="1"/>
    <xf numFmtId="10" fontId="19" fillId="3" borderId="17" xfId="2" applyNumberFormat="1" applyFont="1" applyFill="1" applyBorder="1"/>
    <xf numFmtId="0" fontId="9" fillId="2" borderId="0" xfId="0" applyFont="1" applyFill="1" applyAlignment="1">
      <alignment wrapText="1"/>
    </xf>
    <xf numFmtId="0" fontId="19" fillId="3" borderId="18" xfId="0" applyFont="1" applyFill="1" applyBorder="1" applyAlignment="1">
      <alignment wrapText="1"/>
    </xf>
    <xf numFmtId="0" fontId="19" fillId="3" borderId="3" xfId="0" applyFont="1" applyFill="1" applyBorder="1"/>
    <xf numFmtId="172" fontId="19" fillId="3" borderId="19" xfId="0" applyNumberFormat="1" applyFont="1" applyFill="1" applyBorder="1"/>
    <xf numFmtId="43" fontId="11" fillId="3" borderId="0" xfId="1" applyFont="1" applyFill="1" applyAlignment="1">
      <alignment horizontal="center"/>
    </xf>
    <xf numFmtId="180" fontId="11" fillId="3" borderId="0" xfId="1" applyNumberFormat="1" applyFont="1" applyFill="1" applyAlignment="1">
      <alignment horizontal="center"/>
    </xf>
    <xf numFmtId="180" fontId="4" fillId="3" borderId="0" xfId="1" applyNumberFormat="1" applyFont="1" applyFill="1"/>
    <xf numFmtId="0" fontId="31" fillId="2" borderId="0" xfId="0" applyFont="1" applyFill="1" applyAlignment="1">
      <alignment horizontal="left"/>
    </xf>
    <xf numFmtId="0" fontId="6" fillId="2" borderId="0" xfId="0" applyFont="1" applyFill="1"/>
    <xf numFmtId="0" fontId="32" fillId="2" borderId="0" xfId="0" applyFont="1" applyFill="1"/>
    <xf numFmtId="0" fontId="7" fillId="0" borderId="0" xfId="0" applyFont="1"/>
    <xf numFmtId="4" fontId="4" fillId="0" borderId="0" xfId="0" applyNumberFormat="1" applyFont="1"/>
    <xf numFmtId="0" fontId="4" fillId="0" borderId="0" xfId="0" applyFont="1" applyAlignment="1">
      <alignment horizontal="center"/>
    </xf>
    <xf numFmtId="9" fontId="4" fillId="5" borderId="1" xfId="2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8" fillId="3" borderId="3" xfId="0" applyFont="1" applyFill="1" applyBorder="1" applyAlignment="1">
      <alignment horizontal="center"/>
    </xf>
    <xf numFmtId="0" fontId="11" fillId="5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5" borderId="1" xfId="2" applyNumberFormat="1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172" fontId="18" fillId="7" borderId="4" xfId="0" applyNumberFormat="1" applyFont="1" applyFill="1" applyBorder="1" applyAlignment="1">
      <alignment horizontal="center" wrapText="1"/>
    </xf>
    <xf numFmtId="172" fontId="18" fillId="7" borderId="5" xfId="0" applyNumberFormat="1" applyFont="1" applyFill="1" applyBorder="1" applyAlignment="1">
      <alignment horizontal="center" wrapText="1"/>
    </xf>
    <xf numFmtId="10" fontId="4" fillId="2" borderId="1" xfId="0" applyNumberFormat="1" applyFont="1" applyFill="1" applyBorder="1" applyAlignment="1">
      <alignment horizontal="center" vertical="center"/>
    </xf>
    <xf numFmtId="168" fontId="22" fillId="0" borderId="22" xfId="0" applyNumberFormat="1" applyFont="1" applyBorder="1" applyAlignment="1">
      <alignment horizontal="left" vertical="top" wrapText="1"/>
    </xf>
    <xf numFmtId="168" fontId="22" fillId="0" borderId="23" xfId="0" applyNumberFormat="1" applyFont="1" applyBorder="1" applyAlignment="1">
      <alignment horizontal="left" vertical="top" wrapText="1"/>
    </xf>
    <xf numFmtId="0" fontId="6" fillId="11" borderId="1" xfId="0" applyFont="1" applyFill="1" applyBorder="1" applyAlignment="1">
      <alignment horizontal="center" wrapText="1"/>
    </xf>
    <xf numFmtId="0" fontId="18" fillId="12" borderId="13" xfId="0" applyFont="1" applyFill="1" applyBorder="1" applyAlignment="1">
      <alignment horizontal="center" vertical="center"/>
    </xf>
    <xf numFmtId="0" fontId="18" fillId="12" borderId="14" xfId="0" applyFont="1" applyFill="1" applyBorder="1" applyAlignment="1">
      <alignment horizontal="center" vertical="center"/>
    </xf>
    <xf numFmtId="0" fontId="18" fillId="12" borderId="15" xfId="0" applyFont="1" applyFill="1" applyBorder="1" applyAlignment="1">
      <alignment horizontal="center" vertical="center"/>
    </xf>
    <xf numFmtId="10" fontId="16" fillId="13" borderId="0" xfId="0" applyNumberFormat="1" applyFont="1" applyFill="1" applyAlignment="1">
      <alignment horizontal="center" vertical="center"/>
    </xf>
    <xf numFmtId="0" fontId="20" fillId="2" borderId="4" xfId="0" applyFont="1" applyFill="1" applyBorder="1" applyAlignment="1">
      <alignment horizontal="right"/>
    </xf>
    <xf numFmtId="0" fontId="20" fillId="2" borderId="20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1" fillId="2" borderId="7" xfId="0" applyFont="1" applyFill="1" applyBorder="1" applyAlignment="1">
      <alignment horizontal="right"/>
    </xf>
    <xf numFmtId="0" fontId="21" fillId="2" borderId="21" xfId="0" applyFont="1" applyFill="1" applyBorder="1" applyAlignment="1">
      <alignment horizontal="right"/>
    </xf>
    <xf numFmtId="0" fontId="16" fillId="2" borderId="7" xfId="0" applyFont="1" applyFill="1" applyBorder="1" applyAlignment="1">
      <alignment horizontal="center"/>
    </xf>
    <xf numFmtId="0" fontId="16" fillId="2" borderId="21" xfId="0" applyFont="1" applyFill="1" applyBorder="1" applyAlignment="1">
      <alignment horizontal="center"/>
    </xf>
    <xf numFmtId="0" fontId="16" fillId="2" borderId="8" xfId="0" applyFont="1" applyFill="1" applyBorder="1" applyAlignment="1">
      <alignment horizontal="center"/>
    </xf>
    <xf numFmtId="0" fontId="6" fillId="14" borderId="4" xfId="0" applyFont="1" applyFill="1" applyBorder="1" applyAlignment="1">
      <alignment horizontal="center" vertical="center" wrapText="1"/>
    </xf>
    <xf numFmtId="0" fontId="6" fillId="14" borderId="5" xfId="0" applyFont="1" applyFill="1" applyBorder="1" applyAlignment="1">
      <alignment horizontal="center" vertical="center" wrapText="1"/>
    </xf>
    <xf numFmtId="0" fontId="18" fillId="20" borderId="1" xfId="0" applyFont="1" applyFill="1" applyBorder="1" applyAlignment="1">
      <alignment horizontal="center" vertical="center"/>
    </xf>
    <xf numFmtId="168" fontId="6" fillId="8" borderId="7" xfId="0" applyNumberFormat="1" applyFont="1" applyFill="1" applyBorder="1" applyAlignment="1">
      <alignment horizontal="center" vertical="center" wrapText="1"/>
    </xf>
    <xf numFmtId="168" fontId="6" fillId="8" borderId="8" xfId="0" applyNumberFormat="1" applyFont="1" applyFill="1" applyBorder="1" applyAlignment="1">
      <alignment horizontal="center" vertical="center" wrapText="1"/>
    </xf>
    <xf numFmtId="172" fontId="16" fillId="4" borderId="0" xfId="0" applyNumberFormat="1" applyFont="1" applyFill="1" applyAlignment="1">
      <alignment horizontal="center" wrapText="1"/>
    </xf>
    <xf numFmtId="0" fontId="6" fillId="2" borderId="24" xfId="0" applyFont="1" applyFill="1" applyBorder="1" applyAlignment="1">
      <alignment horizontal="center" vertical="center"/>
    </xf>
    <xf numFmtId="168" fontId="6" fillId="16" borderId="2" xfId="0" applyNumberFormat="1" applyFont="1" applyFill="1" applyBorder="1" applyAlignment="1">
      <alignment horizontal="center" wrapText="1"/>
    </xf>
    <xf numFmtId="168" fontId="9" fillId="0" borderId="2" xfId="0" applyNumberFormat="1" applyFont="1" applyBorder="1" applyAlignment="1">
      <alignment horizontal="center" wrapText="1"/>
    </xf>
    <xf numFmtId="10" fontId="16" fillId="3" borderId="1" xfId="0" applyNumberFormat="1" applyFont="1" applyFill="1" applyBorder="1" applyAlignment="1">
      <alignment horizontal="center"/>
    </xf>
    <xf numFmtId="168" fontId="6" fillId="8" borderId="2" xfId="0" applyNumberFormat="1" applyFont="1" applyFill="1" applyBorder="1" applyAlignment="1">
      <alignment horizontal="center" vertical="center" wrapText="1"/>
    </xf>
    <xf numFmtId="0" fontId="18" fillId="15" borderId="4" xfId="0" applyFont="1" applyFill="1" applyBorder="1" applyAlignment="1">
      <alignment horizontal="center"/>
    </xf>
    <xf numFmtId="0" fontId="18" fillId="15" borderId="5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172" fontId="18" fillId="22" borderId="1" xfId="0" applyNumberFormat="1" applyFont="1" applyFill="1" applyBorder="1" applyAlignment="1">
      <alignment horizontal="center" vertical="center" wrapText="1"/>
    </xf>
    <xf numFmtId="172" fontId="25" fillId="23" borderId="1" xfId="0" applyNumberFormat="1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</cellXfs>
  <cellStyles count="5">
    <cellStyle name="Hiperlink" xfId="3" builtinId="8"/>
    <cellStyle name="Normal" xfId="0" builtinId="0"/>
    <cellStyle name="Normal 5" xfId="4" xr:uid="{6FEF33B2-2705-404D-97EB-EF281FDC3401}"/>
    <cellStyle name="Porcentagem" xfId="2" builtinId="5"/>
    <cellStyle name="Vírgula" xfId="1" builtinId="3"/>
  </cellStyles>
  <dxfs count="13"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1085850</xdr:colOff>
          <xdr:row>1</xdr:row>
          <xdr:rowOff>85725</xdr:rowOff>
        </xdr:from>
        <xdr:to>
          <xdr:col>18</xdr:col>
          <xdr:colOff>781050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1000125</xdr:colOff>
          <xdr:row>48</xdr:row>
          <xdr:rowOff>333375</xdr:rowOff>
        </xdr:from>
        <xdr:to>
          <xdr:col>16</xdr:col>
          <xdr:colOff>2705100</xdr:colOff>
          <xdr:row>49</xdr:row>
          <xdr:rowOff>571500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94</xdr:row>
      <xdr:rowOff>277091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756746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710045</xdr:colOff>
      <xdr:row>4</xdr:row>
      <xdr:rowOff>259772</xdr:rowOff>
    </xdr:to>
    <xdr:sp macro="[0]!AbrirPreCalcETrabPrec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73332" cy="52301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2024</a:t>
          </a:r>
        </a:p>
      </xdr:txBody>
    </xdr:sp>
    <xdr:clientData/>
  </xdr:twoCellAnchor>
  <xdr:twoCellAnchor>
    <xdr:from>
      <xdr:col>12</xdr:col>
      <xdr:colOff>2199410</xdr:colOff>
      <xdr:row>48</xdr:row>
      <xdr:rowOff>554182</xdr:rowOff>
    </xdr:from>
    <xdr:to>
      <xdr:col>13</xdr:col>
      <xdr:colOff>1039093</xdr:colOff>
      <xdr:row>49</xdr:row>
      <xdr:rowOff>554183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7107285" y="18651682"/>
          <a:ext cx="1201883" cy="59055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reCalc.xlsm" TargetMode="External"/><Relationship Id="rId1" Type="http://schemas.openxmlformats.org/officeDocument/2006/relationships/externalLinkPath" Target="/Users/Gabriel/Downloads/PreCalc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  <sheetName val="PreCalc"/>
    </sheetNames>
    <definedNames>
      <definedName name="LimparCálculos"/>
    </definedNames>
    <sheetDataSet>
      <sheetData sheetId="0"/>
      <sheetData sheetId="1"/>
      <sheetData sheetId="2">
        <row r="8">
          <cell r="C8"/>
        </row>
        <row r="10">
          <cell r="C10" t="str">
            <v>Digite o orçamento</v>
          </cell>
        </row>
        <row r="12">
          <cell r="C12" t="str">
            <v>Digite a Data do Protocolo</v>
          </cell>
        </row>
        <row r="14">
          <cell r="C14" t="str">
            <v>Digite Nome do Exequente</v>
          </cell>
        </row>
        <row r="16">
          <cell r="C16" t="str">
            <v>Digite Nome do Executado</v>
          </cell>
        </row>
        <row r="18">
          <cell r="AD18" t="str">
            <v>Digite a Data do Cálculo Homologado</v>
          </cell>
          <cell r="AE18" t="str">
            <v>Digite a Data do Cálculo Homologado</v>
          </cell>
          <cell r="AF18" t="e">
            <v>#VALUE!</v>
          </cell>
        </row>
        <row r="19">
          <cell r="AC19" t="e">
            <v>#N/A</v>
          </cell>
        </row>
        <row r="20">
          <cell r="C20"/>
        </row>
        <row r="22">
          <cell r="C22"/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B1"/>
          <cell r="C1"/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  <cell r="BJ1"/>
          <cell r="BK1"/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D3"/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  <cell r="BJ3"/>
          <cell r="BK3"/>
        </row>
        <row r="4">
          <cell r="A4" t="str">
            <v>b</v>
          </cell>
          <cell r="B4" t="str">
            <v>Fevereiro</v>
          </cell>
          <cell r="C4" t="str">
            <v>FEV</v>
          </cell>
          <cell r="D4"/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  <cell r="BJ4"/>
          <cell r="BK4"/>
        </row>
        <row r="5">
          <cell r="A5" t="str">
            <v>c</v>
          </cell>
          <cell r="B5" t="str">
            <v>Março</v>
          </cell>
          <cell r="C5" t="str">
            <v>MAR</v>
          </cell>
          <cell r="D5"/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  <cell r="BJ5"/>
          <cell r="BK5"/>
        </row>
        <row r="6">
          <cell r="A6" t="str">
            <v>d</v>
          </cell>
          <cell r="B6" t="str">
            <v>Abril</v>
          </cell>
          <cell r="C6" t="str">
            <v>ABR</v>
          </cell>
          <cell r="D6"/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  <cell r="BJ6"/>
          <cell r="BK6"/>
        </row>
        <row r="7">
          <cell r="A7" t="str">
            <v>e</v>
          </cell>
          <cell r="B7" t="str">
            <v>Maio</v>
          </cell>
          <cell r="C7" t="str">
            <v>MAI</v>
          </cell>
          <cell r="D7"/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  <cell r="BJ7"/>
          <cell r="BK7"/>
        </row>
        <row r="8">
          <cell r="A8" t="str">
            <v>f</v>
          </cell>
          <cell r="B8" t="str">
            <v>Junho</v>
          </cell>
          <cell r="C8" t="str">
            <v>JUN</v>
          </cell>
          <cell r="D8"/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  <cell r="BJ8"/>
          <cell r="BK8"/>
        </row>
        <row r="9">
          <cell r="A9" t="str">
            <v>g</v>
          </cell>
          <cell r="B9" t="str">
            <v>Julho</v>
          </cell>
          <cell r="C9" t="str">
            <v>JUL</v>
          </cell>
          <cell r="D9"/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  <cell r="BJ9"/>
          <cell r="BK9"/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D10"/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  <cell r="BJ10"/>
          <cell r="BK10"/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D11"/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  <cell r="BJ11"/>
          <cell r="BK11"/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  <cell r="BJ12"/>
          <cell r="BK12"/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  <cell r="BJ13"/>
          <cell r="BK13"/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  <cell r="BJ14"/>
          <cell r="BK14"/>
        </row>
        <row r="15">
          <cell r="B15"/>
          <cell r="C15"/>
          <cell r="D15"/>
          <cell r="E15"/>
          <cell r="F15"/>
          <cell r="G15"/>
          <cell r="H15"/>
          <cell r="I15"/>
          <cell r="J15"/>
          <cell r="K15"/>
          <cell r="L15"/>
          <cell r="M15"/>
          <cell r="N15"/>
          <cell r="O15"/>
          <cell r="P15"/>
          <cell r="Q15"/>
          <cell r="R15"/>
          <cell r="S15"/>
          <cell r="T15"/>
          <cell r="U15"/>
          <cell r="V15"/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 t="b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 t="b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 t="b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 t="b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 t="b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 t="b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 t="b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 t="b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 t="b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 t="b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 t="b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 t="b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 t="b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 t="b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 t="b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 t="b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 t="b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 t="b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 t="b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 t="b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 t="b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 t="b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 t="b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 t="b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 t="b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 t="b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 t="b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 t="b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 t="b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 t="b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 t="b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 t="b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 t="b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 t="b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 t="b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 t="b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 t="b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 t="b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 t="b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 t="b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 t="b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 t="b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 t="b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 t="b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 t="b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 t="b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 t="b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 t="b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 t="b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 t="b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 t="b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 t="b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 t="b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 t="b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 t="b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 t="b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 t="b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 t="b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 t="b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 t="b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 t="b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 t="b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 t="b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 t="b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 t="b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 t="b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 t="b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 t="b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 t="b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 t="b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 t="b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 t="b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 t="b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 t="b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 t="b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 t="b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 t="b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 t="b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 t="b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 t="b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 t="b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 t="b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 t="b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 t="b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 t="b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 t="b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 t="b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 t="b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 t="b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 t="b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 t="b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 t="b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 t="b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 t="b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 t="b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 t="b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 t="b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 t="b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 t="b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 t="b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 t="b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 t="b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 t="b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 t="b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 t="b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 t="b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 t="b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 t="b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 t="b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 t="b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 t="b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 t="b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 t="b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 t="b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 t="b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 t="b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 t="b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 t="b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 t="b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 t="b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 t="b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 t="b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 t="b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 t="b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 t="b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 t="b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 t="b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 t="b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 t="b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 t="b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 t="b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 t="b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 t="b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 t="b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 t="b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 t="b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 t="b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 t="b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 t="b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 t="b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 t="b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 t="b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 t="b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 t="b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 t="b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 t="b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 t="b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 t="b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 t="b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 t="b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 t="b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 t="b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 t="b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 t="b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 t="b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 t="b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 t="b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 t="b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 t="b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 t="b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 t="b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 t="b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 t="b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 t="b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 t="b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 t="b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 t="b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 t="b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 t="b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 t="b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 t="b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 t="b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 t="b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 t="b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 t="b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 t="b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 t="b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 t="b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 t="b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 t="b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 t="b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 t="b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 t="b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 t="b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 t="b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 t="b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 t="b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 t="b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 t="b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 t="b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 t="b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 t="b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 t="b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 t="b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 t="b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 t="b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 t="b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 t="b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 t="b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 t="b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 t="b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 t="b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 t="b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 t="b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 t="b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 t="b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 t="b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 t="b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 t="b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 t="b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 t="b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 t="b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 t="b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 t="b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 t="b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 t="b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 t="b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 t="b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 t="b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 t="b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 t="b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 t="b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 t="b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 t="b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 t="b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 t="b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 t="b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 t="b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 t="b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 t="b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 t="b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 t="b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 t="b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 t="b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 t="b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 t="b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 t="b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 t="b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 t="b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 t="b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 t="b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 t="b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 t="b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 t="b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 t="b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 t="b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 t="b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 t="b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 t="b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 t="b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 t="b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 t="b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 t="b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 t="b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 t="b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 t="b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 t="b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 t="b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 t="b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 t="b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 t="b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 t="b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 t="b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 t="b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 t="b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 t="b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 t="b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 t="b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 t="b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 t="b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 t="b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 t="b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 t="b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 t="b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 t="b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 t="b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 t="b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 t="b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 t="b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 t="b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 t="b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 t="b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 t="b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 t="b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 t="b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 t="b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 t="b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 t="b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 t="b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 t="b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 t="b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 t="b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 t="b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 t="b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 t="b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 t="b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 t="b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 t="b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 t="b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 t="b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 t="b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 t="b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 t="b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 t="b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 t="b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 t="b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 t="b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 t="b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 t="b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 t="b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 t="b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 t="b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 t="b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 t="b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 t="b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 t="b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 t="b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 t="b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 t="b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 t="b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 t="b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 t="b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 t="b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 t="b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 t="b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 t="b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 t="b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 t="b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 t="b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 t="b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 t="b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 t="b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 t="b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 t="b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 t="b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 t="b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 t="b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 t="b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 t="b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 t="b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 t="b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 t="b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 t="b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 t="b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 t="b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 t="b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 t="b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 t="b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 t="b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 t="b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 t="b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 t="b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 t="b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 t="b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 t="b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 t="b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 t="b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 t="b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 t="b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 t="b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 t="b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 t="b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 t="b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 t="b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 t="b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 t="b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 t="b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 t="b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 t="b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 t="b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 t="b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 t="b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 t="b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 t="b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 t="b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 t="b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 t="b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 t="b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 t="b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 t="b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 t="b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 t="b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 t="b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 t="b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 t="b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 t="b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 t="b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 t="b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 t="b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 t="b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 t="b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 t="b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 t="b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 t="b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 t="b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 t="b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 t="b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 t="b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 t="b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 t="b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 t="b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 t="b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 t="b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 t="b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 t="b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 t="b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 t="b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 t="b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 t="b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 t="b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 t="b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 t="b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 t="b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 t="b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 t="b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 t="b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 t="b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 t="b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 t="b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 t="b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 t="b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 t="b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 t="b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 t="b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 t="b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 t="b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 t="b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 t="b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 t="b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 t="b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 t="b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 t="b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 t="b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 t="b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 t="b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 t="b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 t="b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 t="b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 t="b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 t="b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 t="b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 t="b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 t="b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 t="b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 t="b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 t="b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 t="b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 t="b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 t="b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 t="b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 t="b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 t="b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 t="b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 t="b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 t="b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 t="b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 t="b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 t="b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 t="b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 t="b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 t="b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 t="b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 t="b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 t="b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 t="b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 t="b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 t="b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 t="b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 t="b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 t="b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 t="b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 t="b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 t="b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 t="b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 t="b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 t="b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 t="b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 t="b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 t="b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 t="b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 t="b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 t="b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 t="b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 t="b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 t="b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 t="b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 t="b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 t="b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 t="b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 t="b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 t="b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 t="b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 t="b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 t="b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 t="b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 t="b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 t="b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 t="b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 t="b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 t="b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 t="b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 t="b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 t="b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 t="b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 t="b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 t="b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 t="b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 t="b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 t="b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 t="b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 t="b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 t="b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 t="b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 t="b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 t="b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 t="b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 t="b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 t="b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 t="b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 t="b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 t="b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 t="b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 t="b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 t="b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 t="b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 t="b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 t="b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 t="b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 t="b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 t="b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 t="b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 t="b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 t="b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 t="b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 t="b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 t="b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 t="b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 t="b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 t="b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 t="b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 t="b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 t="b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 t="b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 t="b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 t="b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 t="b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 t="b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 t="b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 t="b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 t="b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 t="b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 t="b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 t="b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 t="b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 t="b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 t="b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 t="b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 t="b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 t="b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 t="b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 t="b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 t="b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 t="b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 t="b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 t="b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 t="b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 t="b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 t="b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 t="b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 t="b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 t="b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 t="b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 t="b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 t="b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 t="b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 t="b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 t="b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 t="b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 t="b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 t="b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 t="b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 t="b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 t="b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 t="b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 t="b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 t="b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 t="b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 t="b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 t="b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 t="b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 t="b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 t="b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 t="b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 t="b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 t="b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 t="b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 t="b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 t="b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 t="b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 t="b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 t="b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 t="b">
            <v>0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 t="b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 t="b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 t="b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 t="b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 t="b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 t="b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 t="b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 t="b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 t="b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 t="b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 t="b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 t="b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 t="b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 t="b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 t="b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 t="b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 t="b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 t="b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 t="b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 t="b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 t="b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 t="b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 t="b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 t="b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 t="b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 t="b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 t="b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 t="b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 t="b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 t="b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 t="b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 t="b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 t="b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 t="b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 t="b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 t="b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 t="b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 t="b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 t="b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 t="b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 t="b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 t="b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 t="b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 t="b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 t="b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 t="b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 t="b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 t="b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 t="b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 t="b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 t="b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 t="b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 t="b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 t="b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 t="b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 t="b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 t="b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 t="b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 t="b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 t="b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 t="b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 t="b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 t="b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 t="b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 t="b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 t="b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 t="b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 t="b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 t="b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 t="b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 t="b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 t="b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 t="b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 t="b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 t="b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 t="b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 t="b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 t="b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 t="b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 t="b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 t="b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 t="b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 t="b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 t="b">
            <v>0</v>
          </cell>
        </row>
        <row r="691">
          <cell r="B691"/>
        </row>
        <row r="692">
          <cell r="B692"/>
        </row>
      </sheetData>
      <sheetData sheetId="5">
        <row r="8">
          <cell r="U8">
            <v>15.71</v>
          </cell>
          <cell r="V8">
            <v>1.01</v>
          </cell>
        </row>
        <row r="28">
          <cell r="U28">
            <v>1.0748029672221575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163"/>
  <sheetViews>
    <sheetView tabSelected="1" zoomScale="55" zoomScaleNormal="55" zoomScaleSheetLayoutView="70" workbookViewId="0">
      <selection activeCell="D1" sqref="D1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17" customWidth="1"/>
    <col min="5" max="5" width="37.140625" style="17" customWidth="1"/>
    <col min="6" max="6" width="36.28515625" style="17" customWidth="1"/>
    <col min="7" max="7" width="37.42578125" style="17" customWidth="1"/>
    <col min="8" max="8" width="41.42578125" style="17" customWidth="1"/>
    <col min="9" max="9" width="42.7109375" style="17" customWidth="1"/>
    <col min="10" max="10" width="40.5703125" style="17" customWidth="1"/>
    <col min="11" max="11" width="35.5703125" style="6" customWidth="1"/>
    <col min="12" max="12" width="38.5703125" style="7" bestFit="1" customWidth="1"/>
    <col min="13" max="13" width="35.42578125" style="199" customWidth="1"/>
    <col min="14" max="14" width="34.7109375" style="199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30.5703125" style="6" bestFit="1" customWidth="1"/>
    <col min="25" max="25" width="11.7109375" style="6" customWidth="1"/>
    <col min="26" max="26" width="0.5703125" style="6" customWidth="1"/>
    <col min="27" max="27" width="24.42578125" style="6" customWidth="1"/>
    <col min="28" max="28" width="17.28515625" style="6" customWidth="1"/>
    <col min="29" max="29" width="19.5703125" style="6" hidden="1" customWidth="1"/>
    <col min="30" max="30" width="5.42578125" style="6" hidden="1" customWidth="1"/>
    <col min="31" max="31" width="26.42578125" style="6" hidden="1" customWidth="1"/>
    <col min="32" max="32" width="19.140625" style="6" customWidth="1"/>
    <col min="33" max="33" width="29.28515625" style="6" customWidth="1"/>
    <col min="34" max="34" width="19.28515625" style="6" customWidth="1"/>
    <col min="35" max="35" width="18.7109375" style="6" customWidth="1"/>
    <col min="36" max="36" width="10" style="6" hidden="1" customWidth="1"/>
    <col min="37" max="37" width="3" style="6" hidden="1" customWidth="1"/>
    <col min="38" max="38" width="23.140625" style="6" customWidth="1"/>
    <col min="39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02" t="s">
        <v>0</v>
      </c>
      <c r="D4" s="202"/>
      <c r="E4" s="202"/>
      <c r="F4" s="202"/>
      <c r="G4" s="202"/>
      <c r="H4" s="202"/>
      <c r="I4" s="202"/>
      <c r="J4" s="202"/>
      <c r="K4" s="202"/>
      <c r="L4" s="202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02" t="s">
        <v>1</v>
      </c>
      <c r="D5" s="202"/>
      <c r="E5" s="202"/>
      <c r="F5" s="202"/>
      <c r="G5" s="202"/>
      <c r="H5" s="202"/>
      <c r="I5" s="202"/>
      <c r="J5" s="202"/>
      <c r="K5" s="202"/>
      <c r="L5" s="202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9"/>
      <c r="D6" s="9"/>
      <c r="E6" s="9"/>
      <c r="F6" s="9"/>
      <c r="G6" s="9"/>
      <c r="H6" s="9"/>
      <c r="I6" s="9"/>
      <c r="J6" s="9"/>
      <c r="K6" s="10"/>
      <c r="L6" s="11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2"/>
      <c r="D7" s="13" t="s">
        <v>2</v>
      </c>
      <c r="E7" s="13">
        <f>[1]MENU!C8</f>
        <v>0</v>
      </c>
      <c r="F7" s="14"/>
      <c r="G7" s="14"/>
      <c r="H7" s="14"/>
      <c r="I7" s="15"/>
      <c r="J7" s="14"/>
      <c r="K7" s="12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7" ht="23.25">
      <c r="A8" s="1"/>
      <c r="B8" s="1"/>
      <c r="C8" s="12"/>
      <c r="D8" s="13" t="s">
        <v>3</v>
      </c>
      <c r="E8" s="13" t="str">
        <f>[1]MENU!C10</f>
        <v>Digite o orçamento</v>
      </c>
      <c r="F8" s="14"/>
      <c r="G8" s="14"/>
      <c r="H8" s="14"/>
      <c r="I8" s="15"/>
      <c r="J8" s="14"/>
      <c r="K8" s="12"/>
      <c r="L8" s="3"/>
      <c r="M8" s="4"/>
      <c r="N8" s="4"/>
      <c r="O8" s="1"/>
      <c r="P8" s="5"/>
      <c r="Q8" s="16" t="s">
        <v>4</v>
      </c>
      <c r="R8" s="204" t="s">
        <v>5</v>
      </c>
      <c r="S8" s="204"/>
      <c r="T8" s="5"/>
      <c r="U8" s="16" t="s">
        <v>6</v>
      </c>
      <c r="V8" s="204" t="s">
        <v>5</v>
      </c>
      <c r="W8" s="204"/>
      <c r="X8" s="5"/>
      <c r="Y8" s="5"/>
      <c r="AI8" s="7"/>
      <c r="AJ8" s="200" t="s">
        <v>7</v>
      </c>
      <c r="AK8" s="200"/>
    </row>
    <row r="9" spans="1:37" ht="48.75" customHeight="1">
      <c r="A9" s="1"/>
      <c r="B9" s="1"/>
      <c r="C9" s="12"/>
      <c r="D9" s="13" t="s">
        <v>8</v>
      </c>
      <c r="E9" s="18" t="str">
        <f>[1]MENU!C12</f>
        <v>Digite a Data do Protocolo</v>
      </c>
      <c r="F9" s="14"/>
      <c r="G9" s="14"/>
      <c r="H9" s="19"/>
      <c r="I9" s="20" t="s">
        <v>9</v>
      </c>
      <c r="J9" s="21" t="e">
        <f>IF(E8&lt;=2022,TEXT(DATE(E8-1,7,2),"dd/mm/aaaa") &amp; " até " &amp; TEXT(DATE(E8,12,31),"dd/mm/aaaa"),TEXT(DATE(E8-1,4,3),"dd/mm/aaaa") &amp; " até " &amp; TEXT(DATE(E8,12,31),"dd/mm/aaaa"))</f>
        <v>#VALUE!</v>
      </c>
      <c r="K9" s="10"/>
      <c r="L9" s="3"/>
      <c r="M9" s="4"/>
      <c r="N9" s="22"/>
      <c r="O9" s="1"/>
      <c r="P9" s="5"/>
      <c r="Q9" s="23" t="s">
        <v>10</v>
      </c>
      <c r="R9" s="201">
        <v>0</v>
      </c>
      <c r="S9" s="201"/>
      <c r="T9" s="5"/>
      <c r="U9" s="23" t="s">
        <v>11</v>
      </c>
      <c r="V9" s="201">
        <v>0</v>
      </c>
      <c r="W9" s="201"/>
      <c r="X9" s="5"/>
      <c r="Y9" s="5"/>
      <c r="AI9" s="7"/>
      <c r="AJ9" s="24" t="s">
        <v>12</v>
      </c>
      <c r="AK9" s="24">
        <v>1</v>
      </c>
    </row>
    <row r="10" spans="1:37" ht="23.25">
      <c r="A10" s="1"/>
      <c r="B10" s="1"/>
      <c r="C10" s="12"/>
      <c r="D10" s="13" t="s">
        <v>13</v>
      </c>
      <c r="E10" s="25" t="str">
        <f>[1]MENU!C14</f>
        <v>Digite Nome do Exequente</v>
      </c>
      <c r="F10" s="14"/>
      <c r="G10" s="14"/>
      <c r="H10" s="14"/>
      <c r="I10" s="14"/>
      <c r="J10" s="14"/>
      <c r="K10" s="10"/>
      <c r="L10" s="3"/>
      <c r="M10" s="4"/>
      <c r="N10" s="4"/>
      <c r="O10" s="1"/>
      <c r="P10" s="5"/>
      <c r="Q10" s="16" t="s">
        <v>14</v>
      </c>
      <c r="R10" s="206" t="s">
        <v>15</v>
      </c>
      <c r="S10" s="206"/>
      <c r="T10" s="5"/>
      <c r="U10" s="16" t="s">
        <v>14</v>
      </c>
      <c r="V10" s="206" t="s">
        <v>16</v>
      </c>
      <c r="W10" s="206"/>
      <c r="X10" s="5"/>
      <c r="Y10" s="5"/>
      <c r="AC10" s="26"/>
      <c r="AD10" s="26"/>
      <c r="AE10" s="26"/>
      <c r="AF10" s="26"/>
      <c r="AG10" s="26"/>
      <c r="AI10" s="7"/>
      <c r="AJ10" s="24" t="s">
        <v>17</v>
      </c>
      <c r="AK10" s="24">
        <v>2</v>
      </c>
    </row>
    <row r="11" spans="1:37" ht="27" customHeight="1">
      <c r="A11" s="1"/>
      <c r="B11" s="1"/>
      <c r="C11" s="12"/>
      <c r="D11" s="13" t="s">
        <v>18</v>
      </c>
      <c r="E11" s="13" t="str">
        <f>[1]MENU!C16</f>
        <v>Digite Nome do Executado</v>
      </c>
      <c r="F11" s="14"/>
      <c r="G11" s="14"/>
      <c r="H11" s="14"/>
      <c r="I11" s="14"/>
      <c r="J11" s="14"/>
      <c r="K11" s="10"/>
      <c r="L11" s="3"/>
      <c r="M11" s="4"/>
      <c r="N11" s="4"/>
      <c r="O11" s="1"/>
      <c r="P11" s="5"/>
      <c r="Q11" s="16" t="s">
        <v>19</v>
      </c>
      <c r="R11" s="204" t="s">
        <v>20</v>
      </c>
      <c r="S11" s="204"/>
      <c r="T11" s="5"/>
      <c r="U11" s="16" t="s">
        <v>19</v>
      </c>
      <c r="V11" s="204" t="s">
        <v>21</v>
      </c>
      <c r="W11" s="204"/>
      <c r="X11" s="5"/>
      <c r="Y11" s="5"/>
      <c r="AC11" s="26"/>
      <c r="AD11" s="27" t="s">
        <v>22</v>
      </c>
      <c r="AE11" s="26"/>
      <c r="AF11" s="26"/>
      <c r="AG11" s="26"/>
      <c r="AI11" s="7"/>
      <c r="AJ11" s="24" t="s">
        <v>23</v>
      </c>
      <c r="AK11" s="24">
        <v>3</v>
      </c>
    </row>
    <row r="12" spans="1:37" ht="27" customHeight="1">
      <c r="A12" s="1"/>
      <c r="B12" s="1"/>
      <c r="C12" s="12"/>
      <c r="D12" s="14"/>
      <c r="E12" s="14"/>
      <c r="F12" s="14"/>
      <c r="G12" s="14"/>
      <c r="H12" s="14"/>
      <c r="I12" s="14"/>
      <c r="J12" s="14"/>
      <c r="K12" s="10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8"/>
      <c r="X12" s="5"/>
      <c r="Y12" s="5"/>
      <c r="AC12" s="6" t="s">
        <v>24</v>
      </c>
      <c r="AD12" s="29">
        <f>DATE(VALUE(RIGHT(MID($L$14,21,15),4)),VLOOKUP(LEFT(MID($L$14,21,15),SEARCH("/",MID($L$14,21,15))-1),AJ9:AK20,2,0)-1,1)</f>
        <v>44986</v>
      </c>
      <c r="AE12" s="29">
        <f>DATE(VALUE(RIGHT(MID($L$14,21,15),4)),VLOOKUP(LEFT(MID($L$14,21,15),SEARCH("/",MID($L$14,21,15))-1),AJ9:AK20,2,0),1)</f>
        <v>45017</v>
      </c>
      <c r="AF12" s="26"/>
      <c r="AG12" s="26"/>
      <c r="AI12" s="7"/>
      <c r="AJ12" s="24" t="s">
        <v>25</v>
      </c>
      <c r="AK12" s="24">
        <v>4</v>
      </c>
    </row>
    <row r="13" spans="1:37" ht="27.75" customHeight="1">
      <c r="A13" s="1"/>
      <c r="B13" s="1"/>
      <c r="C13" s="202" t="s">
        <v>26</v>
      </c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C13" s="6" t="s">
        <v>27</v>
      </c>
      <c r="AD13" s="29">
        <f>DATE(VALUE(RIGHT(MID($N$14,31,15),4)), VLOOKUP(LEFT(MID($N$14,31,15),SEARCH("/",MID($N$14,31,15))-1), $AJ$9:$AK$20, 2, 0) - 1, 1)</f>
        <v>45627</v>
      </c>
      <c r="AI13" s="7"/>
      <c r="AJ13" s="24" t="s">
        <v>28</v>
      </c>
      <c r="AK13" s="24">
        <v>5</v>
      </c>
    </row>
    <row r="14" spans="1:37" ht="80.25" customHeight="1">
      <c r="A14" s="1"/>
      <c r="B14" s="1"/>
      <c r="C14" s="9"/>
      <c r="D14" s="30" t="s">
        <v>29</v>
      </c>
      <c r="E14" s="30" t="str">
        <f>"Valor Devido Atualizado com juros até " &amp; PROPER(TEXT([1]MENU!AD18, "mmmm")) &amp; "/" &amp; [1]MENU!AE18</f>
        <v>Valor Devido Atualizado com juros até Digite A Data Do Cálculo Homologado/Digite a Data do Cálculo Homologado</v>
      </c>
      <c r="F14" s="30" t="s">
        <v>30</v>
      </c>
      <c r="G14" s="30" t="s">
        <v>31</v>
      </c>
      <c r="H14" s="30" t="s">
        <v>32</v>
      </c>
      <c r="I14" s="30" t="s">
        <v>33</v>
      </c>
      <c r="J14" s="30" t="s">
        <v>34</v>
      </c>
      <c r="K14" s="30" t="s">
        <v>35</v>
      </c>
      <c r="L14" s="30" t="s">
        <v>36</v>
      </c>
      <c r="M14" s="30" t="s">
        <v>37</v>
      </c>
      <c r="N14" s="30" t="s">
        <v>38</v>
      </c>
      <c r="O14" s="1"/>
      <c r="P14" s="5"/>
      <c r="Q14" s="31" t="s">
        <v>39</v>
      </c>
      <c r="R14" s="203" t="s">
        <v>40</v>
      </c>
      <c r="S14" s="203"/>
      <c r="T14" s="5"/>
      <c r="U14" s="5"/>
      <c r="V14" s="5"/>
      <c r="W14" s="5"/>
      <c r="X14" s="5"/>
      <c r="Y14" s="5"/>
      <c r="AI14" s="7"/>
      <c r="AJ14" s="24" t="s">
        <v>41</v>
      </c>
      <c r="AK14" s="24">
        <v>6</v>
      </c>
    </row>
    <row r="15" spans="1:37" ht="36.950000000000003" customHeight="1">
      <c r="A15" s="1"/>
      <c r="B15" s="1"/>
      <c r="C15" s="9"/>
      <c r="D15" s="32" t="s">
        <v>42</v>
      </c>
      <c r="E15" s="33">
        <f>[1]MENU!C20</f>
        <v>0</v>
      </c>
      <c r="F15" s="34">
        <f>IFERROR(VLOOKUP([1]MENU!$AC$19,[1]GILBERTO!$A:$BK,[1]MENU!$AF$18), 1)</f>
        <v>1</v>
      </c>
      <c r="G15" s="33">
        <f>ROUND(E15*F15,2)</f>
        <v>0</v>
      </c>
      <c r="H15" s="17" t="s">
        <v>43</v>
      </c>
      <c r="I15" s="33">
        <v>0</v>
      </c>
      <c r="J15" s="33">
        <f>ROUND(G15+I15,2)</f>
        <v>0</v>
      </c>
      <c r="K15" s="35">
        <v>1</v>
      </c>
      <c r="L15" s="33">
        <f>ROUND(J15*K15,2)</f>
        <v>0</v>
      </c>
      <c r="M15" s="36">
        <f>'[1]Selic e IPCA'!$U$28</f>
        <v>1.0748029672221575</v>
      </c>
      <c r="N15" s="33">
        <f>ROUND($L$15*M15,2)</f>
        <v>0</v>
      </c>
      <c r="O15" s="1"/>
      <c r="P15" s="5"/>
      <c r="Q15" s="37" t="s">
        <v>5</v>
      </c>
      <c r="R15" s="207" t="s">
        <v>44</v>
      </c>
      <c r="S15" s="208"/>
      <c r="T15" s="5"/>
      <c r="U15" s="5"/>
      <c r="V15" s="5"/>
      <c r="W15" s="5"/>
      <c r="X15" s="5"/>
      <c r="Y15" s="5"/>
      <c r="AJ15" s="24" t="s">
        <v>45</v>
      </c>
      <c r="AK15" s="24">
        <v>7</v>
      </c>
    </row>
    <row r="16" spans="1:37" ht="32.65" customHeight="1">
      <c r="A16" s="1"/>
      <c r="B16" s="1"/>
      <c r="C16" s="9"/>
      <c r="D16" s="32" t="s">
        <v>46</v>
      </c>
      <c r="E16" s="33">
        <f>[1]MENU!C22</f>
        <v>0</v>
      </c>
      <c r="F16" s="34">
        <f>IFERROR(VLOOKUP([1]MENU!$AC$19,[1]GILBERTO!$A:$BK,[1]MENU!$AF$18), 1)</f>
        <v>1</v>
      </c>
      <c r="G16" s="33">
        <f>ROUND(E16*F16,2)</f>
        <v>0</v>
      </c>
      <c r="H16" s="38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</v>
      </c>
      <c r="I16" s="33">
        <f>ROUND(G15*H16,2)</f>
        <v>0</v>
      </c>
      <c r="J16" s="39">
        <f>ROUND(G16+I16,2)</f>
        <v>0</v>
      </c>
      <c r="K16" s="40">
        <v>1</v>
      </c>
      <c r="L16" s="33">
        <f>ROUND(J16*K16,2)</f>
        <v>0</v>
      </c>
      <c r="M16" s="36">
        <f>'[1]Selic e IPCA'!$U$28</f>
        <v>1.0748029672221575</v>
      </c>
      <c r="N16" s="33">
        <f>ROUND(L16*$M$16,2)</f>
        <v>0</v>
      </c>
      <c r="O16" s="1"/>
      <c r="P16" s="5"/>
      <c r="Q16" s="37" t="s">
        <v>47</v>
      </c>
      <c r="R16" s="209" t="str">
        <f>R10</f>
        <v>Gabriel de Jesus Silva</v>
      </c>
      <c r="S16" s="210"/>
      <c r="T16" s="5"/>
      <c r="U16" s="5"/>
      <c r="V16" s="5"/>
      <c r="W16" s="5"/>
      <c r="X16" s="5"/>
      <c r="Y16" s="5"/>
      <c r="AJ16" s="24" t="s">
        <v>48</v>
      </c>
      <c r="AK16" s="24">
        <v>8</v>
      </c>
    </row>
    <row r="17" spans="1:37" ht="43.15" customHeight="1">
      <c r="A17" s="1"/>
      <c r="B17" s="1"/>
      <c r="C17" s="9"/>
      <c r="D17" s="41" t="s">
        <v>49</v>
      </c>
      <c r="E17" s="42">
        <f>SUM(E15:E16)</f>
        <v>0</v>
      </c>
      <c r="F17" s="43" t="s">
        <v>43</v>
      </c>
      <c r="G17" s="42">
        <f>SUM(G15:G16)</f>
        <v>0</v>
      </c>
      <c r="H17" s="44" t="s">
        <v>43</v>
      </c>
      <c r="I17" s="45">
        <f>SUM(I15:I16)</f>
        <v>0</v>
      </c>
      <c r="J17" s="46">
        <f>SUM(J15:J16)</f>
        <v>0</v>
      </c>
      <c r="K17" s="47" t="s">
        <v>43</v>
      </c>
      <c r="L17" s="48">
        <f>SUM(L15:L16)</f>
        <v>0</v>
      </c>
      <c r="M17" s="49" t="s">
        <v>43</v>
      </c>
      <c r="N17" s="50">
        <f>SUM(N15:N16)</f>
        <v>0</v>
      </c>
      <c r="O17" s="1"/>
      <c r="P17" s="5"/>
      <c r="Q17" s="37" t="s">
        <v>47</v>
      </c>
      <c r="R17" s="209" t="str">
        <f>V10</f>
        <v>GABRIEL DE JESUS SILVA</v>
      </c>
      <c r="S17" s="210"/>
      <c r="T17" s="5"/>
      <c r="U17" s="5"/>
      <c r="V17" s="5"/>
      <c r="W17" s="5"/>
      <c r="X17" s="5"/>
      <c r="Y17" s="5"/>
      <c r="AJ17" s="24" t="s">
        <v>50</v>
      </c>
      <c r="AK17" s="24">
        <v>9</v>
      </c>
    </row>
    <row r="18" spans="1:37" ht="34.5" customHeight="1">
      <c r="A18" s="1"/>
      <c r="B18" s="1"/>
      <c r="C18" s="9"/>
      <c r="D18" s="4"/>
      <c r="E18" s="4"/>
      <c r="F18" s="4"/>
      <c r="G18" s="4"/>
      <c r="H18" s="4"/>
      <c r="I18" s="4"/>
      <c r="J18" s="51" t="s">
        <v>51</v>
      </c>
      <c r="K18" s="211">
        <f>IFERROR('[1]Selic e IPCA'!U8%,0)</f>
        <v>0.15710000000000002</v>
      </c>
      <c r="L18" s="4"/>
      <c r="M18" s="51" t="s">
        <v>51</v>
      </c>
      <c r="N18" s="211">
        <f>IFERROR('[1]Selic e IPCA'!V8%,0)</f>
        <v>1.01E-2</v>
      </c>
      <c r="O18" s="1"/>
      <c r="P18" s="5"/>
      <c r="Q18" s="52"/>
      <c r="R18" s="5"/>
      <c r="S18" s="5"/>
      <c r="T18" s="5"/>
      <c r="U18" s="5"/>
      <c r="V18" s="5"/>
      <c r="W18" s="5"/>
      <c r="X18" s="5"/>
      <c r="Y18" s="5"/>
      <c r="AJ18" s="24" t="s">
        <v>52</v>
      </c>
      <c r="AK18" s="24">
        <v>10</v>
      </c>
    </row>
    <row r="19" spans="1:37" ht="23.25">
      <c r="A19" s="1"/>
      <c r="B19" s="1"/>
      <c r="C19" s="9"/>
      <c r="D19" s="4"/>
      <c r="E19" s="4"/>
      <c r="F19" s="4"/>
      <c r="G19" s="4"/>
      <c r="H19" s="4"/>
      <c r="I19" s="4"/>
      <c r="J19" s="53">
        <v>44531</v>
      </c>
      <c r="K19" s="211"/>
      <c r="L19" s="4"/>
      <c r="M19" s="53">
        <v>45658</v>
      </c>
      <c r="N19" s="211"/>
      <c r="O19" s="1"/>
      <c r="P19" s="5"/>
      <c r="Q19" s="52"/>
      <c r="R19" s="5"/>
      <c r="S19" s="5"/>
      <c r="T19" s="5"/>
      <c r="U19" s="5"/>
      <c r="V19" s="5"/>
      <c r="W19" s="5"/>
      <c r="X19" s="5"/>
      <c r="Y19" s="5"/>
      <c r="AJ19" s="24" t="s">
        <v>53</v>
      </c>
      <c r="AK19" s="24">
        <v>11</v>
      </c>
    </row>
    <row r="20" spans="1:37" ht="23.25">
      <c r="A20" s="1"/>
      <c r="B20" s="1"/>
      <c r="C20" s="9"/>
      <c r="D20" s="4"/>
      <c r="E20" s="4"/>
      <c r="F20" s="4"/>
      <c r="G20" s="4"/>
      <c r="H20" s="4"/>
      <c r="I20" s="4"/>
      <c r="J20" s="54">
        <v>44986</v>
      </c>
      <c r="K20" s="211"/>
      <c r="L20" s="4"/>
      <c r="M20" s="54">
        <f ca="1">DATE(YEAR(TODAY()),MONTH(1&amp;TEXT(TODAY(),"mmmm")),1)</f>
        <v>45689</v>
      </c>
      <c r="N20" s="211"/>
      <c r="O20" s="1"/>
      <c r="P20" s="5"/>
      <c r="Q20" s="52"/>
      <c r="R20" s="5"/>
      <c r="S20" s="5"/>
      <c r="T20" s="5"/>
      <c r="U20" s="5"/>
      <c r="V20" s="5"/>
      <c r="W20" s="5"/>
      <c r="X20" s="5"/>
      <c r="Y20" s="5"/>
      <c r="AJ20" s="24" t="s">
        <v>54</v>
      </c>
      <c r="AK20" s="24">
        <v>12</v>
      </c>
    </row>
    <row r="21" spans="1:37" ht="23.25">
      <c r="A21" s="1"/>
      <c r="B21" s="1"/>
      <c r="C21" s="9"/>
      <c r="D21" s="4"/>
      <c r="E21" s="4"/>
      <c r="F21" s="4"/>
      <c r="G21" s="4"/>
      <c r="H21" s="4"/>
      <c r="I21" s="4"/>
      <c r="J21" s="4"/>
      <c r="K21" s="55"/>
      <c r="L21" s="4"/>
      <c r="M21" s="4"/>
      <c r="N21" s="4"/>
      <c r="O21" s="1"/>
      <c r="P21" s="5"/>
      <c r="Q21" s="52"/>
      <c r="R21" s="56"/>
      <c r="S21" s="56"/>
      <c r="T21" s="56"/>
      <c r="U21" s="56"/>
      <c r="V21" s="56"/>
      <c r="W21" s="56"/>
      <c r="X21" s="5"/>
      <c r="Y21" s="5"/>
      <c r="AJ21" s="24"/>
      <c r="AK21" s="24"/>
    </row>
    <row r="22" spans="1:37" ht="23.25">
      <c r="A22" s="1"/>
      <c r="B22" s="1"/>
      <c r="C22" s="9"/>
      <c r="D22" s="4"/>
      <c r="E22" s="4"/>
      <c r="F22" s="4"/>
      <c r="G22" s="4"/>
      <c r="H22" s="4"/>
      <c r="I22" s="4"/>
      <c r="J22" s="4"/>
      <c r="K22" s="55"/>
      <c r="L22" s="4"/>
      <c r="M22" s="4"/>
      <c r="N22" s="4"/>
      <c r="O22" s="1"/>
      <c r="P22" s="5"/>
      <c r="Q22" s="52"/>
      <c r="R22" s="56"/>
      <c r="S22" s="56"/>
      <c r="T22" s="56"/>
      <c r="U22" s="56"/>
      <c r="V22" s="56"/>
      <c r="W22" s="56"/>
      <c r="X22" s="5"/>
      <c r="Y22" s="5"/>
      <c r="AJ22" s="24"/>
      <c r="AK22" s="24"/>
    </row>
    <row r="23" spans="1:37" ht="23.25">
      <c r="A23" s="1"/>
      <c r="B23" s="1"/>
      <c r="C23" s="9"/>
      <c r="D23" s="4"/>
      <c r="E23" s="4"/>
      <c r="F23" s="4"/>
      <c r="G23" s="4"/>
      <c r="H23" s="4"/>
      <c r="I23" s="4"/>
      <c r="J23" s="4"/>
      <c r="K23" s="55"/>
      <c r="L23" s="4"/>
      <c r="M23" s="4"/>
      <c r="N23" s="4"/>
      <c r="O23" s="1"/>
      <c r="P23" s="5"/>
      <c r="Q23" s="52"/>
      <c r="R23" s="56"/>
      <c r="S23" s="56"/>
      <c r="T23" s="56"/>
      <c r="U23" s="56"/>
      <c r="V23" s="56"/>
      <c r="W23" s="56"/>
      <c r="X23" s="5"/>
      <c r="Y23" s="5"/>
      <c r="AJ23" s="24"/>
      <c r="AK23" s="24"/>
    </row>
    <row r="24" spans="1:37" ht="45.75">
      <c r="A24" s="1"/>
      <c r="B24" s="1"/>
      <c r="C24" s="9"/>
      <c r="D24" s="4"/>
      <c r="E24" s="4"/>
      <c r="F24" s="4"/>
      <c r="G24" s="4"/>
      <c r="H24" s="4"/>
      <c r="I24" s="4"/>
      <c r="J24" s="4"/>
      <c r="K24" s="4"/>
      <c r="L24" s="57" t="s">
        <v>55</v>
      </c>
      <c r="M24" s="58">
        <f>K18+N18</f>
        <v>0.16720000000000002</v>
      </c>
      <c r="N24" s="59">
        <f>ROUND(N17*M24,2)</f>
        <v>0</v>
      </c>
      <c r="O24" s="1"/>
      <c r="P24" s="5"/>
      <c r="Q24" s="52"/>
      <c r="R24" s="205" t="str">
        <f ca="1">"DIVISÃO "&amp;UPPER(TEXT(TODAY(),"mmmm"))&amp;"/"&amp;YEAR(TODAY())&amp;""</f>
        <v>DIVISÃO FEVEREIRO/2025</v>
      </c>
      <c r="S24" s="205"/>
      <c r="T24" s="205"/>
      <c r="U24" s="205"/>
      <c r="V24" s="205"/>
      <c r="W24" s="205"/>
      <c r="X24" s="5"/>
      <c r="Y24" s="5"/>
    </row>
    <row r="25" spans="1:37" ht="46.5" customHeight="1">
      <c r="A25" s="1"/>
      <c r="B25" s="1"/>
      <c r="C25" s="9"/>
      <c r="D25" s="4"/>
      <c r="E25" s="4"/>
      <c r="F25" s="4"/>
      <c r="G25" s="4"/>
      <c r="H25" s="4"/>
      <c r="I25" s="4"/>
      <c r="J25" s="14"/>
      <c r="K25" s="14"/>
      <c r="L25" s="214" t="str">
        <f ca="1">"Valor Total Devido em "&amp;UPPER(TEXT(TODAY(),"mmmm"))&amp;"/"&amp;YEAR(TODAY())</f>
        <v>Valor Total Devido em FEVEREIRO/2025</v>
      </c>
      <c r="M25" s="214"/>
      <c r="N25" s="60">
        <f>N17+N24</f>
        <v>0</v>
      </c>
      <c r="O25" s="1"/>
      <c r="P25" s="5"/>
      <c r="Q25" s="52"/>
      <c r="R25" s="215" t="s">
        <v>56</v>
      </c>
      <c r="S25" s="216"/>
      <c r="T25" s="216" t="s">
        <v>57</v>
      </c>
      <c r="U25" s="216"/>
      <c r="V25" s="216" t="s">
        <v>58</v>
      </c>
      <c r="W25" s="217"/>
      <c r="X25" s="5"/>
      <c r="Y25" s="5"/>
    </row>
    <row r="26" spans="1:37" ht="72" customHeight="1">
      <c r="A26" s="1"/>
      <c r="B26" s="1"/>
      <c r="C26" s="9"/>
      <c r="D26" s="4"/>
      <c r="E26" s="4"/>
      <c r="F26" s="4"/>
      <c r="G26" s="4"/>
      <c r="H26" s="4"/>
      <c r="I26" s="4"/>
      <c r="J26" s="14"/>
      <c r="K26" s="14"/>
      <c r="L26" s="1"/>
      <c r="M26" s="1"/>
      <c r="N26" s="1"/>
      <c r="O26" s="1"/>
      <c r="P26" s="5"/>
      <c r="Q26" s="52"/>
      <c r="R26" s="61">
        <f>$N$25</f>
        <v>0</v>
      </c>
      <c r="S26" s="62">
        <v>1</v>
      </c>
      <c r="T26" s="63">
        <f>R26</f>
        <v>0</v>
      </c>
      <c r="U26" s="64">
        <f>S26</f>
        <v>1</v>
      </c>
      <c r="V26" s="63">
        <f>T26</f>
        <v>0</v>
      </c>
      <c r="W26" s="65">
        <f>U26</f>
        <v>1</v>
      </c>
      <c r="X26" s="5"/>
      <c r="Y26" s="5"/>
    </row>
    <row r="27" spans="1:37" ht="72" customHeight="1">
      <c r="A27" s="1"/>
      <c r="B27" s="1"/>
      <c r="C27" s="9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1"/>
      <c r="P27" s="5"/>
      <c r="Q27" s="52"/>
      <c r="R27" s="66">
        <f>N15</f>
        <v>0</v>
      </c>
      <c r="S27" s="67" t="e">
        <f>R27*S26/R26</f>
        <v>#DIV/0!</v>
      </c>
      <c r="T27" s="68">
        <f>N16</f>
        <v>0</v>
      </c>
      <c r="U27" s="67" t="e">
        <f>T27*U26/T26</f>
        <v>#DIV/0!</v>
      </c>
      <c r="V27" s="68">
        <f>N25-N17</f>
        <v>0</v>
      </c>
      <c r="W27" s="69" t="e">
        <f>V27*W26/V26</f>
        <v>#DIV/0!</v>
      </c>
      <c r="X27" s="5"/>
      <c r="Y27" s="5"/>
      <c r="AJ27" s="24"/>
      <c r="AK27" s="24"/>
    </row>
    <row r="28" spans="1:37" ht="72" customHeight="1">
      <c r="A28" s="1"/>
      <c r="B28" s="1"/>
      <c r="C28" s="9"/>
      <c r="D28" s="6"/>
      <c r="E28" s="14"/>
      <c r="F28" s="14"/>
      <c r="G28" s="4"/>
      <c r="H28" s="4"/>
      <c r="I28" s="4"/>
      <c r="J28" s="4"/>
      <c r="K28" s="4"/>
      <c r="L28" s="4"/>
      <c r="M28" s="4"/>
      <c r="N28" s="4"/>
      <c r="O28" s="1"/>
      <c r="P28" s="5"/>
      <c r="Q28" s="52"/>
      <c r="R28" s="5"/>
      <c r="S28" s="5"/>
      <c r="T28" s="5"/>
      <c r="U28" s="5"/>
      <c r="V28" s="5"/>
      <c r="W28" s="56"/>
      <c r="X28" s="5"/>
      <c r="Y28" s="5"/>
      <c r="AJ28" s="24"/>
      <c r="AK28" s="24"/>
    </row>
    <row r="29" spans="1:37" ht="31.5" customHeight="1">
      <c r="A29" s="1"/>
      <c r="B29" s="1"/>
      <c r="C29" s="9"/>
      <c r="D29" s="11"/>
      <c r="E29" s="11"/>
      <c r="F29" s="11"/>
      <c r="G29" s="11"/>
      <c r="H29" s="11"/>
      <c r="I29" s="11"/>
      <c r="J29" s="11"/>
      <c r="K29" s="11"/>
      <c r="L29" s="11"/>
      <c r="M29" s="4"/>
      <c r="N29" s="4"/>
      <c r="O29" s="1"/>
      <c r="P29" s="5"/>
      <c r="Q29" s="52"/>
      <c r="R29" s="56"/>
      <c r="S29" s="218" t="s">
        <v>59</v>
      </c>
      <c r="T29" s="70">
        <f>R27+T27+V27</f>
        <v>0</v>
      </c>
      <c r="U29" s="56"/>
      <c r="V29" s="56"/>
      <c r="W29" s="56"/>
      <c r="X29" s="5"/>
      <c r="Y29" s="5"/>
    </row>
    <row r="30" spans="1:37" ht="25.5" customHeight="1">
      <c r="A30" s="1"/>
      <c r="B30" s="1"/>
      <c r="C30" s="9"/>
      <c r="D30" s="14"/>
      <c r="E30" s="14"/>
      <c r="F30" s="14"/>
      <c r="G30" s="14"/>
      <c r="H30" s="14"/>
      <c r="I30" s="71"/>
      <c r="J30" s="219" t="str">
        <f>"(+)Honorários Sucumbência- (B)– "&amp;TEXT(V9,"0%")&amp;" sobre"</f>
        <v>(+)Honorários Sucumbência- (B)– 0% sobre</v>
      </c>
      <c r="K30" s="220"/>
      <c r="L30" s="220"/>
      <c r="M30" s="72">
        <f>N25</f>
        <v>0</v>
      </c>
      <c r="N30" s="73">
        <f>IF(V8="Sim",ROUND(N25*$V$9,2),N25*0)</f>
        <v>0</v>
      </c>
      <c r="O30" s="1"/>
      <c r="P30" s="5"/>
      <c r="Q30" s="52"/>
      <c r="R30" s="56"/>
      <c r="S30" s="218"/>
      <c r="T30" s="74" t="e">
        <f>S27+U27+W27</f>
        <v>#DIV/0!</v>
      </c>
      <c r="U30" s="56"/>
      <c r="V30" s="56"/>
      <c r="W30" s="56"/>
      <c r="X30" s="5"/>
      <c r="Y30" s="5"/>
    </row>
    <row r="31" spans="1:37" ht="25.5" customHeight="1">
      <c r="A31" s="1"/>
      <c r="B31" s="1"/>
      <c r="C31" s="9"/>
      <c r="D31" s="14"/>
      <c r="E31" s="14"/>
      <c r="F31" s="14"/>
      <c r="G31" s="14"/>
      <c r="H31" s="14"/>
      <c r="I31" s="71"/>
      <c r="J31" s="75"/>
      <c r="K31" s="75"/>
      <c r="L31" s="75"/>
      <c r="M31" s="76"/>
      <c r="N31" s="77"/>
      <c r="O31" s="1"/>
      <c r="P31" s="5"/>
      <c r="Q31" s="52"/>
      <c r="R31" s="56"/>
      <c r="S31" s="5"/>
      <c r="T31" s="5"/>
      <c r="U31" s="56"/>
      <c r="V31" s="56"/>
      <c r="W31" s="56"/>
      <c r="X31" s="5"/>
      <c r="Y31" s="5"/>
    </row>
    <row r="32" spans="1:37" ht="25.5" customHeight="1">
      <c r="A32" s="1"/>
      <c r="B32" s="1"/>
      <c r="C32" s="9"/>
      <c r="D32" s="14"/>
      <c r="E32" s="14"/>
      <c r="F32" s="14"/>
      <c r="G32" s="14"/>
      <c r="H32" s="14"/>
      <c r="I32" s="71"/>
      <c r="J32" s="75"/>
      <c r="K32" s="75"/>
      <c r="L32" s="221" t="s">
        <v>60</v>
      </c>
      <c r="M32" s="221"/>
      <c r="N32" s="73">
        <f>N25+N30</f>
        <v>0</v>
      </c>
      <c r="O32" s="1"/>
      <c r="P32" s="5"/>
      <c r="Q32" s="52"/>
      <c r="R32" s="56"/>
      <c r="S32" s="5"/>
      <c r="T32" s="5"/>
      <c r="U32" s="56"/>
      <c r="V32" s="56"/>
      <c r="W32" s="56"/>
      <c r="X32" s="5"/>
      <c r="Y32" s="5"/>
    </row>
    <row r="33" spans="1:25" ht="18.600000000000001" customHeight="1">
      <c r="A33" s="1"/>
      <c r="B33" s="1"/>
      <c r="C33" s="9"/>
      <c r="D33" s="14"/>
      <c r="E33" s="14"/>
      <c r="F33" s="14"/>
      <c r="G33" s="14"/>
      <c r="H33" s="14"/>
      <c r="I33" s="71"/>
      <c r="J33" s="14"/>
      <c r="K33" s="1"/>
      <c r="L33" s="11"/>
      <c r="M33" s="4"/>
      <c r="N33" s="4"/>
      <c r="O33" s="1"/>
      <c r="P33" s="5"/>
      <c r="Q33" s="52"/>
      <c r="R33" s="56"/>
      <c r="S33" s="56"/>
      <c r="T33" s="56"/>
      <c r="U33" s="56"/>
      <c r="V33" s="56"/>
      <c r="W33" s="56"/>
      <c r="X33" s="5"/>
      <c r="Y33" s="5"/>
    </row>
    <row r="34" spans="1:25" ht="26.25" customHeight="1">
      <c r="A34" s="1"/>
      <c r="B34" s="1"/>
      <c r="C34" s="9"/>
      <c r="D34" s="14"/>
      <c r="E34" s="14"/>
      <c r="F34" s="14"/>
      <c r="G34" s="14"/>
      <c r="H34" s="2"/>
      <c r="I34" s="71"/>
      <c r="J34" s="222" t="str">
        <f>"(-)Honorários Contratuais- (" &amp; IF(V8="Sim", "C","B") &amp; ")– " &amp; TEXT(R9, "0%") &amp; " sobre"</f>
        <v>(-)Honorários Contratuais- (C)– 0% sobre</v>
      </c>
      <c r="K34" s="223"/>
      <c r="L34" s="223"/>
      <c r="M34" s="78">
        <f>N25</f>
        <v>0</v>
      </c>
      <c r="N34" s="79">
        <f>IF(R8="sim",ROUND(N25*$R$9,2),N25*0)</f>
        <v>0</v>
      </c>
      <c r="O34" s="80"/>
      <c r="P34" s="56"/>
      <c r="Q34" s="5"/>
      <c r="R34" s="5"/>
      <c r="S34" s="5"/>
      <c r="T34" s="5"/>
      <c r="U34" s="56"/>
      <c r="V34" s="56"/>
      <c r="W34" s="56"/>
      <c r="X34" s="5"/>
      <c r="Y34" s="5"/>
    </row>
    <row r="35" spans="1:25" ht="23.25">
      <c r="A35" s="1"/>
      <c r="B35" s="1"/>
      <c r="C35" s="9"/>
      <c r="D35" s="2"/>
      <c r="E35" s="2"/>
      <c r="F35" s="2"/>
      <c r="G35" s="2"/>
      <c r="H35" s="14"/>
      <c r="I35" s="71"/>
      <c r="J35" s="81"/>
      <c r="K35" s="81"/>
      <c r="L35" s="81"/>
      <c r="M35" s="81"/>
      <c r="N35" s="82"/>
      <c r="O35" s="1"/>
      <c r="P35" s="5"/>
      <c r="Q35" s="5"/>
      <c r="R35" s="5"/>
      <c r="S35" s="56"/>
      <c r="T35" s="56"/>
      <c r="U35" s="56"/>
      <c r="V35" s="56"/>
      <c r="W35" s="56"/>
      <c r="X35" s="5"/>
      <c r="Y35" s="5"/>
    </row>
    <row r="36" spans="1:25" ht="26.25" customHeight="1">
      <c r="A36" s="1"/>
      <c r="B36" s="1"/>
      <c r="C36" s="9"/>
      <c r="D36" s="2"/>
      <c r="E36" s="2"/>
      <c r="F36" s="2"/>
      <c r="G36" s="2"/>
      <c r="H36" s="2"/>
      <c r="I36" s="71"/>
      <c r="J36" s="81"/>
      <c r="K36" s="224" t="s">
        <v>61</v>
      </c>
      <c r="L36" s="225"/>
      <c r="M36" s="226"/>
      <c r="N36" s="83">
        <f>N25 - N34</f>
        <v>0</v>
      </c>
      <c r="O36" s="1"/>
      <c r="P36" s="56"/>
      <c r="Q36" s="52"/>
      <c r="R36" s="56"/>
      <c r="S36" s="56"/>
      <c r="T36" s="56"/>
      <c r="U36" s="56"/>
      <c r="V36" s="56"/>
      <c r="W36" s="56"/>
      <c r="X36" s="56"/>
      <c r="Y36" s="5"/>
    </row>
    <row r="37" spans="1:25" ht="29.25" customHeight="1">
      <c r="A37" s="1"/>
      <c r="B37" s="1"/>
      <c r="C37" s="9"/>
      <c r="D37" s="14"/>
      <c r="E37" s="14"/>
      <c r="F37" s="71"/>
      <c r="G37" s="2"/>
      <c r="H37" s="71"/>
      <c r="I37" s="14"/>
      <c r="J37" s="14"/>
      <c r="K37" s="1"/>
      <c r="L37" s="11"/>
      <c r="M37" s="4"/>
      <c r="N37" s="4"/>
      <c r="O37" s="1"/>
      <c r="P37" s="5"/>
      <c r="Q37" s="5"/>
      <c r="R37" s="56"/>
      <c r="S37" s="56"/>
      <c r="T37" s="56"/>
      <c r="U37" s="56"/>
      <c r="V37" s="56"/>
      <c r="W37" s="56"/>
      <c r="X37" s="84"/>
      <c r="Y37" s="5"/>
    </row>
    <row r="38" spans="1:25" ht="23.25" hidden="1" customHeight="1" outlineLevel="1">
      <c r="A38" s="1"/>
      <c r="B38" s="1"/>
      <c r="C38" s="202" t="s">
        <v>62</v>
      </c>
      <c r="D38" s="202"/>
      <c r="E38" s="202"/>
      <c r="F38" s="202"/>
      <c r="G38" s="202"/>
      <c r="H38" s="202"/>
      <c r="I38" s="202"/>
      <c r="J38" s="202"/>
      <c r="K38" s="202"/>
      <c r="L38" s="202"/>
      <c r="M38" s="202"/>
      <c r="N38" s="85"/>
      <c r="O38" s="1"/>
      <c r="P38" s="5"/>
      <c r="Q38" s="5"/>
      <c r="R38" s="56"/>
      <c r="S38" s="56"/>
      <c r="T38" s="56"/>
      <c r="U38" s="56"/>
      <c r="V38" s="56"/>
      <c r="W38" s="56"/>
      <c r="X38" s="84"/>
      <c r="Y38" s="86"/>
    </row>
    <row r="39" spans="1:25" ht="67.5" hidden="1" outlineLevel="1">
      <c r="A39" s="1"/>
      <c r="B39" s="1"/>
      <c r="C39" s="9"/>
      <c r="D39" s="227" t="s">
        <v>63</v>
      </c>
      <c r="E39" s="228"/>
      <c r="F39" s="87" t="s">
        <v>64</v>
      </c>
      <c r="G39" s="88" t="s">
        <v>65</v>
      </c>
      <c r="H39" s="88" t="str">
        <f>"HON.CONTRATUAIS " &amp; IF(V10="Sim", TEXT(V11,"0%"), "")</f>
        <v xml:space="preserve">HON.CONTRATUAIS </v>
      </c>
      <c r="I39" s="88" t="str">
        <f>"HON.SUCUMBÊNCIA " &amp; IF(V10="Sim", TEXT(V11,"0%"), "")</f>
        <v xml:space="preserve">HON.SUCUMBÊNCIA </v>
      </c>
      <c r="J39" s="88" t="s">
        <v>66</v>
      </c>
      <c r="K39" s="88" t="s">
        <v>67</v>
      </c>
      <c r="L39" s="88" t="s">
        <v>68</v>
      </c>
      <c r="M39" s="88" t="s">
        <v>69</v>
      </c>
      <c r="N39" s="85"/>
      <c r="O39" s="1"/>
      <c r="P39" s="5"/>
      <c r="Q39" s="5"/>
      <c r="R39" s="56"/>
      <c r="S39" s="56"/>
      <c r="T39" s="56"/>
      <c r="U39" s="56"/>
      <c r="V39" s="56"/>
      <c r="W39" s="56"/>
      <c r="X39" s="84"/>
      <c r="Y39" s="86"/>
    </row>
    <row r="40" spans="1:25" ht="23.25" hidden="1" customHeight="1" outlineLevel="1">
      <c r="A40" s="1"/>
      <c r="B40" s="1"/>
      <c r="C40" s="9"/>
      <c r="D40" s="212"/>
      <c r="E40" s="213"/>
      <c r="F40" s="89"/>
      <c r="G40" s="90">
        <f>$N$25*F40</f>
        <v>0</v>
      </c>
      <c r="H40" s="90">
        <f>IF($R$8="Sim",G40*$R$9,0)</f>
        <v>0</v>
      </c>
      <c r="I40" s="90">
        <f>IF($V$8="Sim",F40*$V$9,0)</f>
        <v>0</v>
      </c>
      <c r="J40" s="90">
        <f>G40-H40-I40</f>
        <v>0</v>
      </c>
      <c r="K40" s="90" t="e">
        <f>$X$59</f>
        <v>#DIV/0!</v>
      </c>
      <c r="L40" s="90" t="e">
        <f>F40*$U$83</f>
        <v>#DIV/0!</v>
      </c>
      <c r="M40" s="91" t="e">
        <f>$U$79*F40</f>
        <v>#DIV/0!</v>
      </c>
      <c r="N40" s="85"/>
      <c r="O40" s="1"/>
      <c r="P40" s="5"/>
      <c r="Q40" s="5"/>
      <c r="R40" s="56"/>
      <c r="S40" s="56"/>
      <c r="T40" s="56"/>
      <c r="U40" s="56"/>
      <c r="V40" s="56"/>
      <c r="W40" s="56"/>
      <c r="X40" s="84"/>
      <c r="Y40" s="86"/>
    </row>
    <row r="41" spans="1:25" ht="23.25" hidden="1" customHeight="1" outlineLevel="1">
      <c r="A41" s="1"/>
      <c r="B41" s="1"/>
      <c r="C41" s="9"/>
      <c r="D41" s="212"/>
      <c r="E41" s="213"/>
      <c r="F41" s="89"/>
      <c r="G41" s="90">
        <f>$N$25*F41</f>
        <v>0</v>
      </c>
      <c r="H41" s="90">
        <f>IF($R$8="Sim",G41*$R$9,0)</f>
        <v>0</v>
      </c>
      <c r="I41" s="90">
        <f>IF($V$8="Sim",F41*$V$9,0)</f>
        <v>0</v>
      </c>
      <c r="J41" s="90">
        <f>G41-H41-I41</f>
        <v>0</v>
      </c>
      <c r="K41" s="90" t="e">
        <f>$X$59</f>
        <v>#DIV/0!</v>
      </c>
      <c r="L41" s="90" t="e">
        <f>F41*$U$83</f>
        <v>#DIV/0!</v>
      </c>
      <c r="M41" s="91" t="e">
        <f>$U$79*F41</f>
        <v>#DIV/0!</v>
      </c>
      <c r="N41" s="85"/>
      <c r="O41" s="1"/>
      <c r="P41" s="5"/>
      <c r="Q41" s="5"/>
      <c r="R41" s="56"/>
      <c r="S41" s="56"/>
      <c r="T41" s="56"/>
      <c r="U41" s="56"/>
      <c r="V41" s="56"/>
      <c r="W41" s="56"/>
      <c r="X41" s="84"/>
      <c r="Y41" s="86"/>
    </row>
    <row r="42" spans="1:25" ht="23.25" hidden="1" outlineLevel="1">
      <c r="A42" s="1"/>
      <c r="B42" s="1"/>
      <c r="C42" s="9"/>
      <c r="D42" s="230" t="s">
        <v>70</v>
      </c>
      <c r="E42" s="231"/>
      <c r="F42" s="92">
        <f>SUM(F40:F41)</f>
        <v>0</v>
      </c>
      <c r="G42" s="93">
        <f>SUM(G40:G41)</f>
        <v>0</v>
      </c>
      <c r="H42" s="93">
        <f t="shared" ref="H42:I42" si="0">SUM(H40:H41)</f>
        <v>0</v>
      </c>
      <c r="I42" s="93">
        <f t="shared" si="0"/>
        <v>0</v>
      </c>
      <c r="J42" s="93">
        <f>SUM(J40:J41)</f>
        <v>0</v>
      </c>
      <c r="K42" s="93" t="e">
        <f>SUM(K40:K41)</f>
        <v>#DIV/0!</v>
      </c>
      <c r="L42" s="93" t="e">
        <f>SUM(L40:L41)</f>
        <v>#DIV/0!</v>
      </c>
      <c r="M42" s="94" t="e">
        <f>SUM(M40:M41)</f>
        <v>#DIV/0!</v>
      </c>
      <c r="N42" s="85"/>
      <c r="O42" s="1"/>
      <c r="P42" s="5"/>
      <c r="Q42" s="5"/>
      <c r="R42" s="56"/>
      <c r="S42" s="56"/>
      <c r="T42" s="56"/>
      <c r="U42" s="56"/>
      <c r="V42" s="56"/>
      <c r="W42" s="56"/>
      <c r="X42" s="84"/>
      <c r="Y42" s="86"/>
    </row>
    <row r="43" spans="1:25" ht="23.25" customHeight="1" collapsed="1">
      <c r="A43" s="1"/>
      <c r="B43" s="1"/>
      <c r="C43" s="9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1"/>
      <c r="P43" s="5"/>
      <c r="Q43" s="5"/>
      <c r="R43" s="56"/>
      <c r="S43" s="56"/>
      <c r="T43" s="56"/>
      <c r="U43" s="56"/>
      <c r="V43" s="56"/>
      <c r="W43" s="56"/>
      <c r="X43" s="84"/>
      <c r="Y43" s="86"/>
    </row>
    <row r="44" spans="1:25" ht="23.25" customHeight="1">
      <c r="A44" s="1"/>
      <c r="B44" s="1"/>
      <c r="C44" s="9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1"/>
      <c r="P44" s="5"/>
      <c r="Q44" s="5"/>
      <c r="R44" s="56"/>
      <c r="S44" s="95" t="s">
        <v>71</v>
      </c>
      <c r="T44" s="96">
        <f>N25</f>
        <v>0</v>
      </c>
      <c r="U44" s="232" t="s">
        <v>72</v>
      </c>
      <c r="V44" s="232"/>
      <c r="W44" s="232"/>
      <c r="X44" s="84"/>
      <c r="Y44" s="86"/>
    </row>
    <row r="45" spans="1:25" ht="23.25" customHeight="1">
      <c r="A45" s="1"/>
      <c r="B45" s="1"/>
      <c r="C45" s="9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1"/>
      <c r="P45" s="5"/>
      <c r="Q45" s="5"/>
      <c r="R45" s="56"/>
      <c r="S45" s="97" t="s">
        <v>73</v>
      </c>
      <c r="T45" s="98" t="e">
        <f>ROUND(T44*S27,2)</f>
        <v>#DIV/0!</v>
      </c>
      <c r="U45" s="99" t="e">
        <f>ROUND($M$24*T45,2)</f>
        <v>#DIV/0!</v>
      </c>
      <c r="V45" s="100" t="e">
        <f>SUM(T45:U45)</f>
        <v>#DIV/0!</v>
      </c>
      <c r="W45" s="101" t="s">
        <v>74</v>
      </c>
      <c r="X45" s="84"/>
      <c r="Y45" s="86"/>
    </row>
    <row r="46" spans="1:25" ht="64.5" customHeight="1">
      <c r="A46" s="1"/>
      <c r="B46" s="1"/>
      <c r="C46" s="9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1"/>
      <c r="P46" s="5"/>
      <c r="Q46" s="5"/>
      <c r="R46" s="56"/>
      <c r="S46" s="97" t="s">
        <v>75</v>
      </c>
      <c r="T46" s="98" t="e">
        <f>ROUND(U27*T44,2)</f>
        <v>#DIV/0!</v>
      </c>
      <c r="U46" s="99" t="e">
        <f>ROUND($M$24*T46,2)</f>
        <v>#DIV/0!</v>
      </c>
      <c r="V46" s="102" t="e">
        <f>SUM(T46:U46)</f>
        <v>#DIV/0!</v>
      </c>
      <c r="W46" s="103" t="s">
        <v>76</v>
      </c>
      <c r="X46" s="84"/>
      <c r="Y46" s="5"/>
    </row>
    <row r="47" spans="1:25" ht="48.75" customHeight="1">
      <c r="A47" s="1"/>
      <c r="B47" s="1"/>
      <c r="C47" s="9"/>
      <c r="D47" s="233" t="s">
        <v>77</v>
      </c>
      <c r="E47" s="233"/>
      <c r="F47" s="233"/>
      <c r="G47" s="233"/>
      <c r="H47" s="233"/>
      <c r="I47" s="233"/>
      <c r="J47" s="233"/>
      <c r="K47" s="233"/>
      <c r="L47" s="233"/>
      <c r="M47" s="4"/>
      <c r="N47" s="4"/>
      <c r="O47" s="1"/>
      <c r="P47" s="5"/>
      <c r="Q47" s="5"/>
      <c r="R47" s="56"/>
      <c r="S47" s="97" t="s">
        <v>78</v>
      </c>
      <c r="T47" s="98" t="e">
        <f>ROUND(T44*W27,2)</f>
        <v>#DIV/0!</v>
      </c>
      <c r="U47" s="104" t="e">
        <f>SUM(U45:U46)</f>
        <v>#DIV/0!</v>
      </c>
      <c r="V47" s="105" t="e">
        <f>SUM(V45:V46)</f>
        <v>#DIV/0!</v>
      </c>
      <c r="W47" s="106" t="s">
        <v>79</v>
      </c>
      <c r="X47" s="84"/>
      <c r="Y47" s="5"/>
    </row>
    <row r="48" spans="1:25" ht="45.75">
      <c r="A48" s="1"/>
      <c r="B48" s="1"/>
      <c r="C48" s="9"/>
      <c r="D48" s="234" t="s">
        <v>80</v>
      </c>
      <c r="E48" s="234"/>
      <c r="F48" s="107" t="s">
        <v>81</v>
      </c>
      <c r="G48" s="107" t="s">
        <v>82</v>
      </c>
      <c r="H48" s="107" t="s">
        <v>83</v>
      </c>
      <c r="I48" s="108" t="s">
        <v>84</v>
      </c>
      <c r="J48" s="109" t="s">
        <v>85</v>
      </c>
      <c r="K48" s="108" t="s">
        <v>86</v>
      </c>
      <c r="L48" s="108" t="s">
        <v>87</v>
      </c>
      <c r="M48" s="4"/>
      <c r="N48" s="4"/>
      <c r="O48" s="1"/>
      <c r="P48" s="5"/>
      <c r="Q48" s="5"/>
      <c r="R48" s="110"/>
      <c r="S48" s="5"/>
      <c r="T48" s="5"/>
      <c r="U48" s="5"/>
      <c r="V48" s="84"/>
      <c r="W48" s="84"/>
      <c r="X48" s="84"/>
      <c r="Y48" s="5"/>
    </row>
    <row r="49" spans="1:25" ht="46.5" customHeight="1">
      <c r="A49" s="1"/>
      <c r="B49" s="1"/>
      <c r="C49" s="9"/>
      <c r="D49" s="235" t="str">
        <f>E10</f>
        <v>Digite Nome do Exequente</v>
      </c>
      <c r="E49" s="235"/>
      <c r="F49" s="111">
        <f>IF($Q$15="Sim",T54,0)</f>
        <v>0</v>
      </c>
      <c r="G49" s="111">
        <f>ROUND(F49*0.4,2)</f>
        <v>0</v>
      </c>
      <c r="H49" s="111">
        <f>F49-G49</f>
        <v>0</v>
      </c>
      <c r="I49" s="112" t="e">
        <f>IF($Q$15="Sim",T63,0)</f>
        <v>#DIV/0!</v>
      </c>
      <c r="J49" s="112" t="e">
        <f>IF($Q$15="Sim",U83,0)</f>
        <v>#DIV/0!</v>
      </c>
      <c r="K49" s="112" t="e">
        <f>H49-I49-J49</f>
        <v>#DIV/0!</v>
      </c>
      <c r="L49" s="113" t="e">
        <f>IF(V70="sim", U79, "-")</f>
        <v>#DIV/0!</v>
      </c>
      <c r="M49" s="4"/>
      <c r="N49" s="4"/>
      <c r="O49" s="1"/>
      <c r="P49" s="5"/>
      <c r="Q49" s="5"/>
      <c r="R49" s="110"/>
      <c r="S49" s="236" t="s">
        <v>88</v>
      </c>
      <c r="T49" s="236"/>
      <c r="U49" s="114"/>
      <c r="V49" s="84"/>
      <c r="W49" s="84"/>
      <c r="X49" s="84"/>
      <c r="Y49" s="5"/>
    </row>
    <row r="50" spans="1:25" ht="52.5" customHeight="1">
      <c r="A50" s="1"/>
      <c r="B50" s="1"/>
      <c r="C50" s="9"/>
      <c r="D50" s="235" t="str">
        <f>TEXT(R10,"Texto")&amp;" (Honorários  Contratual)"</f>
        <v>Gabriel de Jesus Silva (Honorários  Contratual)</v>
      </c>
      <c r="E50" s="235"/>
      <c r="F50" s="111">
        <f>IF($Q$16="Sim",T51,0)</f>
        <v>0</v>
      </c>
      <c r="G50" s="111">
        <f>ROUND(F50*0.4,2)</f>
        <v>0</v>
      </c>
      <c r="H50" s="111">
        <f>F50-G50</f>
        <v>0</v>
      </c>
      <c r="I50" s="112">
        <v>0</v>
      </c>
      <c r="J50" s="112">
        <f>ROUND(IF(R11="cpf", IF(H50&gt;=[1]IR!$B$4,H50* [1]IR!$C$4-[1]IR!$D$4, IF(H50&gt;=[1]IR!$B$5,H50* [1]IR!$C$5-[1]IR!$D$5, IF(H50&gt;=[1]IR!$B$6,H50* [1]IR!$C$6-[1]IR!$D$6, IF(H50&gt;=[1]IR!$B$7,H50* [1]IR!$C$7-[1]IR!$D$7, 0)))), IF(R11="cnpj",H50* [1]IR!$C$10, "0")),2)</f>
        <v>0</v>
      </c>
      <c r="K50" s="112">
        <f>H50-I50-J50</f>
        <v>0</v>
      </c>
      <c r="L50" s="113" t="s">
        <v>43</v>
      </c>
      <c r="M50" s="4"/>
      <c r="N50" s="4"/>
      <c r="O50" s="1"/>
      <c r="P50" s="5"/>
      <c r="Q50" s="5"/>
      <c r="R50" s="110"/>
      <c r="S50" s="115" t="s">
        <v>89</v>
      </c>
      <c r="T50" s="116">
        <f>T44</f>
        <v>0</v>
      </c>
      <c r="U50" s="114"/>
      <c r="V50" s="84"/>
      <c r="W50" s="84"/>
      <c r="X50" s="84"/>
      <c r="Y50" s="5"/>
    </row>
    <row r="51" spans="1:25" ht="63.75" customHeight="1">
      <c r="A51" s="1"/>
      <c r="B51" s="1"/>
      <c r="C51" s="9"/>
      <c r="D51" s="235" t="str">
        <f>TEXT(V10,"Texto")&amp;" (Honorários de Sucumbência)"</f>
        <v>GABRIEL DE JESUS SILVA (Honorários de Sucumbência)</v>
      </c>
      <c r="E51" s="235"/>
      <c r="F51" s="111">
        <f>IF($Q$17="Sim",T53,0)</f>
        <v>0</v>
      </c>
      <c r="G51" s="111">
        <f>ROUND(F51*0.4,2)</f>
        <v>0</v>
      </c>
      <c r="H51" s="111">
        <f>F51-G51</f>
        <v>0</v>
      </c>
      <c r="I51" s="112">
        <v>0</v>
      </c>
      <c r="J51" s="112">
        <f>ROUND(IF(V11="cpf", IF(H51&gt;=[1]IR!$B$4,H51* [1]IR!$C$4-[1]IR!$D$4, IF(H51&gt;=[1]IR!$B$5,H51* [1]IR!$C$5-[1]IR!$D$5, IF(H51&gt;=[1]IR!$B$6,H51* [1]IR!$C$6-[1]IR!$D$6, IF(H51&gt;=[1]IR!$B$7,H51* [1]IR!$C$7-[1]IR!$D$7, 0)))), IF(V11="cnpj",H51* [1]IR!$C$10, "0")),2)</f>
        <v>0</v>
      </c>
      <c r="K51" s="112">
        <f>H51-I51-J51</f>
        <v>0</v>
      </c>
      <c r="L51" s="113" t="s">
        <v>43</v>
      </c>
      <c r="M51" s="4"/>
      <c r="N51" s="4"/>
      <c r="O51" s="1"/>
      <c r="P51" s="5"/>
      <c r="Q51" s="5"/>
      <c r="R51" s="110"/>
      <c r="S51" s="117" t="s">
        <v>90</v>
      </c>
      <c r="T51" s="118">
        <f>IF(R8="Sim",ROUND(T50*$R$9,2),T50*0)</f>
        <v>0</v>
      </c>
      <c r="U51" s="114"/>
      <c r="V51" s="84"/>
      <c r="W51" s="84"/>
      <c r="X51" s="84"/>
      <c r="Y51" s="5"/>
    </row>
    <row r="52" spans="1:25" ht="41.25" customHeight="1">
      <c r="A52" s="1"/>
      <c r="B52" s="1"/>
      <c r="C52" s="9"/>
      <c r="D52" s="237" t="s">
        <v>91</v>
      </c>
      <c r="E52" s="237"/>
      <c r="F52" s="93">
        <f t="shared" ref="F52:G52" si="1">SUM(F49:F51)</f>
        <v>0</v>
      </c>
      <c r="G52" s="93">
        <f t="shared" si="1"/>
        <v>0</v>
      </c>
      <c r="H52" s="93">
        <f t="shared" ref="H52" si="2">SUM(H49:H51)</f>
        <v>0</v>
      </c>
      <c r="I52" s="93" t="e">
        <f>SUM(I49:I51)</f>
        <v>#DIV/0!</v>
      </c>
      <c r="J52" s="93" t="e">
        <f>SUM(J49:J51)</f>
        <v>#DIV/0!</v>
      </c>
      <c r="K52" s="93" t="e">
        <f>SUM(K49:K51)</f>
        <v>#DIV/0!</v>
      </c>
      <c r="L52" s="93" t="s">
        <v>43</v>
      </c>
      <c r="M52" s="4"/>
      <c r="N52" s="4"/>
      <c r="O52" s="1"/>
      <c r="P52" s="5"/>
      <c r="Q52" s="5"/>
      <c r="R52" s="110"/>
      <c r="S52" s="117" t="s">
        <v>92</v>
      </c>
      <c r="T52" s="118">
        <v>0</v>
      </c>
      <c r="U52" s="84"/>
      <c r="V52" s="84"/>
      <c r="W52" s="84"/>
      <c r="X52" s="84"/>
      <c r="Y52" s="5"/>
    </row>
    <row r="53" spans="1:25" ht="23.25" customHeight="1">
      <c r="A53" s="1"/>
      <c r="B53" s="1"/>
      <c r="C53" s="9"/>
      <c r="D53" s="119"/>
      <c r="E53" s="119"/>
      <c r="F53" s="120"/>
      <c r="G53" s="119"/>
      <c r="H53" s="119"/>
      <c r="I53" s="119"/>
      <c r="J53" s="119"/>
      <c r="K53" s="4"/>
      <c r="L53" s="4"/>
      <c r="M53" s="4"/>
      <c r="N53" s="4"/>
      <c r="O53" s="1"/>
      <c r="P53" s="5"/>
      <c r="Q53" s="5"/>
      <c r="R53" s="110"/>
      <c r="S53" s="121" t="s">
        <v>93</v>
      </c>
      <c r="T53" s="118">
        <f>IF(V8="Sim",ROUND(T50*$V$9,2),T50*0)</f>
        <v>0</v>
      </c>
      <c r="U53" s="84"/>
      <c r="V53" s="84"/>
      <c r="W53" s="84"/>
      <c r="X53" s="122"/>
      <c r="Y53" s="5"/>
    </row>
    <row r="54" spans="1:25" ht="31.5" customHeight="1">
      <c r="A54" s="1"/>
      <c r="B54" s="1"/>
      <c r="C54" s="9"/>
      <c r="D54" s="12" t="str" cm="1">
        <f t="array" ref="D54">"Importa a presente conta o valor bruto de R$ " &amp; TEXT(ROUND($H$52,2), "#.##0,00") &amp; " (" &amp; PROPER(Converter_numero(ROUND($H$52,2))) &amp; ")"</f>
        <v>Importa a presente conta o valor bruto de R$ 0,00 ()</v>
      </c>
      <c r="E54" s="12"/>
      <c r="F54" s="123"/>
      <c r="G54" s="12"/>
      <c r="H54" s="12"/>
      <c r="I54" s="12"/>
      <c r="J54" s="14"/>
      <c r="K54" s="4"/>
      <c r="L54" s="4"/>
      <c r="M54" s="4"/>
      <c r="N54" s="4"/>
      <c r="O54" s="1"/>
      <c r="P54" s="5"/>
      <c r="Q54" s="5"/>
      <c r="R54" s="110"/>
      <c r="S54" s="124" t="s">
        <v>94</v>
      </c>
      <c r="T54" s="125">
        <f>T50-SUM(T51:T52)</f>
        <v>0</v>
      </c>
      <c r="U54" s="84"/>
      <c r="V54" s="84"/>
      <c r="W54" s="84"/>
      <c r="X54" s="84"/>
      <c r="Y54" s="5"/>
    </row>
    <row r="55" spans="1:25" ht="23.25">
      <c r="A55" s="1"/>
      <c r="B55" s="1"/>
      <c r="C55" s="9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1"/>
      <c r="P55" s="5"/>
      <c r="Q55" s="5"/>
      <c r="R55" s="110"/>
      <c r="S55" s="126" t="s">
        <v>95</v>
      </c>
      <c r="T55" s="127">
        <f>ROUND(T54*0.6,2)</f>
        <v>0</v>
      </c>
      <c r="U55" s="110"/>
      <c r="V55" s="110"/>
      <c r="W55" s="84"/>
      <c r="X55" s="84"/>
      <c r="Y55" s="5"/>
    </row>
    <row r="56" spans="1:25" ht="23.25">
      <c r="A56" s="1"/>
      <c r="B56" s="1"/>
      <c r="C56" s="9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1"/>
      <c r="P56" s="5"/>
      <c r="Q56" s="5"/>
      <c r="R56" s="84"/>
      <c r="S56" s="84"/>
      <c r="T56" s="84"/>
      <c r="U56" s="84"/>
      <c r="V56" s="84"/>
      <c r="W56" s="84"/>
      <c r="X56" s="84"/>
      <c r="Y56" s="5"/>
    </row>
    <row r="57" spans="1:25" ht="23.25">
      <c r="A57" s="1"/>
      <c r="B57" s="1"/>
      <c r="C57" s="128" t="s">
        <v>96</v>
      </c>
      <c r="D57" s="12"/>
      <c r="E57" s="12"/>
      <c r="F57" s="12"/>
      <c r="G57" s="12"/>
      <c r="H57" s="12"/>
      <c r="I57" s="14"/>
      <c r="J57" s="14"/>
      <c r="K57" s="10"/>
      <c r="L57" s="3"/>
      <c r="M57" s="3"/>
      <c r="N57" s="4"/>
      <c r="O57" s="1"/>
      <c r="P57" s="5"/>
      <c r="Q57" s="5"/>
      <c r="R57" s="110"/>
      <c r="S57" s="129" t="s">
        <v>97</v>
      </c>
      <c r="T57" s="130" t="s">
        <v>5</v>
      </c>
      <c r="U57" s="131">
        <v>0.14000000000000001</v>
      </c>
      <c r="V57" s="132" t="s">
        <v>98</v>
      </c>
      <c r="W57" s="238" t="s">
        <v>99</v>
      </c>
      <c r="X57" s="239"/>
      <c r="Y57" s="5"/>
    </row>
    <row r="58" spans="1:25" ht="28.5" customHeight="1">
      <c r="A58" s="1"/>
      <c r="B58" s="1"/>
      <c r="C58" s="82"/>
      <c r="D58" s="240" t="s">
        <v>100</v>
      </c>
      <c r="E58" s="240"/>
      <c r="F58" s="133" t="s">
        <v>101</v>
      </c>
      <c r="G58" s="82"/>
      <c r="H58" s="82"/>
      <c r="I58" s="12"/>
      <c r="J58" s="134"/>
      <c r="K58" s="10"/>
      <c r="L58" s="3"/>
      <c r="M58" s="4"/>
      <c r="N58" s="4"/>
      <c r="O58" s="1"/>
      <c r="P58" s="5"/>
      <c r="Q58" s="5"/>
      <c r="R58" s="110"/>
      <c r="S58" s="135" t="s">
        <v>102</v>
      </c>
      <c r="T58" s="136" t="e">
        <f>IF(T57="Sim", V45, "R$ 0,00")</f>
        <v>#DIV/0!</v>
      </c>
      <c r="U58" s="5"/>
      <c r="V58" s="5"/>
      <c r="W58" s="137" t="s">
        <v>103</v>
      </c>
      <c r="X58" s="138" t="e">
        <f>T63</f>
        <v>#DIV/0!</v>
      </c>
      <c r="Y58" s="5"/>
    </row>
    <row r="59" spans="1:25" ht="98.25" customHeight="1">
      <c r="A59" s="1"/>
      <c r="B59" s="1"/>
      <c r="C59" s="82"/>
      <c r="D59" s="139" t="s">
        <v>104</v>
      </c>
      <c r="E59" s="133" t="e">
        <f>U76</f>
        <v>#DIV/0!</v>
      </c>
      <c r="F59" s="140" t="e">
        <f>L49</f>
        <v>#DIV/0!</v>
      </c>
      <c r="G59" s="82"/>
      <c r="H59" s="141"/>
      <c r="I59" s="142"/>
      <c r="J59" s="134"/>
      <c r="K59" s="10"/>
      <c r="L59" s="3"/>
      <c r="M59" s="4"/>
      <c r="N59" s="4"/>
      <c r="O59" s="1"/>
      <c r="P59" s="5"/>
      <c r="Q59" s="5"/>
      <c r="R59" s="110"/>
      <c r="S59" s="135" t="str">
        <f>CONCATENATE("Aliquota ", TEXT(U57, "0%"))</f>
        <v>Aliquota 14%</v>
      </c>
      <c r="T59" s="136" t="e">
        <f>ROUND(T58*U57,2)</f>
        <v>#DIV/0!</v>
      </c>
      <c r="U59" s="5"/>
      <c r="V59" s="5"/>
      <c r="W59" s="143" t="s">
        <v>105</v>
      </c>
      <c r="X59" s="138" t="e">
        <f>X58/2</f>
        <v>#DIV/0!</v>
      </c>
      <c r="Y59" s="5"/>
    </row>
    <row r="60" spans="1:25" ht="57.75" customHeight="1">
      <c r="A60" s="1"/>
      <c r="B60" s="1"/>
      <c r="C60" s="82"/>
      <c r="D60" s="139" t="s">
        <v>106</v>
      </c>
      <c r="E60" s="133" t="e">
        <f>T55-U76</f>
        <v>#DIV/0!</v>
      </c>
      <c r="F60" s="82"/>
      <c r="G60" s="82"/>
      <c r="H60" s="82"/>
      <c r="I60" s="12"/>
      <c r="J60" s="12"/>
      <c r="K60" s="10"/>
      <c r="L60" s="3"/>
      <c r="M60" s="4"/>
      <c r="N60" s="4"/>
      <c r="O60" s="1"/>
      <c r="P60" s="5"/>
      <c r="Q60" s="5"/>
      <c r="R60" s="110"/>
      <c r="S60" s="144" t="s">
        <v>107</v>
      </c>
      <c r="T60" s="136">
        <v>0</v>
      </c>
      <c r="U60" s="145">
        <v>0</v>
      </c>
      <c r="V60" s="132" t="s">
        <v>108</v>
      </c>
      <c r="W60" s="146" t="s">
        <v>109</v>
      </c>
      <c r="X60" s="147">
        <f>G40</f>
        <v>0</v>
      </c>
      <c r="Y60" s="5"/>
    </row>
    <row r="61" spans="1:25" ht="63.75" customHeight="1">
      <c r="A61" s="1"/>
      <c r="B61" s="1"/>
      <c r="C61" s="82"/>
      <c r="D61" s="139" t="s">
        <v>110</v>
      </c>
      <c r="E61" s="133">
        <v>0</v>
      </c>
      <c r="F61" s="82"/>
      <c r="G61" s="82"/>
      <c r="H61" s="82"/>
      <c r="I61" s="12"/>
      <c r="J61" s="12"/>
      <c r="K61" s="10"/>
      <c r="L61" s="3"/>
      <c r="M61" s="4"/>
      <c r="N61" s="4"/>
      <c r="O61" s="1"/>
      <c r="P61" s="5"/>
      <c r="Q61" s="5"/>
      <c r="R61" s="110"/>
      <c r="S61" s="148" t="s">
        <v>111</v>
      </c>
      <c r="T61" s="136" t="e">
        <f>IF(T57="Sim",T59-T60,"R$ 0,00")</f>
        <v>#DIV/0!</v>
      </c>
      <c r="U61" s="149"/>
      <c r="V61" s="150"/>
      <c r="W61" s="146" t="s">
        <v>112</v>
      </c>
      <c r="X61" s="147">
        <f>T44</f>
        <v>0</v>
      </c>
      <c r="Y61" s="5"/>
    </row>
    <row r="62" spans="1:25" ht="39.75" customHeight="1">
      <c r="A62" s="1"/>
      <c r="B62" s="1"/>
      <c r="C62" s="82"/>
      <c r="E62" s="82"/>
      <c r="F62" s="82"/>
      <c r="G62" s="82"/>
      <c r="H62" s="82"/>
      <c r="I62" s="12"/>
      <c r="J62" s="12"/>
      <c r="K62" s="10"/>
      <c r="L62" s="3"/>
      <c r="M62" s="4"/>
      <c r="N62" s="4"/>
      <c r="O62" s="1"/>
      <c r="P62" s="5"/>
      <c r="Q62" s="5"/>
      <c r="R62" s="110"/>
      <c r="S62" s="144" t="s">
        <v>113</v>
      </c>
      <c r="T62" s="136" t="e">
        <f>ROUND(T61*0.4,2)</f>
        <v>#DIV/0!</v>
      </c>
      <c r="U62" s="5"/>
      <c r="V62" s="5"/>
      <c r="W62" s="151" t="s">
        <v>114</v>
      </c>
      <c r="X62" s="152" t="e">
        <f>X61*X59/X60</f>
        <v>#DIV/0!</v>
      </c>
      <c r="Y62" s="5"/>
    </row>
    <row r="63" spans="1:25" ht="43.5" customHeight="1">
      <c r="A63" s="1"/>
      <c r="B63" s="1"/>
      <c r="C63" s="82"/>
      <c r="D63" s="82" t="s">
        <v>115</v>
      </c>
      <c r="E63" s="82"/>
      <c r="F63" s="153"/>
      <c r="G63" s="82"/>
      <c r="H63" s="82"/>
      <c r="I63" s="12"/>
      <c r="J63" s="12"/>
      <c r="K63" s="10"/>
      <c r="L63" s="3"/>
      <c r="M63" s="4"/>
      <c r="N63" s="4"/>
      <c r="O63" s="1"/>
      <c r="P63" s="5"/>
      <c r="Q63" s="5"/>
      <c r="R63" s="110"/>
      <c r="S63" s="154" t="s">
        <v>81</v>
      </c>
      <c r="T63" s="155" t="e">
        <f>T61-T62</f>
        <v>#DIV/0!</v>
      </c>
      <c r="U63" s="114"/>
      <c r="V63" s="84"/>
      <c r="W63" s="84"/>
      <c r="X63" s="84"/>
      <c r="Y63" s="5"/>
    </row>
    <row r="64" spans="1:25" ht="23.25">
      <c r="A64" s="1"/>
      <c r="B64" s="1"/>
      <c r="C64" s="82"/>
      <c r="D64" s="156" t="s">
        <v>116</v>
      </c>
      <c r="E64" s="82"/>
      <c r="F64" s="153"/>
      <c r="G64" s="82"/>
      <c r="H64" s="82"/>
      <c r="I64" s="12"/>
      <c r="J64" s="12"/>
      <c r="K64" s="10"/>
      <c r="L64" s="3"/>
      <c r="M64" s="4"/>
      <c r="N64" s="4"/>
      <c r="O64" s="1"/>
      <c r="P64" s="5"/>
      <c r="Q64" s="5"/>
      <c r="R64" s="110"/>
      <c r="S64" s="114"/>
      <c r="T64" s="114"/>
      <c r="U64" s="114"/>
      <c r="V64" s="84"/>
      <c r="W64" s="84"/>
      <c r="X64" s="84"/>
      <c r="Y64" s="5"/>
    </row>
    <row r="65" spans="1:25" ht="23.25">
      <c r="A65" s="1"/>
      <c r="B65" s="1"/>
      <c r="C65" s="82"/>
      <c r="D65" s="156" t="s">
        <v>117</v>
      </c>
      <c r="E65" s="82"/>
      <c r="F65" s="153"/>
      <c r="G65" s="82"/>
      <c r="H65" s="82"/>
      <c r="I65" s="119"/>
      <c r="J65" s="119"/>
      <c r="K65" s="119"/>
      <c r="L65" s="119"/>
      <c r="M65" s="4"/>
      <c r="N65" s="4"/>
      <c r="O65" s="1"/>
      <c r="P65" s="5"/>
      <c r="Q65" s="5"/>
      <c r="R65" s="84"/>
      <c r="S65" s="229" t="s">
        <v>87</v>
      </c>
      <c r="T65" s="229"/>
      <c r="U65" s="84"/>
      <c r="V65" s="84"/>
      <c r="W65" s="84"/>
      <c r="X65" s="84"/>
      <c r="Y65" s="5"/>
    </row>
    <row r="66" spans="1:25" ht="26.25">
      <c r="A66" s="1"/>
      <c r="B66" s="1"/>
      <c r="C66" s="82"/>
      <c r="D66" s="82" t="s">
        <v>118</v>
      </c>
      <c r="E66" s="82"/>
      <c r="F66" s="153"/>
      <c r="G66" s="82"/>
      <c r="H66" s="82"/>
      <c r="I66" s="119"/>
      <c r="J66" s="119"/>
      <c r="K66" s="119"/>
      <c r="L66" s="119"/>
      <c r="M66" s="4"/>
      <c r="N66" s="4"/>
      <c r="O66" s="1"/>
      <c r="P66" s="5"/>
      <c r="Q66" s="5"/>
      <c r="R66" s="110"/>
      <c r="S66" s="157">
        <f>(IF(V70="Sim",R26,0))</f>
        <v>0</v>
      </c>
      <c r="T66" s="158">
        <v>61</v>
      </c>
      <c r="U66" s="114"/>
      <c r="V66" s="114"/>
      <c r="W66" s="84"/>
      <c r="X66" s="84"/>
      <c r="Y66" s="5"/>
    </row>
    <row r="67" spans="1:25" ht="23.25">
      <c r="A67" s="1"/>
      <c r="B67" s="1"/>
      <c r="C67" s="82"/>
      <c r="D67" s="82" t="s">
        <v>119</v>
      </c>
      <c r="E67" s="82"/>
      <c r="F67" s="153"/>
      <c r="G67" s="82"/>
      <c r="H67" s="82"/>
      <c r="I67" s="119"/>
      <c r="J67" s="119"/>
      <c r="K67" s="119"/>
      <c r="L67" s="119"/>
      <c r="M67" s="4"/>
      <c r="N67" s="4"/>
      <c r="O67" s="1"/>
      <c r="P67" s="5"/>
      <c r="Q67" s="5"/>
      <c r="R67" s="110"/>
      <c r="S67" s="157">
        <f>T50</f>
        <v>0</v>
      </c>
      <c r="T67" s="159" t="s">
        <v>120</v>
      </c>
      <c r="U67" s="114"/>
      <c r="V67" s="114"/>
      <c r="W67" s="84"/>
      <c r="X67" s="84"/>
      <c r="Y67" s="5"/>
    </row>
    <row r="68" spans="1:25" ht="23.25">
      <c r="A68" s="1"/>
      <c r="B68" s="1"/>
      <c r="C68" s="82"/>
      <c r="D68" s="82" t="s">
        <v>121</v>
      </c>
      <c r="E68" s="82"/>
      <c r="F68" s="153"/>
      <c r="G68" s="82"/>
      <c r="H68" s="82"/>
      <c r="I68" s="119"/>
      <c r="J68" s="119"/>
      <c r="K68" s="119"/>
      <c r="L68" s="119"/>
      <c r="M68" s="4"/>
      <c r="N68" s="4"/>
      <c r="O68" s="1"/>
      <c r="P68" s="5"/>
      <c r="Q68" s="5"/>
      <c r="R68" s="110"/>
      <c r="S68" s="160"/>
      <c r="T68" s="161" t="e">
        <f>ROUND((S67*T66)/S66,0)</f>
        <v>#DIV/0!</v>
      </c>
      <c r="U68" s="114"/>
      <c r="V68" s="114"/>
      <c r="W68" s="84"/>
      <c r="X68" s="84"/>
      <c r="Y68" s="5"/>
    </row>
    <row r="69" spans="1:25" ht="23.25">
      <c r="A69" s="1"/>
      <c r="B69" s="1"/>
      <c r="C69" s="162"/>
      <c r="D69" s="82" t="s">
        <v>122</v>
      </c>
      <c r="E69" s="82"/>
      <c r="F69" s="82"/>
      <c r="G69" s="82"/>
      <c r="H69" s="12"/>
      <c r="I69" s="12"/>
      <c r="J69" s="12"/>
      <c r="K69" s="10"/>
      <c r="L69" s="3"/>
      <c r="M69" s="4"/>
      <c r="N69" s="4"/>
      <c r="O69" s="1"/>
      <c r="P69" s="5"/>
      <c r="Q69" s="5"/>
      <c r="R69" s="110"/>
      <c r="S69" s="114"/>
      <c r="T69" s="114"/>
      <c r="U69" s="114"/>
      <c r="V69" s="114"/>
      <c r="W69" s="84"/>
      <c r="X69" s="84"/>
      <c r="Y69" s="5"/>
    </row>
    <row r="70" spans="1:25" ht="23.25">
      <c r="A70" s="1"/>
      <c r="B70" s="1"/>
      <c r="C70" s="162"/>
      <c r="D70" s="163" t="s">
        <v>123</v>
      </c>
      <c r="E70" s="82"/>
      <c r="F70" s="82"/>
      <c r="G70" s="82"/>
      <c r="H70" s="12"/>
      <c r="I70" s="12"/>
      <c r="J70" s="12"/>
      <c r="K70" s="10"/>
      <c r="L70" s="3"/>
      <c r="M70" s="4"/>
      <c r="N70" s="4"/>
      <c r="O70" s="1"/>
      <c r="P70" s="5"/>
      <c r="Q70" s="5"/>
      <c r="R70" s="5"/>
      <c r="S70" s="241" t="s">
        <v>124</v>
      </c>
      <c r="T70" s="164" t="s">
        <v>125</v>
      </c>
      <c r="U70" s="165" t="e">
        <f>V45</f>
        <v>#DIV/0!</v>
      </c>
      <c r="V70" s="242" t="s">
        <v>5</v>
      </c>
      <c r="W70" s="84"/>
      <c r="X70" s="84"/>
      <c r="Y70" s="5"/>
    </row>
    <row r="71" spans="1:25" ht="69.75">
      <c r="A71" s="1"/>
      <c r="B71" s="1"/>
      <c r="C71" s="162"/>
      <c r="D71" s="163" t="s">
        <v>126</v>
      </c>
      <c r="E71" s="82"/>
      <c r="F71" s="82"/>
      <c r="G71" s="82"/>
      <c r="H71" s="12"/>
      <c r="I71" s="12"/>
      <c r="J71" s="12"/>
      <c r="K71" s="12"/>
      <c r="L71" s="3"/>
      <c r="M71" s="4"/>
      <c r="N71" s="4"/>
      <c r="O71" s="1"/>
      <c r="P71" s="5"/>
      <c r="Q71" s="5"/>
      <c r="R71" s="5"/>
      <c r="S71" s="241"/>
      <c r="T71" s="166" t="s">
        <v>107</v>
      </c>
      <c r="U71" s="167">
        <v>0</v>
      </c>
      <c r="V71" s="242"/>
      <c r="W71" s="84"/>
      <c r="X71" s="84"/>
      <c r="Y71" s="5"/>
    </row>
    <row r="72" spans="1:25" ht="23.25">
      <c r="A72" s="1"/>
      <c r="B72" s="1"/>
      <c r="C72" s="162"/>
      <c r="D72" s="163" t="s">
        <v>127</v>
      </c>
      <c r="E72" s="82"/>
      <c r="F72" s="82"/>
      <c r="G72" s="82"/>
      <c r="H72" s="12"/>
      <c r="I72" s="12"/>
      <c r="J72" s="12"/>
      <c r="K72" s="12"/>
      <c r="L72" s="3"/>
      <c r="M72" s="4"/>
      <c r="N72" s="4"/>
      <c r="O72" s="1"/>
      <c r="P72" s="5"/>
      <c r="Q72" s="5"/>
      <c r="R72" s="110"/>
      <c r="S72" s="168" t="s">
        <v>128</v>
      </c>
      <c r="T72" s="169"/>
      <c r="U72" s="170" t="e">
        <f>IF(R8="sim",R9*(U70+U71),0)</f>
        <v>#DIV/0!</v>
      </c>
      <c r="V72" s="171"/>
      <c r="W72" s="84"/>
      <c r="X72" s="84"/>
      <c r="Y72" s="5"/>
    </row>
    <row r="73" spans="1:25" ht="23.25">
      <c r="A73" s="1"/>
      <c r="B73" s="1"/>
      <c r="C73" s="162"/>
      <c r="D73" s="163" t="s">
        <v>129</v>
      </c>
      <c r="E73" s="82"/>
      <c r="F73" s="82"/>
      <c r="G73" s="82"/>
      <c r="H73" s="12"/>
      <c r="I73" s="12"/>
      <c r="J73" s="12"/>
      <c r="K73" s="12"/>
      <c r="L73" s="3"/>
      <c r="M73" s="4"/>
      <c r="N73" s="4"/>
      <c r="O73" s="1"/>
      <c r="P73" s="5"/>
      <c r="Q73" s="5"/>
      <c r="R73" s="110"/>
      <c r="S73" s="172" t="s">
        <v>130</v>
      </c>
      <c r="T73" s="150"/>
      <c r="U73" s="173">
        <v>0</v>
      </c>
      <c r="V73" s="171"/>
      <c r="W73" s="84"/>
      <c r="X73" s="84"/>
      <c r="Y73" s="5"/>
    </row>
    <row r="74" spans="1:25" ht="23.25">
      <c r="A74" s="1"/>
      <c r="B74" s="1"/>
      <c r="C74" s="162"/>
      <c r="D74" s="163" t="s">
        <v>131</v>
      </c>
      <c r="E74" s="82"/>
      <c r="F74" s="82"/>
      <c r="G74" s="82"/>
      <c r="H74" s="12"/>
      <c r="I74" s="12"/>
      <c r="J74" s="12"/>
      <c r="K74" s="12"/>
      <c r="L74" s="3"/>
      <c r="M74" s="4"/>
      <c r="N74" s="4"/>
      <c r="O74" s="1"/>
      <c r="P74" s="5"/>
      <c r="Q74" s="5"/>
      <c r="R74" s="110"/>
      <c r="S74" s="174" t="s">
        <v>102</v>
      </c>
      <c r="T74" s="84"/>
      <c r="U74" s="175" t="e">
        <f>U70-U71-U72-U73</f>
        <v>#DIV/0!</v>
      </c>
      <c r="V74" s="171"/>
      <c r="W74" s="84"/>
      <c r="X74" s="84"/>
      <c r="Y74" s="5"/>
    </row>
    <row r="75" spans="1:25" ht="23.25">
      <c r="A75" s="1"/>
      <c r="B75" s="1"/>
      <c r="C75" s="163"/>
      <c r="D75" s="163" t="e">
        <f>CONCATENATE("Faixa ", IF(U83=0, "Isenta", U81*100), ". RRA Total: ", T66,". RRA do pagamento: ", Z107)</f>
        <v>#DIV/0!</v>
      </c>
      <c r="E75" s="82"/>
      <c r="F75" s="82"/>
      <c r="G75" s="153"/>
      <c r="H75" s="12"/>
      <c r="I75" s="12"/>
      <c r="J75" s="12"/>
      <c r="K75" s="12"/>
      <c r="L75" s="162"/>
      <c r="M75" s="4"/>
      <c r="N75" s="4"/>
      <c r="O75" s="1"/>
      <c r="P75" s="5"/>
      <c r="Q75" s="5"/>
      <c r="R75" s="110"/>
      <c r="S75" s="172" t="s">
        <v>132</v>
      </c>
      <c r="T75" s="84"/>
      <c r="U75" s="175" t="e">
        <f>ROUND(U74*0.4,2)</f>
        <v>#DIV/0!</v>
      </c>
      <c r="V75" s="176"/>
      <c r="W75" s="84"/>
      <c r="X75" s="84"/>
      <c r="Y75" s="5"/>
    </row>
    <row r="76" spans="1:25" ht="23.25">
      <c r="A76" s="1"/>
      <c r="B76" s="1"/>
      <c r="C76" s="12"/>
      <c r="D76" s="163" t="str">
        <f>IF(R8="Não", "", IF(R11="cpf", "7- Cálculo do Imposto de Renda dos honorários contratuais de acordo com a MP 1206/2024.", IF(R11="cnpj", "7- Cálculo do Imposto de Renda dos honorários contratuais de acordo com o decreto 9.580, art 714.", "")))</f>
        <v>7- Cálculo do Imposto de Renda dos honorários contratuais de acordo com o decreto 9.580, art 714.</v>
      </c>
      <c r="E76" s="82"/>
      <c r="F76" s="82"/>
      <c r="G76" s="153"/>
      <c r="H76" s="12"/>
      <c r="I76" s="12"/>
      <c r="J76" s="12"/>
      <c r="K76" s="12"/>
      <c r="L76" s="162"/>
      <c r="M76" s="4"/>
      <c r="N76" s="4"/>
      <c r="O76" s="1"/>
      <c r="P76" s="5"/>
      <c r="Q76" s="5"/>
      <c r="R76" s="84"/>
      <c r="S76" s="174" t="s">
        <v>133</v>
      </c>
      <c r="T76" s="84"/>
      <c r="U76" s="175" t="e">
        <f>U74-U75</f>
        <v>#DIV/0!</v>
      </c>
      <c r="V76" s="149"/>
      <c r="W76" s="84"/>
      <c r="X76" s="84"/>
      <c r="Y76" s="5"/>
    </row>
    <row r="77" spans="1:25" ht="23.25">
      <c r="A77" s="1"/>
      <c r="B77" s="1"/>
      <c r="C77" s="12"/>
      <c r="D77" s="177" t="str">
        <f>IF(R8="Não", "", IF(R11="cpf", "Alíquota: " &amp; IF(F50&gt;=[1]IR!$B$4, [1]IR!$C$4*100 &amp;"%", IF(F50&gt;=[1]IR!$B$5, [1]IR!$C$5*100 &amp;"%", IF(F50&gt;=[1]IR!$B$6, [1]IR!$C$6*100 &amp;"%", IF(F50&gt;=[1]IR!$B$7, [1]IR!$C$7*100, "Isento")))), IF(R11="cnpj", "Alíquota: " &amp; [1]IR!$C$10*100 &amp;"%", "Escolha Inválida")))</f>
        <v>Alíquota: 1,5%</v>
      </c>
      <c r="E77" s="82"/>
      <c r="F77" s="82"/>
      <c r="G77" s="153"/>
      <c r="H77" s="12"/>
      <c r="I77" s="12"/>
      <c r="J77" s="12"/>
      <c r="K77" s="12"/>
      <c r="L77" s="162"/>
      <c r="M77" s="4"/>
      <c r="N77" s="4"/>
      <c r="O77" s="1"/>
      <c r="P77" s="5"/>
      <c r="Q77" s="5"/>
      <c r="R77" s="84"/>
      <c r="S77" s="178" t="s">
        <v>134</v>
      </c>
      <c r="T77" s="84"/>
      <c r="U77" s="175" t="e">
        <f>T63</f>
        <v>#DIV/0!</v>
      </c>
      <c r="V77" s="171"/>
      <c r="W77" s="84"/>
      <c r="X77" s="84"/>
      <c r="Y77" s="5"/>
    </row>
    <row r="78" spans="1:25" ht="23.25">
      <c r="A78" s="1"/>
      <c r="B78" s="1"/>
      <c r="C78" s="1"/>
      <c r="D78" s="4" t="str">
        <f>IF(V8="Não", "", IF(V11="cpf", "8- Cálculo do Imposto de Renda dos honorários sucumbencial de acordo com a MP 1206/2024.", IF(V11="cnpj", "8- Cálculo do Imposto de Renda dos honorários sucumbencial de acordo com o decreto 9.580, art 714.", "")))</f>
        <v>8- Cálculo do Imposto de Renda dos honorários sucumbencial de acordo com a MP 1206/2024.</v>
      </c>
      <c r="E78" s="2"/>
      <c r="F78" s="2"/>
      <c r="G78" s="2"/>
      <c r="H78" s="2"/>
      <c r="I78" s="2"/>
      <c r="J78" s="2"/>
      <c r="K78" s="1"/>
      <c r="L78" s="3"/>
      <c r="M78" s="4"/>
      <c r="N78" s="4"/>
      <c r="O78" s="1"/>
      <c r="P78" s="5"/>
      <c r="Q78" s="5"/>
      <c r="R78" s="5"/>
      <c r="S78" s="179" t="s">
        <v>102</v>
      </c>
      <c r="T78" s="180"/>
      <c r="U78" s="181" t="e">
        <f>U76-U77</f>
        <v>#DIV/0!</v>
      </c>
      <c r="V78" s="182"/>
      <c r="W78" s="84"/>
      <c r="X78" s="84"/>
      <c r="Y78" s="5"/>
    </row>
    <row r="79" spans="1:25" ht="23.25">
      <c r="A79" s="1"/>
      <c r="B79" s="1"/>
      <c r="C79" s="1"/>
      <c r="D79" s="183" t="str">
        <f>IF(V8="Não", "", IF(V11="cpf", "Alíquota: " &amp; IF(F51&gt;=[1]IR!$B$4, [1]IR!$C$4*100 &amp;"%", IF(F51&gt;=[1]IR!$B$5, [1]IR!$C$5*100 &amp;"%", IF(F51&gt;=[1]IR!$B$6, [1]IR!$C$6*100 &amp;"%", IF(F51&gt;=[1]IR!$B$7, [1]IR!$C$7*100 &amp;"%", "Isento")))), IF(V11="cnpj", "Alíquota: " &amp; [1]IR!$C$10*100 &amp;"%", "Escolha Inválida")))</f>
        <v>Alíquota: Isento</v>
      </c>
      <c r="E79" s="2"/>
      <c r="F79" s="2"/>
      <c r="G79" s="2"/>
      <c r="H79" s="2"/>
      <c r="I79" s="2"/>
      <c r="J79" s="2"/>
      <c r="K79" s="1"/>
      <c r="L79" s="3"/>
      <c r="M79" s="4"/>
      <c r="N79" s="4"/>
      <c r="O79" s="1"/>
      <c r="P79" s="5"/>
      <c r="Q79" s="52"/>
      <c r="R79" s="5"/>
      <c r="S79" s="172" t="s">
        <v>87</v>
      </c>
      <c r="T79" s="150"/>
      <c r="U79" s="184" t="e">
        <f>ROUND(T68,0)</f>
        <v>#DIV/0!</v>
      </c>
      <c r="V79" s="171"/>
      <c r="W79" s="84"/>
      <c r="X79" s="84"/>
      <c r="Y79" s="5"/>
    </row>
    <row r="80" spans="1:25" ht="23.25">
      <c r="A80" s="1"/>
      <c r="B80" s="1"/>
      <c r="C80" s="1"/>
      <c r="D80" s="185" t="s">
        <v>135</v>
      </c>
      <c r="E80" s="2"/>
      <c r="F80" s="2"/>
      <c r="G80" s="2"/>
      <c r="H80" s="2"/>
      <c r="I80" s="2"/>
      <c r="J80" s="2"/>
      <c r="K80" s="1"/>
      <c r="L80" s="3"/>
      <c r="M80" s="4"/>
      <c r="N80" s="4"/>
      <c r="O80" s="1"/>
      <c r="P80" s="5"/>
      <c r="Q80" s="186"/>
      <c r="R80" s="5"/>
      <c r="S80" s="172" t="s">
        <v>136</v>
      </c>
      <c r="T80" s="150"/>
      <c r="U80" s="173" t="e">
        <f>U78/U79</f>
        <v>#DIV/0!</v>
      </c>
      <c r="V80" s="171"/>
      <c r="W80" s="84"/>
      <c r="X80" s="84"/>
      <c r="Y80" s="5"/>
    </row>
    <row r="81" spans="1:25" ht="23.25">
      <c r="A81" s="1"/>
      <c r="B81" s="1"/>
      <c r="C81" s="1"/>
      <c r="D81" s="2"/>
      <c r="E81" s="2"/>
      <c r="F81" s="2"/>
      <c r="G81" s="2"/>
      <c r="H81" s="2"/>
      <c r="I81" s="2"/>
      <c r="J81" s="2"/>
      <c r="K81" s="1"/>
      <c r="L81" s="3"/>
      <c r="M81" s="4"/>
      <c r="N81" s="4"/>
      <c r="O81" s="1"/>
      <c r="P81" s="5"/>
      <c r="Q81" s="5"/>
      <c r="R81" s="5"/>
      <c r="S81" s="172" t="s">
        <v>137</v>
      </c>
      <c r="T81" s="150"/>
      <c r="U81" s="187" t="e">
        <f>IF(U80&gt;=[1]IR!$B$4, [1]IR!$C$4, IF(U80&gt;=[1]IR!$B$5, [1]IR!$C$5, IF(U80&gt;=[1]IR!$B$6, [1]IR!$C$6, IF(U80&gt;=[1]IR!$B$7, [1]IR!$C$7, [1]IR!$C$8))))</f>
        <v>#DIV/0!</v>
      </c>
      <c r="V81" s="171"/>
      <c r="W81" s="84"/>
      <c r="X81" s="84"/>
      <c r="Y81" s="5"/>
    </row>
    <row r="82" spans="1:25" ht="23.25">
      <c r="A82" s="1"/>
      <c r="B82" s="1"/>
      <c r="C82" s="188"/>
      <c r="D82" s="2"/>
      <c r="E82" s="4"/>
      <c r="F82" s="4"/>
      <c r="G82" s="4"/>
      <c r="H82" s="4"/>
      <c r="I82" s="4"/>
      <c r="J82" s="4"/>
      <c r="K82" s="4"/>
      <c r="L82" s="4"/>
      <c r="M82" s="4"/>
      <c r="N82" s="4"/>
      <c r="O82" s="1"/>
      <c r="P82" s="5"/>
      <c r="Q82" s="5"/>
      <c r="R82" s="84"/>
      <c r="S82" s="172" t="s">
        <v>138</v>
      </c>
      <c r="T82" s="150"/>
      <c r="U82" s="173" t="e">
        <f>IF(U81=[1]IR!$C$7, U80*U81-[1]IR!$D$7, IF(U81=[1]IR!$C$6, U80*U81-[1]IR!$D$6, IF(U81=[1]IR!$C$5, U80*U81-[1]IR!$D$5, IF(U81=[1]IR!$C$4, U80*U81-[1]IR!$D$4, [1]IR!$D$8))))</f>
        <v>#DIV/0!</v>
      </c>
      <c r="V82" s="84"/>
      <c r="W82" s="84"/>
      <c r="X82" s="84"/>
      <c r="Y82" s="5"/>
    </row>
    <row r="83" spans="1:25" ht="23.25">
      <c r="A83" s="1"/>
      <c r="B83" s="1"/>
      <c r="C83" s="2"/>
      <c r="D83" s="2"/>
      <c r="E83" s="2"/>
      <c r="F83" s="2"/>
      <c r="G83" s="2"/>
      <c r="H83" s="2"/>
      <c r="I83" s="2"/>
      <c r="J83" s="2"/>
      <c r="K83" s="2"/>
      <c r="L83" s="2"/>
      <c r="M83" s="4"/>
      <c r="N83" s="4"/>
      <c r="O83" s="1"/>
      <c r="P83" s="5"/>
      <c r="Q83" s="5"/>
      <c r="R83" s="84"/>
      <c r="S83" s="189" t="s">
        <v>139</v>
      </c>
      <c r="T83" s="190" t="e">
        <f>"(" &amp; U79 &amp; " meses)"</f>
        <v>#DIV/0!</v>
      </c>
      <c r="U83" s="191" t="e">
        <f>IF(V70="sim", ROUND(U82*U79,2), 2)</f>
        <v>#DIV/0!</v>
      </c>
      <c r="V83" s="84"/>
      <c r="W83" s="5"/>
      <c r="X83" s="84"/>
      <c r="Y83" s="5"/>
    </row>
    <row r="84" spans="1:25" ht="23.25">
      <c r="A84" s="1"/>
      <c r="B84" s="1"/>
      <c r="C84" s="2"/>
      <c r="D84" s="243" t="str">
        <f ca="1">"Teresina, " &amp; TEXT(TODAY(), "dd") &amp; " de " &amp; TEXT(TODAY(), "mmmm") &amp; " de " &amp; TEXT(TODAY(), "aaaa")</f>
        <v>Teresina, 22 de fevereiro de 2025</v>
      </c>
      <c r="E84" s="243"/>
      <c r="F84" s="243"/>
      <c r="G84" s="243"/>
      <c r="H84" s="243"/>
      <c r="I84" s="243"/>
      <c r="J84" s="243"/>
      <c r="K84" s="243"/>
      <c r="L84" s="243"/>
      <c r="M84" s="243"/>
      <c r="N84" s="4"/>
      <c r="O84" s="1"/>
      <c r="P84" s="5"/>
      <c r="Q84" s="5"/>
      <c r="R84" s="84"/>
      <c r="S84" s="84"/>
      <c r="T84" s="84"/>
      <c r="U84" s="84"/>
      <c r="V84" s="84"/>
      <c r="W84" s="5"/>
      <c r="X84" s="84"/>
      <c r="Y84" s="5"/>
    </row>
    <row r="85" spans="1:25" ht="23.25">
      <c r="A85" s="1"/>
      <c r="B85" s="1"/>
      <c r="C85" s="2"/>
      <c r="D85" s="243" t="str">
        <f>[1]MENU!$AD$24</f>
        <v>Gabriel de Jesus Silva</v>
      </c>
      <c r="E85" s="243"/>
      <c r="F85" s="243"/>
      <c r="G85" s="243"/>
      <c r="H85" s="243"/>
      <c r="I85" s="243"/>
      <c r="J85" s="243"/>
      <c r="K85" s="243"/>
      <c r="L85" s="243"/>
      <c r="M85" s="243"/>
      <c r="N85" s="4"/>
      <c r="O85" s="1"/>
      <c r="P85" s="5"/>
      <c r="Q85" s="5"/>
      <c r="R85" s="84"/>
      <c r="S85" s="84"/>
      <c r="T85" s="84"/>
      <c r="U85" s="84"/>
      <c r="V85" s="84"/>
      <c r="W85" s="5"/>
      <c r="X85" s="5"/>
      <c r="Y85" s="5"/>
    </row>
    <row r="86" spans="1:25" ht="23.25">
      <c r="A86" s="1"/>
      <c r="B86" s="1"/>
      <c r="C86" s="4"/>
      <c r="D86" s="243" t="str">
        <f>[1]MENU!$AD$25</f>
        <v>Servidor TJ/PI - Coordenadoria de Precatórios</v>
      </c>
      <c r="E86" s="243"/>
      <c r="F86" s="243"/>
      <c r="G86" s="243"/>
      <c r="H86" s="243"/>
      <c r="I86" s="243"/>
      <c r="J86" s="243"/>
      <c r="K86" s="243"/>
      <c r="L86" s="243"/>
      <c r="M86" s="243"/>
      <c r="N86" s="4"/>
      <c r="O86" s="1"/>
      <c r="P86" s="5"/>
      <c r="Q86" s="5"/>
      <c r="R86" s="84"/>
      <c r="S86" s="84"/>
      <c r="T86" s="84"/>
      <c r="U86" s="84"/>
      <c r="V86" s="84"/>
      <c r="W86" s="5"/>
      <c r="X86" s="5"/>
      <c r="Y86" s="5"/>
    </row>
    <row r="87" spans="1:25" ht="23.25">
      <c r="A87" s="1"/>
      <c r="B87" s="1"/>
      <c r="C87" s="12"/>
      <c r="D87" s="2"/>
      <c r="E87" s="2"/>
      <c r="F87" s="2"/>
      <c r="G87" s="2"/>
      <c r="H87" s="2"/>
      <c r="I87" s="2"/>
      <c r="J87" s="2"/>
      <c r="K87" s="2"/>
      <c r="L87" s="2"/>
      <c r="M87" s="2"/>
      <c r="N87" s="4"/>
      <c r="O87" s="1"/>
      <c r="P87" s="5"/>
      <c r="Q87" s="5"/>
      <c r="R87" s="84"/>
      <c r="S87" s="84"/>
      <c r="T87" s="84"/>
      <c r="U87" s="84"/>
      <c r="V87" s="84"/>
      <c r="W87" s="5"/>
      <c r="X87" s="5"/>
      <c r="Y87" s="5"/>
    </row>
    <row r="88" spans="1:25" ht="23.25">
      <c r="A88" s="1"/>
      <c r="B88" s="1"/>
      <c r="C88" s="12"/>
      <c r="D88" s="2"/>
      <c r="E88" s="2"/>
      <c r="F88" s="2"/>
      <c r="G88" s="2"/>
      <c r="H88" s="2"/>
      <c r="I88" s="2"/>
      <c r="J88" s="2"/>
      <c r="K88" s="2"/>
      <c r="L88" s="2"/>
      <c r="M88" s="2"/>
      <c r="N88" s="4"/>
      <c r="O88" s="1"/>
      <c r="P88" s="5"/>
      <c r="Q88" s="5"/>
      <c r="R88" s="5"/>
      <c r="S88" s="84"/>
      <c r="T88" s="84"/>
      <c r="U88" s="84"/>
      <c r="V88" s="84"/>
      <c r="W88" s="5"/>
      <c r="X88" s="5"/>
      <c r="Y88" s="5"/>
    </row>
    <row r="89" spans="1:25" ht="23.25">
      <c r="A89" s="1"/>
      <c r="B89" s="1"/>
      <c r="C89" s="3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1"/>
      <c r="P89" s="5"/>
      <c r="Q89" s="5"/>
      <c r="R89" s="5"/>
      <c r="S89" s="84"/>
      <c r="T89" s="84"/>
      <c r="U89" s="84"/>
      <c r="V89" s="84"/>
      <c r="W89" s="5"/>
      <c r="X89" s="5"/>
      <c r="Y89" s="5"/>
    </row>
    <row r="90" spans="1:25" ht="23.25">
      <c r="A90" s="1"/>
      <c r="B90" s="1"/>
      <c r="C90" s="3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1"/>
      <c r="P90" s="5"/>
      <c r="Q90" s="192"/>
      <c r="R90" s="5"/>
      <c r="S90" s="84"/>
      <c r="T90" s="84"/>
      <c r="U90" s="84"/>
      <c r="V90" s="84"/>
      <c r="W90" s="5"/>
      <c r="X90" s="5"/>
      <c r="Y90" s="5"/>
    </row>
    <row r="91" spans="1:25" ht="99" customHeight="1">
      <c r="A91" s="1"/>
      <c r="B91" s="1"/>
      <c r="C91" s="3"/>
      <c r="D91" s="2"/>
      <c r="E91" s="2"/>
      <c r="F91" s="2"/>
      <c r="G91" s="2"/>
      <c r="H91" s="2"/>
      <c r="I91" s="2"/>
      <c r="J91" s="2"/>
      <c r="K91" s="2"/>
      <c r="L91" s="2"/>
      <c r="M91" s="2"/>
      <c r="N91" s="3"/>
      <c r="O91" s="1"/>
      <c r="P91" s="5"/>
      <c r="Q91" s="192"/>
      <c r="R91" s="5"/>
      <c r="S91" s="84"/>
      <c r="T91" s="84"/>
      <c r="U91" s="84"/>
      <c r="V91" s="84"/>
      <c r="W91" s="5"/>
      <c r="X91" s="5"/>
      <c r="Y91" s="5"/>
    </row>
    <row r="92" spans="1:25" ht="23.25">
      <c r="A92" s="1"/>
      <c r="B92" s="1"/>
      <c r="C92" s="3"/>
      <c r="D92" s="2"/>
      <c r="E92" s="2"/>
      <c r="F92" s="2"/>
      <c r="G92" s="2"/>
      <c r="H92" s="2"/>
      <c r="I92" s="2"/>
      <c r="J92" s="2"/>
      <c r="K92" s="2"/>
      <c r="L92" s="2"/>
      <c r="M92" s="2"/>
      <c r="N92" s="3"/>
      <c r="O92" s="1"/>
      <c r="P92" s="5"/>
      <c r="Q92" s="193"/>
      <c r="R92" s="5"/>
      <c r="S92" s="84"/>
      <c r="T92" s="84"/>
      <c r="U92" s="84"/>
      <c r="V92" s="84"/>
      <c r="W92" s="5"/>
      <c r="X92" s="5"/>
      <c r="Y92" s="5"/>
    </row>
    <row r="93" spans="1:25" ht="23.25">
      <c r="A93" s="1"/>
      <c r="B93" s="1"/>
      <c r="C93" s="3"/>
      <c r="D93" s="2"/>
      <c r="E93" s="2"/>
      <c r="F93" s="2"/>
      <c r="G93" s="2"/>
      <c r="H93" s="2"/>
      <c r="I93" s="2"/>
      <c r="J93" s="2"/>
      <c r="K93" s="2"/>
      <c r="L93" s="2"/>
      <c r="M93" s="2"/>
      <c r="N93" s="3"/>
      <c r="O93" s="1"/>
      <c r="P93" s="5"/>
      <c r="Q93" s="194"/>
      <c r="R93" s="5"/>
      <c r="S93" s="84"/>
      <c r="T93" s="84"/>
      <c r="U93" s="84"/>
      <c r="V93" s="84"/>
      <c r="W93" s="5"/>
      <c r="X93" s="5"/>
      <c r="Y93" s="5"/>
    </row>
    <row r="94" spans="1:25" ht="28.5" customHeight="1">
      <c r="A94" s="1"/>
      <c r="B94" s="1"/>
      <c r="C94" s="3"/>
      <c r="D94" s="2"/>
      <c r="E94" s="2"/>
      <c r="F94" s="2"/>
      <c r="G94" s="2"/>
      <c r="H94" s="2"/>
      <c r="I94" s="2"/>
      <c r="J94" s="2"/>
      <c r="K94" s="2"/>
      <c r="L94" s="2"/>
      <c r="M94" s="2"/>
      <c r="N94" s="3"/>
      <c r="O94" s="1"/>
      <c r="P94" s="5"/>
      <c r="Q94" s="5"/>
      <c r="R94" s="5"/>
      <c r="S94" s="84"/>
      <c r="T94" s="84"/>
      <c r="U94" s="84"/>
      <c r="V94" s="84"/>
      <c r="W94" s="5"/>
      <c r="X94" s="5"/>
      <c r="Y94" s="5"/>
    </row>
    <row r="95" spans="1:25" ht="26.25" customHeight="1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84"/>
      <c r="T95" s="84"/>
      <c r="U95" s="84"/>
      <c r="V95" s="84"/>
      <c r="W95" s="5"/>
      <c r="X95" s="5"/>
      <c r="Y95" s="5"/>
    </row>
    <row r="96" spans="1:25" ht="27" customHeight="1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84"/>
      <c r="T96" s="84"/>
      <c r="U96" s="84"/>
      <c r="V96" s="84"/>
      <c r="W96" s="5"/>
      <c r="X96" s="5"/>
      <c r="Y96" s="5"/>
    </row>
    <row r="97" spans="1:26" ht="21" customHeight="1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84"/>
      <c r="T97" s="84"/>
      <c r="U97" s="84"/>
      <c r="V97" s="84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84"/>
      <c r="T98" s="84"/>
      <c r="U98" s="84"/>
      <c r="V98" s="84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1"/>
      <c r="P99" s="5"/>
      <c r="Q99" s="5"/>
      <c r="R99" s="5"/>
      <c r="S99" s="84"/>
      <c r="T99" s="84"/>
      <c r="U99" s="84"/>
      <c r="V99" s="84"/>
      <c r="W99" s="171"/>
      <c r="X99" s="171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5"/>
      <c r="S100" s="84"/>
      <c r="T100" s="84"/>
      <c r="U100" s="84"/>
      <c r="V100" s="84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5"/>
      <c r="S101" s="84"/>
      <c r="T101" s="84"/>
      <c r="U101" s="84"/>
      <c r="V101" s="84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84"/>
      <c r="T102" s="84"/>
      <c r="U102" s="84"/>
      <c r="V102" s="84"/>
      <c r="W102" s="5"/>
      <c r="X102" s="5"/>
      <c r="Y102" s="5"/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84"/>
      <c r="T103" s="84"/>
      <c r="U103" s="84"/>
      <c r="V103" s="84"/>
      <c r="W103" s="5"/>
      <c r="X103" s="5"/>
      <c r="Y103" s="5"/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4"/>
      <c r="K104" s="3"/>
      <c r="L104" s="3"/>
      <c r="M104" s="3"/>
      <c r="N104" s="3"/>
      <c r="O104" s="1"/>
      <c r="P104" s="5"/>
      <c r="Q104" s="5"/>
      <c r="R104" s="171"/>
      <c r="S104" s="84"/>
      <c r="T104" s="84"/>
      <c r="U104" s="84"/>
      <c r="V104" s="84"/>
      <c r="W104" s="5"/>
      <c r="X104" s="5"/>
      <c r="Y104" s="5"/>
    </row>
    <row r="105" spans="1:26" ht="23.25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71"/>
      <c r="S105" s="84"/>
      <c r="T105" s="84"/>
      <c r="U105" s="84"/>
      <c r="V105" s="84"/>
      <c r="W105" s="5"/>
      <c r="X105" s="5"/>
      <c r="Y105" s="5"/>
    </row>
    <row r="106" spans="1:26" ht="23.25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5"/>
      <c r="S106" s="84"/>
      <c r="T106" s="84"/>
      <c r="U106" s="84"/>
      <c r="V106" s="84"/>
      <c r="W106" s="5"/>
      <c r="X106" s="5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5"/>
      <c r="S107" s="84"/>
      <c r="T107" s="84"/>
      <c r="U107" s="84"/>
      <c r="V107" s="84"/>
      <c r="W107" s="5"/>
      <c r="X107" s="5"/>
      <c r="Y107" s="5"/>
      <c r="Z107" s="6" t="e">
        <f>ROUND(T68,0)</f>
        <v>#DIV/0!</v>
      </c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5"/>
      <c r="S108" s="84"/>
      <c r="T108" s="84"/>
      <c r="U108" s="84"/>
      <c r="V108" s="84"/>
      <c r="W108" s="5"/>
      <c r="X108" s="5"/>
      <c r="Y108" s="5"/>
    </row>
    <row r="109" spans="1:26" ht="23.25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71"/>
      <c r="S109" s="84"/>
      <c r="T109" s="84"/>
      <c r="U109" s="84"/>
      <c r="V109" s="84"/>
      <c r="W109" s="171"/>
      <c r="X109" s="171"/>
      <c r="Y109" s="5"/>
    </row>
    <row r="110" spans="1:26" ht="18.95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171"/>
      <c r="S110" s="84"/>
      <c r="T110" s="84"/>
      <c r="U110" s="84"/>
      <c r="V110" s="84"/>
      <c r="W110" s="171"/>
      <c r="X110" s="171"/>
      <c r="Y110" s="5"/>
    </row>
    <row r="111" spans="1:26" ht="23.25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171"/>
      <c r="S111" s="84"/>
      <c r="T111" s="84"/>
      <c r="U111" s="84"/>
      <c r="V111" s="84"/>
      <c r="W111" s="171"/>
      <c r="X111" s="171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171"/>
      <c r="S112" s="84"/>
      <c r="T112" s="84"/>
      <c r="U112" s="84"/>
      <c r="V112" s="84"/>
      <c r="W112" s="171"/>
      <c r="X112" s="171"/>
      <c r="Y112" s="5"/>
    </row>
    <row r="113" spans="1:25" ht="23.25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171"/>
      <c r="S113" s="84"/>
      <c r="T113" s="84"/>
      <c r="U113" s="84"/>
      <c r="V113" s="84"/>
      <c r="W113" s="171"/>
      <c r="X113" s="171"/>
      <c r="Y113" s="5"/>
    </row>
    <row r="114" spans="1:25" ht="36.950000000000003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171"/>
      <c r="S114" s="84"/>
      <c r="T114" s="84"/>
      <c r="U114" s="84"/>
      <c r="V114" s="84"/>
      <c r="W114" s="171"/>
      <c r="X114" s="171"/>
      <c r="Y114" s="5"/>
    </row>
    <row r="115" spans="1:25" ht="33.4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84"/>
      <c r="T115" s="84"/>
      <c r="U115" s="84"/>
      <c r="V115" s="84"/>
      <c r="W115" s="84"/>
      <c r="X115" s="84"/>
      <c r="Y115" s="5"/>
    </row>
    <row r="116" spans="1:25" ht="23.25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1"/>
      <c r="P116" s="5"/>
      <c r="Q116" s="5"/>
      <c r="R116" s="5"/>
      <c r="S116" s="84"/>
      <c r="T116" s="84"/>
      <c r="U116" s="84"/>
      <c r="V116" s="84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1"/>
      <c r="P117" s="5"/>
      <c r="Q117" s="5"/>
      <c r="R117" s="5"/>
      <c r="S117" s="84"/>
      <c r="T117" s="84"/>
      <c r="U117" s="84"/>
      <c r="V117" s="84"/>
      <c r="W117" s="5"/>
      <c r="X117" s="5"/>
      <c r="Y117" s="5"/>
    </row>
    <row r="118" spans="1:25" ht="23.45" customHeight="1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84"/>
      <c r="T118" s="84"/>
      <c r="U118" s="84"/>
      <c r="V118" s="84"/>
      <c r="W118" s="5"/>
      <c r="X118" s="5"/>
      <c r="Y118" s="5"/>
    </row>
    <row r="119" spans="1:25" ht="33.6" customHeight="1">
      <c r="A119" s="1"/>
      <c r="B119" s="1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1"/>
      <c r="P119" s="5"/>
      <c r="Q119" s="5"/>
      <c r="R119" s="5"/>
      <c r="S119" s="84"/>
      <c r="T119" s="84"/>
      <c r="U119" s="84"/>
      <c r="V119" s="84"/>
      <c r="W119" s="5"/>
      <c r="X119" s="5"/>
      <c r="Y119" s="5"/>
    </row>
    <row r="120" spans="1:25" ht="15.6" customHeight="1">
      <c r="A120" s="1"/>
      <c r="B120" s="1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1"/>
      <c r="P120" s="5"/>
      <c r="Q120" s="5"/>
      <c r="R120" s="5"/>
      <c r="S120" s="84"/>
      <c r="T120" s="84"/>
      <c r="U120" s="84"/>
      <c r="V120" s="84"/>
      <c r="W120" s="5"/>
      <c r="X120" s="5"/>
      <c r="Y120" s="5"/>
    </row>
    <row r="121" spans="1:25" ht="23.25">
      <c r="A121" s="1"/>
      <c r="B121" s="1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P121" s="5"/>
      <c r="Q121" s="5"/>
      <c r="R121" s="5"/>
      <c r="S121" s="84"/>
      <c r="T121" s="84"/>
      <c r="U121" s="84"/>
      <c r="V121" s="84"/>
      <c r="W121" s="5"/>
      <c r="X121" s="5"/>
      <c r="Y121" s="5"/>
    </row>
    <row r="122" spans="1:25" ht="23.25">
      <c r="A122" s="1"/>
      <c r="B122" s="1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1"/>
      <c r="P122" s="5"/>
      <c r="Q122" s="5"/>
      <c r="R122" s="5"/>
      <c r="S122" s="84"/>
      <c r="T122" s="84"/>
      <c r="U122" s="84"/>
      <c r="V122" s="84"/>
      <c r="W122" s="5"/>
      <c r="X122" s="5"/>
      <c r="Y122" s="5"/>
    </row>
    <row r="123" spans="1:25" ht="23.25">
      <c r="A123" s="1"/>
      <c r="B123" s="1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4"/>
      <c r="D124" s="4"/>
      <c r="E124" s="4"/>
      <c r="F124" s="4"/>
      <c r="G124" s="4"/>
      <c r="H124" s="4"/>
      <c r="I124" s="4"/>
      <c r="K124" s="4"/>
      <c r="L124" s="4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95"/>
      <c r="D127" s="14"/>
      <c r="E127" s="14"/>
      <c r="F127" s="14"/>
      <c r="G127" s="14"/>
      <c r="H127" s="14"/>
      <c r="I127" s="14"/>
      <c r="J127" s="14"/>
      <c r="K127" s="10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0"/>
      <c r="D128" s="14"/>
      <c r="E128" s="14"/>
      <c r="F128" s="14"/>
      <c r="G128" s="14"/>
      <c r="H128" s="14"/>
      <c r="I128" s="14"/>
      <c r="J128" s="14"/>
      <c r="K128" s="10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96"/>
      <c r="D129" s="14"/>
      <c r="E129" s="14"/>
      <c r="F129" s="14"/>
      <c r="G129" s="14"/>
      <c r="H129" s="14"/>
      <c r="I129" s="14"/>
      <c r="J129" s="14"/>
      <c r="K129" s="10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97"/>
      <c r="D130" s="14"/>
      <c r="E130" s="14"/>
      <c r="F130" s="14"/>
      <c r="G130" s="14"/>
      <c r="H130" s="14"/>
      <c r="I130" s="14"/>
      <c r="J130" s="14"/>
      <c r="K130" s="10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0"/>
      <c r="D131" s="14"/>
      <c r="E131" s="14"/>
      <c r="F131" s="14"/>
      <c r="G131" s="14"/>
      <c r="H131" s="14"/>
      <c r="I131" s="14"/>
      <c r="J131" s="14"/>
      <c r="K131" s="10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0"/>
      <c r="D132" s="14"/>
      <c r="E132" s="14"/>
      <c r="F132" s="14"/>
      <c r="G132" s="14"/>
      <c r="H132" s="14"/>
      <c r="I132" s="14"/>
      <c r="J132" s="14"/>
      <c r="K132" s="10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0"/>
      <c r="D133" s="14"/>
      <c r="E133" s="14"/>
      <c r="F133" s="14"/>
      <c r="G133" s="14"/>
      <c r="H133" s="14"/>
      <c r="I133" s="14"/>
      <c r="J133" s="14"/>
      <c r="K133" s="10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0"/>
      <c r="D134" s="14"/>
      <c r="E134" s="14"/>
      <c r="F134" s="14"/>
      <c r="G134" s="14"/>
      <c r="H134" s="14"/>
      <c r="I134" s="14"/>
      <c r="J134" s="14"/>
      <c r="K134" s="10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0"/>
      <c r="D135" s="14"/>
      <c r="E135" s="14"/>
      <c r="F135" s="14"/>
      <c r="G135" s="14"/>
      <c r="H135" s="14"/>
      <c r="I135" s="14"/>
      <c r="J135" s="14"/>
      <c r="K135" s="10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0"/>
      <c r="D136" s="14"/>
      <c r="E136" s="14"/>
      <c r="F136" s="14"/>
      <c r="G136" s="14"/>
      <c r="H136" s="14"/>
      <c r="I136" s="14"/>
      <c r="J136" s="14"/>
      <c r="K136" s="10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0"/>
      <c r="D137" s="14"/>
      <c r="E137" s="14"/>
      <c r="F137" s="14"/>
      <c r="G137" s="14"/>
      <c r="H137" s="14"/>
      <c r="I137" s="14"/>
      <c r="J137" s="14"/>
      <c r="K137" s="10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0"/>
      <c r="D138" s="14"/>
      <c r="E138" s="14"/>
      <c r="F138" s="14"/>
      <c r="G138" s="14"/>
      <c r="H138" s="14"/>
      <c r="I138" s="14"/>
      <c r="J138" s="14"/>
      <c r="K138" s="10"/>
      <c r="L138" s="3"/>
      <c r="M138" s="4"/>
      <c r="N138" s="4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A139" s="1"/>
      <c r="B139" s="1"/>
      <c r="C139" s="10"/>
      <c r="D139" s="14"/>
      <c r="E139" s="14"/>
      <c r="F139" s="14"/>
      <c r="G139" s="14"/>
      <c r="H139" s="14"/>
      <c r="I139" s="14"/>
      <c r="J139" s="14"/>
      <c r="K139" s="10"/>
      <c r="L139" s="3"/>
      <c r="M139" s="4"/>
      <c r="N139" s="4"/>
      <c r="O139" s="1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 spans="1:25" ht="15.6" customHeight="1">
      <c r="A140" s="1"/>
      <c r="B140" s="1"/>
      <c r="C140" s="10"/>
      <c r="D140" s="14"/>
      <c r="E140" s="14"/>
      <c r="F140" s="14"/>
      <c r="G140" s="14"/>
      <c r="H140" s="14"/>
      <c r="I140" s="14"/>
      <c r="J140" s="14"/>
      <c r="K140" s="10"/>
      <c r="L140" s="3"/>
      <c r="M140" s="4"/>
      <c r="N140" s="4"/>
      <c r="O140" s="1"/>
      <c r="P140" s="5"/>
      <c r="Q140" s="5"/>
      <c r="R140" s="5"/>
      <c r="S140" s="5"/>
      <c r="T140" s="5"/>
      <c r="U140" s="5"/>
      <c r="V140" s="5"/>
      <c r="W140" s="5"/>
      <c r="X140" s="5"/>
      <c r="Y140" s="5"/>
    </row>
    <row r="141" spans="1:25" ht="15.6" customHeight="1">
      <c r="A141" s="1"/>
      <c r="B141" s="1"/>
      <c r="C141" s="10"/>
      <c r="D141" s="14"/>
      <c r="E141" s="14"/>
      <c r="F141" s="14"/>
      <c r="G141" s="14"/>
      <c r="H141" s="14"/>
      <c r="I141" s="14"/>
      <c r="J141" s="14"/>
      <c r="K141" s="10"/>
      <c r="L141" s="3"/>
      <c r="M141" s="4"/>
      <c r="N141" s="4"/>
      <c r="O141" s="1"/>
      <c r="P141" s="5"/>
      <c r="Q141" s="5"/>
      <c r="R141" s="5"/>
      <c r="S141" s="5"/>
      <c r="T141" s="5"/>
      <c r="U141" s="5"/>
      <c r="V141" s="5"/>
      <c r="W141" s="5"/>
      <c r="X141" s="5"/>
      <c r="Y141" s="5"/>
    </row>
    <row r="142" spans="1:25" ht="15.6" customHeight="1">
      <c r="A142" s="1"/>
      <c r="B142" s="1"/>
      <c r="C142" s="10"/>
      <c r="D142" s="14"/>
      <c r="E142" s="14"/>
      <c r="F142" s="14"/>
      <c r="G142" s="14"/>
      <c r="H142" s="14"/>
      <c r="I142" s="14"/>
      <c r="J142" s="14"/>
      <c r="K142" s="10"/>
      <c r="L142" s="3"/>
      <c r="M142" s="4"/>
      <c r="N142" s="4"/>
      <c r="O142" s="1"/>
      <c r="P142" s="5"/>
      <c r="Q142" s="5"/>
      <c r="R142" s="5"/>
      <c r="S142" s="5"/>
      <c r="T142" s="5"/>
      <c r="U142" s="5"/>
      <c r="V142" s="5"/>
      <c r="W142" s="5"/>
      <c r="X142" s="5"/>
      <c r="Y142" s="5"/>
    </row>
    <row r="143" spans="1:25" ht="15.6" customHeight="1">
      <c r="C143" s="198"/>
      <c r="D143" s="26"/>
      <c r="E143" s="26"/>
      <c r="F143" s="26"/>
      <c r="G143" s="26"/>
      <c r="H143" s="26"/>
      <c r="I143" s="26"/>
      <c r="J143" s="26"/>
      <c r="K143" s="198"/>
    </row>
    <row r="144" spans="1:25" ht="15.6" customHeight="1">
      <c r="C144" s="198"/>
      <c r="D144" s="26"/>
      <c r="E144" s="26"/>
      <c r="F144" s="26"/>
      <c r="G144" s="26"/>
      <c r="H144" s="26"/>
      <c r="I144" s="26"/>
      <c r="J144" s="26"/>
      <c r="K144" s="198"/>
    </row>
    <row r="145" spans="3:11" ht="15.6" customHeight="1">
      <c r="C145" s="198"/>
      <c r="D145" s="26"/>
      <c r="E145" s="26"/>
      <c r="F145" s="26"/>
      <c r="G145" s="26"/>
      <c r="H145" s="26"/>
      <c r="I145" s="26"/>
      <c r="J145" s="26"/>
      <c r="K145" s="198"/>
    </row>
    <row r="146" spans="3:11" ht="15.6" customHeight="1">
      <c r="C146" s="198"/>
      <c r="D146" s="26"/>
      <c r="E146" s="26"/>
      <c r="F146" s="26"/>
      <c r="G146" s="26"/>
      <c r="H146" s="26"/>
      <c r="I146" s="26"/>
      <c r="J146" s="26"/>
      <c r="K146" s="198"/>
    </row>
    <row r="147" spans="3:11" ht="15.6" customHeight="1">
      <c r="C147" s="198"/>
      <c r="D147" s="26"/>
      <c r="E147" s="26"/>
      <c r="F147" s="26"/>
      <c r="G147" s="26"/>
      <c r="H147" s="26"/>
      <c r="I147" s="26"/>
      <c r="J147" s="26"/>
      <c r="K147" s="198"/>
    </row>
    <row r="148" spans="3:11" ht="15.6" customHeight="1">
      <c r="C148" s="198"/>
      <c r="D148" s="26"/>
      <c r="E148" s="26"/>
      <c r="F148" s="26"/>
      <c r="G148" s="26"/>
      <c r="H148" s="26"/>
      <c r="I148" s="26"/>
      <c r="J148" s="26"/>
      <c r="K148" s="198"/>
    </row>
    <row r="149" spans="3:11" ht="15.6" customHeight="1">
      <c r="C149" s="198"/>
      <c r="D149" s="26"/>
      <c r="E149" s="26"/>
      <c r="F149" s="26"/>
      <c r="G149" s="26"/>
      <c r="H149" s="26"/>
      <c r="I149" s="26"/>
      <c r="J149" s="26"/>
      <c r="K149" s="198"/>
    </row>
    <row r="150" spans="3:11" ht="15.6" customHeight="1">
      <c r="C150" s="198"/>
      <c r="D150" s="26"/>
      <c r="E150" s="26"/>
      <c r="F150" s="26"/>
      <c r="G150" s="26"/>
      <c r="H150" s="26"/>
      <c r="I150" s="26"/>
      <c r="J150" s="26"/>
      <c r="K150" s="198"/>
    </row>
    <row r="151" spans="3:11" ht="15.6" customHeight="1">
      <c r="C151" s="198"/>
      <c r="D151" s="26"/>
      <c r="E151" s="26"/>
      <c r="F151" s="26"/>
      <c r="G151" s="26"/>
      <c r="H151" s="26"/>
      <c r="I151" s="26"/>
      <c r="J151" s="26"/>
      <c r="K151" s="198"/>
    </row>
    <row r="152" spans="3:11" ht="15.6" customHeight="1">
      <c r="C152" s="198"/>
      <c r="D152" s="26"/>
      <c r="E152" s="26"/>
      <c r="F152" s="26"/>
      <c r="G152" s="26"/>
      <c r="H152" s="26"/>
      <c r="I152" s="26"/>
      <c r="J152" s="26"/>
      <c r="K152" s="198"/>
    </row>
    <row r="153" spans="3:11" ht="15.6" customHeight="1">
      <c r="C153" s="198"/>
      <c r="D153" s="26"/>
      <c r="E153" s="26"/>
      <c r="F153" s="26"/>
      <c r="G153" s="26"/>
      <c r="H153" s="26"/>
      <c r="I153" s="26"/>
      <c r="J153" s="26"/>
      <c r="K153" s="198"/>
    </row>
    <row r="154" spans="3:11" ht="15.6" customHeight="1">
      <c r="C154" s="198"/>
      <c r="D154" s="26"/>
      <c r="E154" s="26"/>
      <c r="F154" s="26"/>
      <c r="G154" s="26"/>
      <c r="H154" s="26"/>
      <c r="I154" s="26"/>
      <c r="J154" s="26"/>
      <c r="K154" s="198"/>
    </row>
    <row r="155" spans="3:11" ht="15.6" customHeight="1">
      <c r="C155" s="198"/>
      <c r="D155" s="26"/>
      <c r="E155" s="26"/>
      <c r="F155" s="26"/>
      <c r="G155" s="26"/>
      <c r="H155" s="26"/>
      <c r="I155" s="26"/>
      <c r="J155" s="26"/>
      <c r="K155" s="198"/>
    </row>
    <row r="156" spans="3:11" ht="15.6" customHeight="1">
      <c r="C156" s="198"/>
      <c r="D156" s="26"/>
      <c r="E156" s="26"/>
      <c r="F156" s="26"/>
      <c r="G156" s="26"/>
      <c r="H156" s="26"/>
      <c r="I156" s="26"/>
      <c r="J156" s="26"/>
      <c r="K156" s="198"/>
    </row>
    <row r="157" spans="3:11" ht="15.6" customHeight="1">
      <c r="C157" s="198"/>
      <c r="D157" s="26"/>
      <c r="E157" s="26"/>
      <c r="F157" s="26"/>
      <c r="G157" s="26"/>
      <c r="H157" s="26"/>
      <c r="I157" s="26"/>
      <c r="J157" s="26"/>
      <c r="K157" s="198"/>
    </row>
    <row r="158" spans="3:11" ht="15.6" customHeight="1">
      <c r="C158" s="198"/>
      <c r="D158" s="26"/>
      <c r="E158" s="26"/>
      <c r="F158" s="26"/>
      <c r="G158" s="26"/>
      <c r="H158" s="26"/>
      <c r="I158" s="26"/>
      <c r="J158" s="26"/>
      <c r="K158" s="198"/>
    </row>
    <row r="159" spans="3:11" ht="15.6" customHeight="1">
      <c r="C159" s="198"/>
      <c r="D159" s="26"/>
      <c r="E159" s="26"/>
      <c r="F159" s="26"/>
      <c r="G159" s="26"/>
      <c r="H159" s="26"/>
      <c r="I159" s="26"/>
      <c r="J159" s="26"/>
      <c r="K159" s="198"/>
    </row>
    <row r="160" spans="3:11" ht="15.6" customHeight="1">
      <c r="C160" s="198"/>
      <c r="D160" s="26"/>
      <c r="E160" s="26"/>
      <c r="F160" s="26"/>
      <c r="G160" s="26"/>
      <c r="H160" s="26"/>
      <c r="I160" s="26"/>
      <c r="J160" s="26"/>
      <c r="K160" s="198"/>
    </row>
    <row r="161" spans="3:11" ht="15.6" customHeight="1">
      <c r="C161" s="198"/>
      <c r="D161" s="26"/>
      <c r="E161" s="26"/>
      <c r="F161" s="26"/>
      <c r="G161" s="26"/>
      <c r="H161" s="26"/>
      <c r="I161" s="26"/>
      <c r="J161" s="26"/>
      <c r="K161" s="198"/>
    </row>
    <row r="162" spans="3:11" ht="15.6" customHeight="1">
      <c r="C162" s="198"/>
      <c r="D162" s="26"/>
      <c r="E162" s="26"/>
      <c r="F162" s="26"/>
      <c r="G162" s="26"/>
      <c r="H162" s="26"/>
      <c r="I162" s="26"/>
      <c r="J162" s="26"/>
      <c r="K162" s="198"/>
    </row>
    <row r="163" spans="3:11" ht="15.6" customHeight="1">
      <c r="C163" s="198"/>
      <c r="D163" s="26"/>
      <c r="E163" s="26"/>
      <c r="F163" s="26"/>
      <c r="G163" s="26"/>
      <c r="H163" s="26"/>
      <c r="I163" s="26"/>
      <c r="J163" s="26"/>
      <c r="K163" s="198"/>
    </row>
  </sheetData>
  <mergeCells count="49">
    <mergeCell ref="S70:S71"/>
    <mergeCell ref="V70:V71"/>
    <mergeCell ref="D84:M84"/>
    <mergeCell ref="D85:M85"/>
    <mergeCell ref="D86:M86"/>
    <mergeCell ref="S65:T65"/>
    <mergeCell ref="D41:E41"/>
    <mergeCell ref="D42:E42"/>
    <mergeCell ref="U44:W44"/>
    <mergeCell ref="D47:L47"/>
    <mergeCell ref="D48:E48"/>
    <mergeCell ref="D49:E49"/>
    <mergeCell ref="S49:T49"/>
    <mergeCell ref="D50:E50"/>
    <mergeCell ref="D51:E51"/>
    <mergeCell ref="D52:E52"/>
    <mergeCell ref="W57:X57"/>
    <mergeCell ref="D58:E58"/>
    <mergeCell ref="D40:E40"/>
    <mergeCell ref="L25:M25"/>
    <mergeCell ref="R25:S25"/>
    <mergeCell ref="T25:U25"/>
    <mergeCell ref="V25:W25"/>
    <mergeCell ref="S29:S30"/>
    <mergeCell ref="J30:L30"/>
    <mergeCell ref="L32:M32"/>
    <mergeCell ref="J34:L34"/>
    <mergeCell ref="K36:M36"/>
    <mergeCell ref="C38:M38"/>
    <mergeCell ref="D39:E39"/>
    <mergeCell ref="C4:L4"/>
    <mergeCell ref="C5:L5"/>
    <mergeCell ref="R8:S8"/>
    <mergeCell ref="R24:W24"/>
    <mergeCell ref="R10:S10"/>
    <mergeCell ref="V10:W10"/>
    <mergeCell ref="R11:S11"/>
    <mergeCell ref="V11:W11"/>
    <mergeCell ref="R15:S15"/>
    <mergeCell ref="R16:S16"/>
    <mergeCell ref="R17:S17"/>
    <mergeCell ref="K18:K20"/>
    <mergeCell ref="N18:N20"/>
    <mergeCell ref="V8:W8"/>
    <mergeCell ref="AJ8:AK8"/>
    <mergeCell ref="R9:S9"/>
    <mergeCell ref="V9:W9"/>
    <mergeCell ref="C13:N13"/>
    <mergeCell ref="R14:S14"/>
  </mergeCells>
  <conditionalFormatting sqref="D50:L50">
    <cfRule type="expression" dxfId="12" priority="6">
      <formula>$Q$16="Não"</formula>
    </cfRule>
    <cfRule type="expression" dxfId="11" priority="11">
      <formula>$R$8="Não"</formula>
    </cfRule>
  </conditionalFormatting>
  <conditionalFormatting sqref="D51:L51">
    <cfRule type="expression" dxfId="10" priority="5">
      <formula>$V$8="Não"</formula>
    </cfRule>
    <cfRule type="expression" dxfId="9" priority="8">
      <formula>$Q$17="Não"</formula>
    </cfRule>
  </conditionalFormatting>
  <conditionalFormatting sqref="J30:N32">
    <cfRule type="expression" dxfId="8" priority="9">
      <formula>$V$8="Não"</formula>
    </cfRule>
  </conditionalFormatting>
  <conditionalFormatting sqref="J34:N36">
    <cfRule type="expression" dxfId="7" priority="10">
      <formula>$R$8="Não"</formula>
    </cfRule>
  </conditionalFormatting>
  <conditionalFormatting sqref="K36:N36">
    <cfRule type="expression" dxfId="6" priority="12">
      <formula>$R$7="Sim"</formula>
    </cfRule>
    <cfRule type="expression" dxfId="5" priority="13">
      <formula>$V$8="Sim"</formula>
    </cfRule>
  </conditionalFormatting>
  <conditionalFormatting sqref="D49:L49">
    <cfRule type="expression" dxfId="4" priority="7">
      <formula>$Q$15="Não"</formula>
    </cfRule>
  </conditionalFormatting>
  <conditionalFormatting sqref="D58:F61">
    <cfRule type="expression" dxfId="3" priority="4">
      <formula>$Q$15="Não"</formula>
    </cfRule>
  </conditionalFormatting>
  <conditionalFormatting sqref="D70:D75">
    <cfRule type="expression" dxfId="2" priority="3">
      <formula>$Q$15="Não"</formula>
    </cfRule>
  </conditionalFormatting>
  <conditionalFormatting sqref="D76:D77">
    <cfRule type="expression" dxfId="1" priority="2">
      <formula>$Q$16="Não"</formula>
    </cfRule>
  </conditionalFormatting>
  <conditionalFormatting sqref="D78:D79">
    <cfRule type="expression" dxfId="0" priority="1">
      <formula>$Q$17="Não"</formula>
    </cfRule>
  </conditionalFormatting>
  <dataValidations count="3">
    <dataValidation type="list" allowBlank="1" showInputMessage="1" showErrorMessage="1" sqref="T57 V70" xr:uid="{3FE2829F-97C7-46E7-847A-744FDFDAF00B}">
      <formula1>"Sim,Não"</formula1>
    </dataValidation>
    <dataValidation type="list" allowBlank="1" showInputMessage="1" showErrorMessage="1" sqref="R11:S12 V11:W12" xr:uid="{101C1BF1-B186-4186-B9EB-84677A38EB1B}">
      <formula1>"CNPJ,CPF,NÃO"</formula1>
    </dataValidation>
    <dataValidation type="list" allowBlank="1" showInputMessage="1" showErrorMessage="1" sqref="V8 R6 R8 Q15:Q17" xr:uid="{096C8ED3-3C1B-4B20-9B33-CA26BF44CD0C}">
      <formula1>"Sim,Não,"</formula1>
    </dataValidation>
  </dataValidations>
  <hyperlinks>
    <hyperlink ref="AD11" location="'Selic e IPCA'!A1" display="IPCAE" xr:uid="{3B185C49-4B18-419F-BCAB-C9B8B323C113}"/>
  </hyperlinks>
  <pageMargins left="0.7" right="0.7" top="0.75" bottom="0.75" header="0.3" footer="0.3"/>
  <pageSetup paperSize="9" scale="20" orientation="portrait" r:id="rId1"/>
  <colBreaks count="1" manualBreakCount="1">
    <brk id="14" max="90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1085850</xdr:colOff>
                    <xdr:row>1</xdr:row>
                    <xdr:rowOff>85725</xdr:rowOff>
                  </from>
                  <to>
                    <xdr:col>18</xdr:col>
                    <xdr:colOff>781050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1000125</xdr:colOff>
                    <xdr:row>48</xdr:row>
                    <xdr:rowOff>333375</xdr:rowOff>
                  </from>
                  <to>
                    <xdr:col>16</xdr:col>
                    <xdr:colOff>2705100</xdr:colOff>
                    <xdr:row>49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ACORDO ORC2024</vt:lpstr>
      <vt:lpstr>aliquotaprevidencia</vt:lpstr>
      <vt:lpstr>'ACORDO ORC2024'!Area_de_impressao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jesus</cp:lastModifiedBy>
  <dcterms:created xsi:type="dcterms:W3CDTF">2015-06-05T18:19:34Z</dcterms:created>
  <dcterms:modified xsi:type="dcterms:W3CDTF">2025-02-22T10:04:49Z</dcterms:modified>
</cp:coreProperties>
</file>