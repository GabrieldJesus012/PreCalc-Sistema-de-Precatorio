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21086341-5581-4C24-A0F6-23F8464F3842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ORDEM 2020" sheetId="1" r:id="rId1"/>
  </sheets>
  <functionGroups builtInGroupCount="19"/>
  <externalReferences>
    <externalReference r:id="rId2"/>
  </externalReferences>
  <definedNames>
    <definedName name="aliquotaprevidencia">'ORDEM 2020'!$U$91</definedName>
    <definedName name="_xlnm.Print_Area" localSheetId="0">'ORDEM 2020'!$C$1:$N$123</definedName>
    <definedName name="NomeContador">'ORDEM 2020'!$D$115</definedName>
    <definedName name="rratotal">'ORDEM 2020'!$T$98</definedName>
    <definedName name="selicpercentual">'ORDEM 2020'!$K$18</definedName>
    <definedName name="selicvalor">'ORDEM 2020'!$L$18</definedName>
    <definedName name="valorbruto">'ORDEM 2020'!$F$82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9" i="1" l="1"/>
  <c r="S118" i="1"/>
  <c r="D116" i="1"/>
  <c r="D115" i="1"/>
  <c r="D114" i="1"/>
  <c r="D108" i="1"/>
  <c r="D107" i="1"/>
  <c r="D106" i="1"/>
  <c r="S93" i="1"/>
  <c r="D81" i="1"/>
  <c r="D80" i="1"/>
  <c r="I73" i="1"/>
  <c r="F73" i="1"/>
  <c r="I72" i="1"/>
  <c r="I71" i="1"/>
  <c r="I70" i="1"/>
  <c r="H70" i="1"/>
  <c r="M65" i="1"/>
  <c r="D62" i="1"/>
  <c r="F59" i="1"/>
  <c r="F56" i="1"/>
  <c r="F48" i="1"/>
  <c r="F47" i="1"/>
  <c r="F54" i="1" s="1"/>
  <c r="F46" i="1"/>
  <c r="F53" i="1" s="1"/>
  <c r="F41" i="1"/>
  <c r="F40" i="1"/>
  <c r="F42" i="1" s="1"/>
  <c r="G49" i="1" s="1"/>
  <c r="F39" i="1"/>
  <c r="AE35" i="1"/>
  <c r="AD34" i="1" s="1"/>
  <c r="AD35" i="1" s="1"/>
  <c r="AF34" i="1"/>
  <c r="AG35" i="1" s="1"/>
  <c r="AH34" i="1" s="1"/>
  <c r="AE34" i="1"/>
  <c r="J31" i="1"/>
  <c r="J27" i="1"/>
  <c r="E25" i="1"/>
  <c r="U24" i="1"/>
  <c r="W24" i="1" s="1"/>
  <c r="I24" i="1"/>
  <c r="I25" i="1" s="1"/>
  <c r="AE22" i="1"/>
  <c r="AF23" i="1" s="1"/>
  <c r="AG22" i="1" s="1"/>
  <c r="AD22" i="1"/>
  <c r="AD23" i="1" s="1"/>
  <c r="AC22" i="1" s="1"/>
  <c r="AC23" i="1" s="1"/>
  <c r="R22" i="1"/>
  <c r="J21" i="1"/>
  <c r="J20" i="1"/>
  <c r="T16" i="1"/>
  <c r="F16" i="1"/>
  <c r="E16" i="1"/>
  <c r="F15" i="1"/>
  <c r="E15" i="1"/>
  <c r="R16" i="1" s="1"/>
  <c r="L14" i="1"/>
  <c r="E14" i="1"/>
  <c r="E11" i="1"/>
  <c r="E10" i="1"/>
  <c r="D79" i="1" s="1"/>
  <c r="E9" i="1"/>
  <c r="J9" i="1" s="1"/>
  <c r="E8" i="1"/>
  <c r="I23" i="1" s="1"/>
  <c r="E7" i="1"/>
  <c r="G15" i="1" l="1"/>
  <c r="F24" i="1"/>
  <c r="G24" i="1" s="1"/>
  <c r="G25" i="1" s="1"/>
  <c r="E17" i="1"/>
  <c r="H16" i="1" a="1"/>
  <c r="H16" i="1" s="1"/>
  <c r="I16" i="1" s="1"/>
  <c r="G16" i="1"/>
  <c r="G54" i="1"/>
  <c r="H54" i="1" s="1"/>
  <c r="G53" i="1"/>
  <c r="H53" i="1" s="1"/>
  <c r="F55" i="1"/>
  <c r="J15" i="1"/>
  <c r="S16" i="1"/>
  <c r="S17" i="1"/>
  <c r="R17" i="1"/>
  <c r="R18" i="1" s="1"/>
  <c r="R19" i="1" s="1"/>
  <c r="R25" i="1" l="1"/>
  <c r="G17" i="1"/>
  <c r="J16" i="1"/>
  <c r="L16" i="1" s="1"/>
  <c r="V17" i="1" s="1"/>
  <c r="T25" i="1"/>
  <c r="H55" i="1"/>
  <c r="F57" i="1"/>
  <c r="I17" i="1"/>
  <c r="T17" i="1"/>
  <c r="T18" i="1" s="1"/>
  <c r="S18" i="1"/>
  <c r="S19" i="1" s="1"/>
  <c r="U16" i="1"/>
  <c r="L15" i="1"/>
  <c r="J17" i="1"/>
  <c r="F58" i="1"/>
  <c r="U17" i="1" l="1"/>
  <c r="V16" i="1"/>
  <c r="V18" i="1" s="1"/>
  <c r="L17" i="1"/>
  <c r="U18" i="1"/>
  <c r="U19" i="1" s="1"/>
  <c r="T19" i="1"/>
  <c r="W16" i="1" l="1"/>
  <c r="V19" i="1"/>
  <c r="H24" i="1" l="1"/>
  <c r="T94" i="1" l="1"/>
  <c r="K18" i="1" l="1"/>
  <c r="F60" i="1" l="1"/>
  <c r="F61" i="1" s="1"/>
  <c r="L18" i="1"/>
  <c r="W17" i="1" l="1"/>
  <c r="W18" i="1" s="1"/>
  <c r="L21" i="1"/>
  <c r="G61" i="1"/>
  <c r="G62" i="1" s="1"/>
  <c r="T87" i="1" s="1"/>
  <c r="U104" i="1"/>
  <c r="W19" i="1" l="1"/>
  <c r="S78" i="1"/>
  <c r="N27" i="1"/>
  <c r="N29" i="1" s="1"/>
  <c r="G71" i="1"/>
  <c r="M31" i="1"/>
  <c r="N31" i="1"/>
  <c r="N33" i="1" s="1"/>
  <c r="N65" i="1" s="1"/>
  <c r="M27" i="1"/>
  <c r="R24" i="1"/>
  <c r="V25" i="1"/>
  <c r="T27" i="1" s="1"/>
  <c r="G72" i="1"/>
  <c r="H72" i="1" s="1"/>
  <c r="J72" i="1" s="1"/>
  <c r="S25" i="1" l="1"/>
  <c r="T24" i="1"/>
  <c r="S98" i="1"/>
  <c r="G73" i="1"/>
  <c r="X94" i="1"/>
  <c r="H71" i="1"/>
  <c r="H73" i="1" s="1"/>
  <c r="X95" i="1"/>
  <c r="T85" i="1"/>
  <c r="S79" i="1"/>
  <c r="T79" i="1" l="1"/>
  <c r="T86" i="1"/>
  <c r="F80" i="1" s="1"/>
  <c r="S99" i="1"/>
  <c r="T100" i="1" s="1"/>
  <c r="T88" i="1"/>
  <c r="F81" i="1" s="1"/>
  <c r="T89" i="1"/>
  <c r="J71" i="1"/>
  <c r="J73" i="1" s="1"/>
  <c r="D110" i="1"/>
  <c r="U25" i="1"/>
  <c r="S80" i="1" s="1"/>
  <c r="T80" i="1" s="1"/>
  <c r="U80" i="1" s="1"/>
  <c r="V24" i="1"/>
  <c r="W25" i="1" s="1"/>
  <c r="S81" i="1" s="1"/>
  <c r="H80" i="1" l="1"/>
  <c r="T118" i="1" s="1"/>
  <c r="R118" i="1"/>
  <c r="F79" i="1"/>
  <c r="H81" i="1"/>
  <c r="T119" i="1" s="1"/>
  <c r="R119" i="1"/>
  <c r="D109" i="1"/>
  <c r="Z137" i="1"/>
  <c r="U110" i="1"/>
  <c r="T28" i="1"/>
  <c r="T81" i="1"/>
  <c r="U79" i="1"/>
  <c r="I80" i="1" l="1"/>
  <c r="U118" i="1" s="1"/>
  <c r="V118" i="1" s="1"/>
  <c r="M71" i="1"/>
  <c r="M72" i="1"/>
  <c r="J79" i="1"/>
  <c r="F89" i="1" s="1"/>
  <c r="T114" i="1"/>
  <c r="I81" i="1"/>
  <c r="U119" i="1" s="1"/>
  <c r="V119" i="1" s="1"/>
  <c r="T92" i="1"/>
  <c r="T93" i="1" s="1"/>
  <c r="T95" i="1" s="1"/>
  <c r="U103" i="1"/>
  <c r="U105" i="1" s="1"/>
  <c r="U107" i="1" s="1"/>
  <c r="U81" i="1"/>
  <c r="F82" i="1"/>
  <c r="R117" i="1"/>
  <c r="R120" i="1" s="1"/>
  <c r="R121" i="1" s="1"/>
  <c r="E89" i="1" l="1"/>
  <c r="E90" i="1"/>
  <c r="U108" i="1"/>
  <c r="U109" i="1" s="1"/>
  <c r="U111" i="1" s="1"/>
  <c r="U112" i="1" s="1"/>
  <c r="U113" i="1" s="1"/>
  <c r="U114" i="1" s="1"/>
  <c r="G79" i="1"/>
  <c r="X92" i="1"/>
  <c r="X93" i="1" s="1"/>
  <c r="M73" i="1"/>
  <c r="D84" i="1" a="1"/>
  <c r="D84" i="1" l="1"/>
  <c r="K72" i="1"/>
  <c r="K71" i="1"/>
  <c r="K73" i="1" s="1"/>
  <c r="X96" i="1"/>
  <c r="S117" i="1"/>
  <c r="G82" i="1"/>
  <c r="L72" i="1"/>
  <c r="L71" i="1"/>
  <c r="H79" i="1"/>
  <c r="I79" i="1" s="1"/>
  <c r="D105" i="1"/>
  <c r="L73" i="1" l="1"/>
  <c r="U117" i="1"/>
  <c r="U120" i="1" s="1"/>
  <c r="I82" i="1"/>
  <c r="H82" i="1"/>
  <c r="T117" i="1"/>
  <c r="T120" i="1" s="1"/>
  <c r="T121" i="1" s="1"/>
  <c r="S120" i="1"/>
  <c r="V117" i="1" l="1"/>
  <c r="S121" i="1"/>
  <c r="V120" i="1"/>
  <c r="U1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<sst xmlns="http://schemas.openxmlformats.org/spreadsheetml/2006/main" count="192" uniqueCount="162">
  <si>
    <t>TRIBUNAL DE JUSTIÇA DO ESTADO DO PIAUÍ</t>
  </si>
  <si>
    <t># MENU</t>
  </si>
  <si>
    <t xml:space="preserve">COORDENADORIA DE PRECATÓRIOS  </t>
  </si>
  <si>
    <t>Há Pagamento com preferencial?</t>
  </si>
  <si>
    <t>Não</t>
  </si>
  <si>
    <t>PRECATÓRIO Nº:</t>
  </si>
  <si>
    <t>Há Custas Processuais?</t>
  </si>
  <si>
    <t>P. ORÇAMENTO</t>
  </si>
  <si>
    <t>PROTOCOLO:</t>
  </si>
  <si>
    <t>Período de graça constitucional</t>
  </si>
  <si>
    <t>Há H. Contratual?</t>
  </si>
  <si>
    <t>Sim</t>
  </si>
  <si>
    <t>Há H. Sucumbencial?</t>
  </si>
  <si>
    <t>EXEQUENTE: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</si>
  <si>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</si>
  <si>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</si>
  <si>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EXECUTADO:</t>
  </si>
  <si>
    <t>Nome</t>
  </si>
  <si>
    <t>Gabriel de Jesus Silva</t>
  </si>
  <si>
    <t>GABRIEL DE JESUS SILVA</t>
  </si>
  <si>
    <t>CNPJ/CPF?</t>
  </si>
  <si>
    <t>CNPJ</t>
  </si>
  <si>
    <t>CPF</t>
  </si>
  <si>
    <t>CONVERSOR DE DATA</t>
  </si>
  <si>
    <t>MEMÓRIA DE CÁLCULO</t>
  </si>
  <si>
    <t>Janeiro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</si>
  <si>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</si>
  <si>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</si>
  <si>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</si>
  <si>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</si>
  <si>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</si>
  <si>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</si>
  <si>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</si>
  <si>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Fevereiro</t>
  </si>
  <si>
    <t>PRINCIPAL</t>
  </si>
  <si>
    <t>-</t>
  </si>
  <si>
    <t xml:space="preserve">*verificação </t>
  </si>
  <si>
    <t>Março</t>
  </si>
  <si>
    <t>JUROS</t>
  </si>
  <si>
    <t>Abril</t>
  </si>
  <si>
    <t>TOTAL (a)</t>
  </si>
  <si>
    <t>Maio</t>
  </si>
  <si>
    <t>Selic acumulada -</t>
  </si>
  <si>
    <t>Junho</t>
  </si>
  <si>
    <t>Julho</t>
  </si>
  <si>
    <t>Agosto</t>
  </si>
  <si>
    <t>CUSTAS</t>
  </si>
  <si>
    <t>Setembro</t>
  </si>
  <si>
    <t>Atualização das Custas</t>
  </si>
  <si>
    <t>Outubro</t>
  </si>
  <si>
    <t>Custas</t>
  </si>
  <si>
    <t>Valor Devido Atualizado até abril/2021</t>
  </si>
  <si>
    <t>Índice de Atualização – Selic</t>
  </si>
  <si>
    <t>valor atualizado</t>
  </si>
  <si>
    <t>juros</t>
  </si>
  <si>
    <t>SELIC</t>
  </si>
  <si>
    <t>Novembro</t>
  </si>
  <si>
    <t>Dezembro</t>
  </si>
  <si>
    <t>TOTAL (B)</t>
  </si>
  <si>
    <t>VERIFICAÇÃO:</t>
  </si>
  <si>
    <t>TOTAL DEVIDO (A+B)</t>
  </si>
  <si>
    <t>TOTAL DEVIDO AO EXEQUENTE</t>
  </si>
  <si>
    <t>PAGAMENTO</t>
  </si>
  <si>
    <t>(-) Atualização do Valor Pago com Prefencial</t>
  </si>
  <si>
    <t>ATUALIZAÇÃO NA DATA DA PREFERÊNCIA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</si>
  <si>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</si>
  <si>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</si>
  <si>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</si>
  <si>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</si>
  <si>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</si>
  <si>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</si>
  <si>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DEBITO EM FEVEREIRO/2018</t>
  </si>
  <si>
    <t>SALDO DE PRINCIPAL</t>
  </si>
  <si>
    <t>SALDO DE JUROS</t>
  </si>
  <si>
    <t>SALDO DE SELIC</t>
  </si>
  <si>
    <t>TOTAL</t>
  </si>
  <si>
    <t>DISCRIMINAÇÃO DO VALOR PAGO</t>
  </si>
  <si>
    <t>Data: Maio/2020</t>
  </si>
  <si>
    <t xml:space="preserve"> VALOR PAGO</t>
  </si>
  <si>
    <t>ATUALIZAÇÃO DO VALOR PAGO</t>
  </si>
  <si>
    <t>VALOR PAGO</t>
  </si>
  <si>
    <t xml:space="preserve">ÍNDICE DE CORREÇÃO </t>
  </si>
  <si>
    <t>TOTAL (principal + juros)</t>
  </si>
  <si>
    <t>JUROS POSTERIOR AO PAGAMENTO</t>
  </si>
  <si>
    <t>PRINCIPAL CORRIGIDO</t>
  </si>
  <si>
    <t>JUROS CORRIGIDO</t>
  </si>
  <si>
    <t>SELIC ANTERIOR AO PAGAMENTO</t>
  </si>
  <si>
    <t>SELIC POSTERIOR AO PAGAMENTO</t>
  </si>
  <si>
    <t>TOTAL SELIC ACUMULADA DO PERIODO</t>
  </si>
  <si>
    <t xml:space="preserve">(=) SALDO REMANESCENTE DEVIDO EM 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</si>
  <si>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</si>
  <si>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</si>
  <si>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</si>
  <si>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</si>
  <si>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</si>
  <si>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</si>
  <si>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</si>
  <si>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</t>
  </si>
  <si>
    <t xml:space="preserve">PAGAMENTO </t>
  </si>
  <si>
    <t xml:space="preserve">Exequente  </t>
  </si>
  <si>
    <t>Valor Devido</t>
  </si>
  <si>
    <t>Previdência</t>
  </si>
  <si>
    <t>Imposto de Renda</t>
  </si>
  <si>
    <t>Valor Líquido</t>
  </si>
  <si>
    <t>RRA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</si>
  <si>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</si>
  <si>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</si>
  <si>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</si>
  <si>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</si>
  <si>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</si>
  <si>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</si>
  <si>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</si>
  <si>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</si>
  <si>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 xml:space="preserve">TOTAL  </t>
  </si>
  <si>
    <t>DIVISÃO PAGAMENTO</t>
  </si>
  <si>
    <t>VALOR A PAGAR PREF.</t>
  </si>
  <si>
    <t>(-) HONORÁRIOS CONTRATUAIS</t>
  </si>
  <si>
    <t>Notas explicativas:</t>
  </si>
  <si>
    <t>(-) Pagamento</t>
  </si>
  <si>
    <t>Requerente</t>
  </si>
  <si>
    <t>RRA(MESES)</t>
  </si>
  <si>
    <t>HONORÁRIOS SUCUMBÊNCIA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</si>
  <si>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</si>
  <si>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VALOR EXEQUENTE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</si>
  <si>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</si>
  <si>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</si>
  <si>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</si>
  <si>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</si>
  <si>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</si>
  <si>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t>BC</t>
  </si>
  <si>
    <t>TOTAL DA PREV:</t>
  </si>
  <si>
    <t>1- Atualização Monetária conforme Resolução CNJ nº 303/2019 , Resolução Nº 198/2020 TJ-PI e  nº 113.</t>
  </si>
  <si>
    <t>Divida pela quantidade de herd</t>
  </si>
  <si>
    <t>2- Índices de correção monetária, conforme  caput do Art.21- A da Resolução 303/2019 do CNJ.</t>
  </si>
  <si>
    <t>(-) PARCEL. PREF paga atualizada</t>
  </si>
  <si>
    <t>*informar valor</t>
  </si>
  <si>
    <t>VALOR DO HERD</t>
  </si>
  <si>
    <t>– IPCA-E/ IBGE - de 26.03.2015 a 30 de novembro de 2021.</t>
  </si>
  <si>
    <t>VALOR A PAGAR PARA O HERD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</si>
  <si>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</si>
  <si>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PREV A PAGAR HERD.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</si>
  <si>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</si>
  <si>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</si>
  <si>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</si>
  <si>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t>x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</si>
  <si>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</si>
  <si>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</si>
  <si>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da IN da RFB n° 1332/2013 com redação dada pela IN RFB 1643/2016.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</si>
  <si>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</si>
  <si>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Imposto de renda</t>
  </si>
  <si>
    <t>VALOR A PAGAR</t>
  </si>
  <si>
    <t>lei LEI Nº 14.848, DE 1º DE MAIO DE 2024, e em conformidade com a decisão do Recurso Extraordinário n° 855091/RS, com Repercussão Geral, Tema 808.</t>
  </si>
  <si>
    <t>(-) PARCE. HONORÁRIOS CONTRATUAIS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</si>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</sst>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mm/yyyy"/>
    <numFmt numFmtId="168" formatCode="mm/yy"/>
    <numFmt numFmtId="169" formatCode="0.00000"/>
    <numFmt numFmtId="170" formatCode="0.0000"/>
    <numFmt numFmtId="171" formatCode="0.0000000"/>
    <numFmt numFmtId="172" formatCode="[$R$-416]\ #,##0.00;[Red][$R$-416]\ #,##0.00"/>
    <numFmt numFmtId="173" formatCode="&quot;R$&quot;\ #,##0.00"/>
    <numFmt numFmtId="174" formatCode="0.000000"/>
    <numFmt numFmtId="175" formatCode="[$-416]0.00%"/>
    <numFmt numFmtId="176" formatCode="_-[$R$-416]\ * #,##0.00_-;\-[$R$-416]\ * #,##0.00_-;_-[$R$-416]\ * &quot;-&quot;??_-;_-@_-"/>
    <numFmt numFmtId="177" formatCode="0.0000%"/>
    <numFmt numFmtId="178" formatCode="_-[$R$-416]\ * #,##0.00_-;\-[$R$-416]\ * #,##0.00_-;_-[$R$-416]\ * &quot;-&quot;????_-;_-@_-"/>
    <numFmt numFmtId="179" formatCode="&quot;R$&quot;#,##0.00_);[Red]\(&quot;R$&quot;#,##0.00\)"/>
    <numFmt numFmtId="180" formatCode="#,##0.00;[Red]&quot;-&quot;#,##0.00"/>
    <numFmt numFmtId="181" formatCode="[$-416]General"/>
    <numFmt numFmtId="182" formatCode="#,##0.000&quot; &quot;;&quot;-&quot;#,##0.000&quot; &quot;;&quot;-&quot;00.0&quot; &quot;;@&quot; &quot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Tahoma"/>
      <family val="2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1" fillId="0" borderId="0" applyNumberFormat="0" applyBorder="0" applyProtection="0"/>
  </cellStyleXfs>
  <cellXfs count="293">
    <xf numFmtId="0" fontId="0" fillId="0" borderId="0" xfId="0"/>
    <xf numFmtId="0" fontId="5" fillId="2" borderId="0" xfId="0" applyFont="1" applyFill="1"/>
    <xf numFmtId="0" fontId="5" fillId="2" borderId="0" xfId="0" applyFont="1" applyFill="1" applyAlignment="1">
      <alignment horizontal="center"/>
    </xf>
    <xf numFmtId="4" fontId="5" fillId="2" borderId="0" xfId="0" applyNumberFormat="1" applyFont="1" applyFill="1" applyAlignment="1">
      <alignment horizontal="center"/>
    </xf>
    <xf numFmtId="4" fontId="5" fillId="2" borderId="0" xfId="0" applyNumberFormat="1" applyFont="1" applyFill="1"/>
    <xf numFmtId="0" fontId="5" fillId="3" borderId="0" xfId="0" applyFont="1" applyFill="1"/>
    <xf numFmtId="0" fontId="5" fillId="0" borderId="0" xfId="0" applyFont="1"/>
    <xf numFmtId="4" fontId="5" fillId="0" borderId="0" xfId="0" applyNumberFormat="1" applyFont="1" applyAlignment="1">
      <alignment horizontal="center"/>
    </xf>
    <xf numFmtId="0" fontId="6" fillId="2" borderId="0" xfId="0" applyFont="1" applyFill="1"/>
    <xf numFmtId="0" fontId="8" fillId="4" borderId="0" xfId="3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9" fillId="2" borderId="0" xfId="0" applyFont="1" applyFill="1"/>
    <xf numFmtId="4" fontId="10" fillId="2" borderId="0" xfId="0" applyNumberFormat="1" applyFont="1" applyFill="1" applyAlignment="1">
      <alignment horizontal="center"/>
    </xf>
    <xf numFmtId="0" fontId="10" fillId="5" borderId="1" xfId="0" applyFont="1" applyFill="1" applyBorder="1" applyAlignment="1">
      <alignment horizontal="center" vertical="center" wrapText="1"/>
    </xf>
    <xf numFmtId="0" fontId="12" fillId="2" borderId="0" xfId="0" applyFont="1" applyFill="1"/>
    <xf numFmtId="0" fontId="13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10" fillId="5" borderId="1" xfId="0" applyFont="1" applyFill="1" applyBorder="1" applyAlignment="1">
      <alignment horizontal="center" vertical="center"/>
    </xf>
    <xf numFmtId="14" fontId="1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4" fontId="14" fillId="2" borderId="1" xfId="0" applyNumberFormat="1" applyFont="1" applyFill="1" applyBorder="1" applyAlignment="1">
      <alignment horizontal="left" vertical="center" wrapText="1"/>
    </xf>
    <xf numFmtId="165" fontId="5" fillId="2" borderId="0" xfId="0" applyNumberFormat="1" applyFont="1" applyFill="1"/>
    <xf numFmtId="0" fontId="12" fillId="2" borderId="0" xfId="0" applyFont="1" applyFill="1" applyAlignment="1">
      <alignment horizontal="left" vertical="center"/>
    </xf>
    <xf numFmtId="0" fontId="1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5" fillId="0" borderId="0" xfId="0" applyNumberFormat="1" applyFont="1"/>
    <xf numFmtId="0" fontId="5" fillId="0" borderId="0" xfId="0" applyFont="1" applyAlignment="1">
      <alignment vertical="center" wrapText="1"/>
    </xf>
    <xf numFmtId="0" fontId="16" fillId="7" borderId="4" xfId="0" applyFont="1" applyFill="1" applyBorder="1" applyAlignment="1">
      <alignment horizontal="center" wrapText="1"/>
    </xf>
    <xf numFmtId="167" fontId="5" fillId="0" borderId="0" xfId="0" applyNumberFormat="1" applyFont="1"/>
    <xf numFmtId="168" fontId="16" fillId="0" borderId="4" xfId="0" applyNumberFormat="1" applyFont="1" applyBorder="1" applyAlignment="1">
      <alignment horizontal="center" wrapText="1"/>
    </xf>
    <xf numFmtId="4" fontId="13" fillId="0" borderId="4" xfId="0" applyNumberFormat="1" applyFont="1" applyBorder="1" applyAlignment="1">
      <alignment horizontal="right"/>
    </xf>
    <xf numFmtId="169" fontId="13" fillId="0" borderId="4" xfId="0" applyNumberFormat="1" applyFont="1" applyBorder="1"/>
    <xf numFmtId="170" fontId="13" fillId="0" borderId="4" xfId="0" applyNumberFormat="1" applyFont="1" applyBorder="1" applyAlignment="1">
      <alignment horizontal="center" wrapText="1"/>
    </xf>
    <xf numFmtId="164" fontId="13" fillId="0" borderId="4" xfId="0" applyNumberFormat="1" applyFont="1" applyBorder="1"/>
    <xf numFmtId="4" fontId="5" fillId="8" borderId="6" xfId="0" applyNumberFormat="1" applyFont="1" applyFill="1" applyBorder="1" applyAlignment="1">
      <alignment horizontal="center"/>
    </xf>
    <xf numFmtId="4" fontId="5" fillId="8" borderId="0" xfId="0" applyNumberFormat="1" applyFont="1" applyFill="1" applyAlignment="1">
      <alignment horizontal="center"/>
    </xf>
    <xf numFmtId="4" fontId="5" fillId="8" borderId="7" xfId="0" applyNumberFormat="1" applyFont="1" applyFill="1" applyBorder="1" applyAlignment="1">
      <alignment horizontal="center"/>
    </xf>
    <xf numFmtId="4" fontId="5" fillId="8" borderId="8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 wrapText="1"/>
    </xf>
    <xf numFmtId="166" fontId="16" fillId="9" borderId="9" xfId="0" applyNumberFormat="1" applyFont="1" applyFill="1" applyBorder="1" applyAlignment="1">
      <alignment horizontal="right"/>
    </xf>
    <xf numFmtId="171" fontId="16" fillId="9" borderId="9" xfId="0" applyNumberFormat="1" applyFont="1" applyFill="1" applyBorder="1" applyAlignment="1">
      <alignment horizontal="center" wrapText="1"/>
    </xf>
    <xf numFmtId="166" fontId="16" fillId="9" borderId="9" xfId="0" applyNumberFormat="1" applyFont="1" applyFill="1" applyBorder="1" applyAlignment="1">
      <alignment horizontal="center"/>
    </xf>
    <xf numFmtId="166" fontId="5" fillId="3" borderId="0" xfId="0" applyNumberFormat="1" applyFont="1" applyFill="1"/>
    <xf numFmtId="166" fontId="12" fillId="2" borderId="0" xfId="0" applyNumberFormat="1" applyFont="1" applyFill="1" applyAlignment="1">
      <alignment horizontal="center"/>
    </xf>
    <xf numFmtId="0" fontId="12" fillId="10" borderId="10" xfId="0" applyFont="1" applyFill="1" applyBorder="1" applyAlignment="1">
      <alignment horizontal="center" wrapText="1"/>
    </xf>
    <xf numFmtId="4" fontId="5" fillId="8" borderId="11" xfId="0" applyNumberFormat="1" applyFont="1" applyFill="1" applyBorder="1" applyAlignment="1">
      <alignment horizontal="center"/>
    </xf>
    <xf numFmtId="167" fontId="5" fillId="10" borderId="10" xfId="0" applyNumberFormat="1" applyFont="1" applyFill="1" applyBorder="1" applyAlignment="1">
      <alignment horizontal="center"/>
    </xf>
    <xf numFmtId="172" fontId="5" fillId="8" borderId="2" xfId="0" applyNumberFormat="1" applyFont="1" applyFill="1" applyBorder="1" applyAlignment="1">
      <alignment horizontal="center" vertical="center"/>
    </xf>
    <xf numFmtId="172" fontId="5" fillId="8" borderId="12" xfId="0" applyNumberFormat="1" applyFont="1" applyFill="1" applyBorder="1" applyAlignment="1">
      <alignment horizontal="center" vertical="center"/>
    </xf>
    <xf numFmtId="172" fontId="5" fillId="8" borderId="1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2" fontId="5" fillId="3" borderId="0" xfId="0" applyNumberFormat="1" applyFont="1" applyFill="1"/>
    <xf numFmtId="173" fontId="10" fillId="11" borderId="1" xfId="0" applyNumberFormat="1" applyFont="1" applyFill="1" applyBorder="1" applyAlignment="1">
      <alignment horizontal="right"/>
    </xf>
    <xf numFmtId="0" fontId="16" fillId="2" borderId="0" xfId="0" applyFont="1" applyFill="1"/>
    <xf numFmtId="174" fontId="13" fillId="0" borderId="4" xfId="0" applyNumberFormat="1" applyFont="1" applyBorder="1" applyAlignment="1">
      <alignment wrapText="1"/>
    </xf>
    <xf numFmtId="170" fontId="13" fillId="0" borderId="4" xfId="0" applyNumberFormat="1" applyFont="1" applyBorder="1" applyAlignment="1">
      <alignment wrapText="1"/>
    </xf>
    <xf numFmtId="166" fontId="16" fillId="12" borderId="6" xfId="0" applyNumberFormat="1" applyFont="1" applyFill="1" applyBorder="1"/>
    <xf numFmtId="175" fontId="16" fillId="12" borderId="0" xfId="0" applyNumberFormat="1" applyFont="1" applyFill="1"/>
    <xf numFmtId="166" fontId="16" fillId="12" borderId="0" xfId="0" applyNumberFormat="1" applyFont="1" applyFill="1"/>
    <xf numFmtId="10" fontId="16" fillId="12" borderId="0" xfId="0" applyNumberFormat="1" applyFont="1" applyFill="1"/>
    <xf numFmtId="10" fontId="16" fillId="12" borderId="8" xfId="0" applyNumberFormat="1" applyFont="1" applyFill="1" applyBorder="1"/>
    <xf numFmtId="0" fontId="16" fillId="9" borderId="4" xfId="0" applyFont="1" applyFill="1" applyBorder="1" applyAlignment="1">
      <alignment horizontal="center" wrapText="1"/>
    </xf>
    <xf numFmtId="166" fontId="16" fillId="9" borderId="4" xfId="0" applyNumberFormat="1" applyFont="1" applyFill="1" applyBorder="1" applyAlignment="1">
      <alignment horizontal="right"/>
    </xf>
    <xf numFmtId="171" fontId="16" fillId="9" borderId="4" xfId="0" applyNumberFormat="1" applyFont="1" applyFill="1" applyBorder="1" applyAlignment="1">
      <alignment horizontal="center" wrapText="1"/>
    </xf>
    <xf numFmtId="166" fontId="16" fillId="3" borderId="15" xfId="0" applyNumberFormat="1" applyFont="1" applyFill="1" applyBorder="1"/>
    <xf numFmtId="10" fontId="16" fillId="3" borderId="11" xfId="0" applyNumberFormat="1" applyFont="1" applyFill="1" applyBorder="1"/>
    <xf numFmtId="166" fontId="16" fillId="3" borderId="11" xfId="0" applyNumberFormat="1" applyFont="1" applyFill="1" applyBorder="1"/>
    <xf numFmtId="10" fontId="16" fillId="3" borderId="16" xfId="0" applyNumberFormat="1" applyFont="1" applyFill="1" applyBorder="1" applyAlignment="1">
      <alignment vertical="center"/>
    </xf>
    <xf numFmtId="166" fontId="18" fillId="2" borderId="3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166" fontId="19" fillId="13" borderId="0" xfId="0" applyNumberFormat="1" applyFont="1" applyFill="1" applyAlignment="1">
      <alignment horizontal="center" vertical="center"/>
    </xf>
    <xf numFmtId="0" fontId="20" fillId="2" borderId="0" xfId="0" applyFont="1" applyFill="1" applyAlignment="1">
      <alignment horizontal="right"/>
    </xf>
    <xf numFmtId="166" fontId="20" fillId="2" borderId="0" xfId="0" applyNumberFormat="1" applyFont="1" applyFill="1" applyAlignment="1">
      <alignment horizontal="left"/>
    </xf>
    <xf numFmtId="173" fontId="20" fillId="2" borderId="0" xfId="0" applyNumberFormat="1" applyFont="1" applyFill="1"/>
    <xf numFmtId="10" fontId="19" fillId="13" borderId="0" xfId="2" applyNumberFormat="1" applyFont="1" applyFill="1" applyAlignment="1">
      <alignment horizontal="center"/>
    </xf>
    <xf numFmtId="166" fontId="20" fillId="2" borderId="19" xfId="0" applyNumberFormat="1" applyFont="1" applyFill="1" applyBorder="1" applyAlignment="1">
      <alignment horizontal="left"/>
    </xf>
    <xf numFmtId="166" fontId="20" fillId="2" borderId="4" xfId="0" applyNumberFormat="1" applyFont="1" applyFill="1" applyBorder="1" applyAlignment="1">
      <alignment horizontal="right"/>
    </xf>
    <xf numFmtId="172" fontId="5" fillId="2" borderId="0" xfId="0" applyNumberFormat="1" applyFont="1" applyFill="1"/>
    <xf numFmtId="0" fontId="13" fillId="2" borderId="0" xfId="0" applyFont="1" applyFill="1" applyAlignment="1">
      <alignment horizontal="center"/>
    </xf>
    <xf numFmtId="0" fontId="13" fillId="2" borderId="0" xfId="0" applyFont="1" applyFill="1"/>
    <xf numFmtId="10" fontId="16" fillId="3" borderId="0" xfId="0" applyNumberFormat="1" applyFont="1" applyFill="1"/>
    <xf numFmtId="166" fontId="16" fillId="2" borderId="4" xfId="0" applyNumberFormat="1" applyFont="1" applyFill="1" applyBorder="1" applyAlignment="1">
      <alignment horizontal="right"/>
    </xf>
    <xf numFmtId="0" fontId="11" fillId="3" borderId="0" xfId="0" applyFont="1" applyFill="1"/>
    <xf numFmtId="0" fontId="20" fillId="2" borderId="0" xfId="0" applyFont="1" applyFill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 wrapText="1"/>
    </xf>
    <xf numFmtId="176" fontId="22" fillId="15" borderId="1" xfId="2" applyNumberFormat="1" applyFont="1" applyFill="1" applyBorder="1"/>
    <xf numFmtId="0" fontId="22" fillId="15" borderId="1" xfId="2" applyNumberFormat="1" applyFont="1" applyFill="1" applyBorder="1" applyAlignment="1">
      <alignment horizontal="center"/>
    </xf>
    <xf numFmtId="176" fontId="22" fillId="15" borderId="1" xfId="2" applyNumberFormat="1" applyFont="1" applyFill="1" applyBorder="1" applyAlignment="1">
      <alignment horizontal="center"/>
    </xf>
    <xf numFmtId="10" fontId="22" fillId="15" borderId="1" xfId="2" applyNumberFormat="1" applyFont="1" applyFill="1" applyBorder="1" applyAlignment="1">
      <alignment horizontal="center"/>
    </xf>
    <xf numFmtId="176" fontId="22" fillId="16" borderId="1" xfId="0" applyNumberFormat="1" applyFont="1" applyFill="1" applyBorder="1" applyAlignment="1">
      <alignment horizontal="center"/>
    </xf>
    <xf numFmtId="176" fontId="5" fillId="2" borderId="0" xfId="0" applyNumberFormat="1" applyFont="1" applyFill="1"/>
    <xf numFmtId="176" fontId="22" fillId="0" borderId="1" xfId="2" applyNumberFormat="1" applyFont="1" applyBorder="1"/>
    <xf numFmtId="176" fontId="22" fillId="15" borderId="1" xfId="0" applyNumberFormat="1" applyFont="1" applyFill="1" applyBorder="1" applyAlignment="1">
      <alignment horizontal="center"/>
    </xf>
    <xf numFmtId="177" fontId="22" fillId="0" borderId="1" xfId="2" applyNumberFormat="1" applyFont="1" applyBorder="1" applyAlignment="1">
      <alignment horizontal="center"/>
    </xf>
    <xf numFmtId="0" fontId="21" fillId="2" borderId="20" xfId="0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center" vertical="center" wrapText="1"/>
    </xf>
    <xf numFmtId="0" fontId="22" fillId="0" borderId="1" xfId="2" applyNumberFormat="1" applyFont="1" applyBorder="1" applyAlignment="1">
      <alignment horizontal="center"/>
    </xf>
    <xf numFmtId="176" fontId="5" fillId="2" borderId="1" xfId="0" applyNumberFormat="1" applyFont="1" applyFill="1" applyBorder="1"/>
    <xf numFmtId="177" fontId="5" fillId="2" borderId="3" xfId="0" applyNumberFormat="1" applyFont="1" applyFill="1" applyBorder="1"/>
    <xf numFmtId="10" fontId="22" fillId="0" borderId="1" xfId="2" applyNumberFormat="1" applyFont="1" applyBorder="1" applyAlignment="1">
      <alignment horizontal="center"/>
    </xf>
    <xf numFmtId="177" fontId="5" fillId="2" borderId="1" xfId="0" applyNumberFormat="1" applyFont="1" applyFill="1" applyBorder="1" applyAlignment="1">
      <alignment horizontal="center"/>
    </xf>
    <xf numFmtId="178" fontId="5" fillId="2" borderId="1" xfId="0" applyNumberFormat="1" applyFont="1" applyFill="1" applyBorder="1"/>
    <xf numFmtId="178" fontId="5" fillId="16" borderId="1" xfId="0" applyNumberFormat="1" applyFont="1" applyFill="1" applyBorder="1"/>
    <xf numFmtId="0" fontId="7" fillId="2" borderId="0" xfId="0" applyFont="1" applyFill="1" applyAlignment="1">
      <alignment horizontal="center" wrapText="1"/>
    </xf>
    <xf numFmtId="166" fontId="7" fillId="2" borderId="0" xfId="0" applyNumberFormat="1" applyFont="1" applyFill="1" applyAlignment="1">
      <alignment horizontal="right"/>
    </xf>
    <xf numFmtId="0" fontId="11" fillId="2" borderId="0" xfId="0" applyFont="1" applyFill="1"/>
    <xf numFmtId="166" fontId="16" fillId="2" borderId="3" xfId="0" applyNumberFormat="1" applyFont="1" applyFill="1" applyBorder="1" applyAlignment="1">
      <alignment vertical="center"/>
    </xf>
    <xf numFmtId="166" fontId="16" fillId="2" borderId="1" xfId="0" applyNumberFormat="1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166" fontId="7" fillId="17" borderId="1" xfId="0" applyNumberFormat="1" applyFont="1" applyFill="1" applyBorder="1" applyAlignment="1">
      <alignment horizontal="center" vertical="center"/>
    </xf>
    <xf numFmtId="166" fontId="7" fillId="17" borderId="1" xfId="0" applyNumberFormat="1" applyFont="1" applyFill="1" applyBorder="1" applyAlignment="1">
      <alignment horizontal="center" vertical="center" wrapText="1"/>
    </xf>
    <xf numFmtId="10" fontId="12" fillId="0" borderId="4" xfId="0" applyNumberFormat="1" applyFont="1" applyBorder="1" applyAlignment="1">
      <alignment horizontal="center" wrapText="1"/>
    </xf>
    <xf numFmtId="172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7" fillId="9" borderId="4" xfId="0" applyNumberFormat="1" applyFont="1" applyFill="1" applyBorder="1" applyAlignment="1">
      <alignment horizontal="center"/>
    </xf>
    <xf numFmtId="166" fontId="7" fillId="9" borderId="4" xfId="0" applyNumberFormat="1" applyFont="1" applyFill="1" applyBorder="1" applyAlignment="1">
      <alignment horizontal="center"/>
    </xf>
    <xf numFmtId="1" fontId="7" fillId="9" borderId="4" xfId="0" applyNumberFormat="1" applyFont="1" applyFill="1" applyBorder="1" applyAlignment="1">
      <alignment horizontal="center"/>
    </xf>
    <xf numFmtId="10" fontId="5" fillId="3" borderId="0" xfId="0" applyNumberFormat="1" applyFont="1" applyFill="1"/>
    <xf numFmtId="166" fontId="16" fillId="3" borderId="0" xfId="0" applyNumberFormat="1" applyFont="1" applyFill="1"/>
    <xf numFmtId="0" fontId="7" fillId="18" borderId="4" xfId="0" applyFont="1" applyFill="1" applyBorder="1" applyAlignment="1">
      <alignment horizontal="center" wrapText="1"/>
    </xf>
    <xf numFmtId="166" fontId="7" fillId="18" borderId="4" xfId="0" applyNumberFormat="1" applyFont="1" applyFill="1" applyBorder="1" applyAlignment="1">
      <alignment horizontal="center"/>
    </xf>
    <xf numFmtId="166" fontId="7" fillId="18" borderId="4" xfId="0" applyNumberFormat="1" applyFont="1" applyFill="1" applyBorder="1" applyAlignment="1">
      <alignment horizontal="center" wrapText="1"/>
    </xf>
    <xf numFmtId="0" fontId="17" fillId="19" borderId="0" xfId="0" applyFont="1" applyFill="1"/>
    <xf numFmtId="166" fontId="17" fillId="19" borderId="0" xfId="0" applyNumberFormat="1" applyFont="1" applyFill="1" applyAlignment="1">
      <alignment horizontal="center"/>
    </xf>
    <xf numFmtId="166" fontId="12" fillId="0" borderId="4" xfId="0" applyNumberFormat="1" applyFont="1" applyBorder="1" applyAlignment="1">
      <alignment horizontal="right"/>
    </xf>
    <xf numFmtId="166" fontId="12" fillId="0" borderId="4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9" fillId="19" borderId="0" xfId="0" applyFont="1" applyFill="1"/>
    <xf numFmtId="176" fontId="19" fillId="19" borderId="0" xfId="0" applyNumberFormat="1" applyFont="1" applyFill="1" applyAlignment="1">
      <alignment horizontal="center"/>
    </xf>
    <xf numFmtId="166" fontId="16" fillId="5" borderId="0" xfId="0" applyNumberFormat="1" applyFont="1" applyFill="1"/>
    <xf numFmtId="166" fontId="24" fillId="5" borderId="13" xfId="0" applyNumberFormat="1" applyFont="1" applyFill="1" applyBorder="1" applyAlignment="1">
      <alignment horizontal="center"/>
    </xf>
    <xf numFmtId="0" fontId="24" fillId="5" borderId="14" xfId="0" applyFont="1" applyFill="1" applyBorder="1"/>
    <xf numFmtId="166" fontId="24" fillId="5" borderId="6" xfId="0" applyNumberFormat="1" applyFont="1" applyFill="1" applyBorder="1" applyAlignment="1">
      <alignment horizontal="center"/>
    </xf>
    <xf numFmtId="0" fontId="24" fillId="5" borderId="8" xfId="0" applyFont="1" applyFill="1" applyBorder="1" applyAlignment="1">
      <alignment horizontal="left"/>
    </xf>
    <xf numFmtId="166" fontId="5" fillId="5" borderId="0" xfId="0" applyNumberFormat="1" applyFont="1" applyFill="1"/>
    <xf numFmtId="166" fontId="2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179" fontId="11" fillId="2" borderId="0" xfId="0" applyNumberFormat="1" applyFont="1" applyFill="1"/>
    <xf numFmtId="2" fontId="11" fillId="3" borderId="0" xfId="0" applyNumberFormat="1" applyFont="1" applyFill="1"/>
    <xf numFmtId="166" fontId="7" fillId="2" borderId="0" xfId="0" applyNumberFormat="1" applyFont="1" applyFill="1" applyAlignment="1">
      <alignment horizontal="left"/>
    </xf>
    <xf numFmtId="0" fontId="19" fillId="5" borderId="13" xfId="0" applyFont="1" applyFill="1" applyBorder="1" applyAlignment="1">
      <alignment horizontal="left" vertical="center"/>
    </xf>
    <xf numFmtId="166" fontId="5" fillId="5" borderId="14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 wrapText="1"/>
    </xf>
    <xf numFmtId="166" fontId="5" fillId="5" borderId="8" xfId="0" applyNumberFormat="1" applyFont="1" applyFill="1" applyBorder="1" applyAlignment="1">
      <alignment horizontal="center" vertical="center" wrapText="1"/>
    </xf>
    <xf numFmtId="0" fontId="25" fillId="2" borderId="0" xfId="0" applyFont="1" applyFill="1"/>
    <xf numFmtId="166" fontId="13" fillId="2" borderId="1" xfId="0" applyNumberFormat="1" applyFont="1" applyFill="1" applyBorder="1"/>
    <xf numFmtId="180" fontId="12" fillId="2" borderId="0" xfId="0" applyNumberFormat="1" applyFont="1" applyFill="1"/>
    <xf numFmtId="0" fontId="19" fillId="5" borderId="6" xfId="0" applyFont="1" applyFill="1" applyBorder="1" applyAlignment="1">
      <alignment horizontal="left" wrapText="1"/>
    </xf>
    <xf numFmtId="0" fontId="5" fillId="0" borderId="1" xfId="0" applyFont="1" applyBorder="1" applyAlignment="1">
      <alignment horizontal="left" wrapText="1"/>
    </xf>
    <xf numFmtId="1" fontId="13" fillId="2" borderId="1" xfId="0" applyNumberFormat="1" applyFont="1" applyFill="1" applyBorder="1" applyAlignment="1">
      <alignment horizontal="center"/>
    </xf>
    <xf numFmtId="166" fontId="13" fillId="2" borderId="0" xfId="0" applyNumberFormat="1" applyFont="1" applyFill="1"/>
    <xf numFmtId="166" fontId="12" fillId="2" borderId="0" xfId="0" applyNumberFormat="1" applyFont="1" applyFill="1"/>
    <xf numFmtId="0" fontId="19" fillId="5" borderId="15" xfId="0" applyFont="1" applyFill="1" applyBorder="1" applyAlignment="1">
      <alignment horizontal="left" vertical="center"/>
    </xf>
    <xf numFmtId="166" fontId="11" fillId="5" borderId="16" xfId="0" applyNumberFormat="1" applyFont="1" applyFill="1" applyBorder="1" applyAlignment="1">
      <alignment vertical="center"/>
    </xf>
    <xf numFmtId="0" fontId="17" fillId="19" borderId="13" xfId="0" applyFont="1" applyFill="1" applyBorder="1" applyAlignment="1">
      <alignment horizontal="right"/>
    </xf>
    <xf numFmtId="0" fontId="26" fillId="20" borderId="14" xfId="0" applyFont="1" applyFill="1" applyBorder="1" applyAlignment="1">
      <alignment horizontal="center"/>
    </xf>
    <xf numFmtId="9" fontId="17" fillId="20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7" fillId="19" borderId="6" xfId="0" applyFont="1" applyFill="1" applyBorder="1" applyAlignment="1">
      <alignment horizontal="right"/>
    </xf>
    <xf numFmtId="166" fontId="17" fillId="19" borderId="8" xfId="0" applyNumberFormat="1" applyFont="1" applyFill="1" applyBorder="1"/>
    <xf numFmtId="0" fontId="17" fillId="21" borderId="6" xfId="0" applyFont="1" applyFill="1" applyBorder="1" applyAlignment="1">
      <alignment horizontal="right"/>
    </xf>
    <xf numFmtId="166" fontId="17" fillId="20" borderId="8" xfId="0" applyNumberFormat="1" applyFont="1" applyFill="1" applyBorder="1"/>
    <xf numFmtId="180" fontId="13" fillId="2" borderId="0" xfId="0" applyNumberFormat="1" applyFont="1" applyFill="1"/>
    <xf numFmtId="176" fontId="17" fillId="19" borderId="8" xfId="0" applyNumberFormat="1" applyFont="1" applyFill="1" applyBorder="1"/>
    <xf numFmtId="0" fontId="28" fillId="21" borderId="6" xfId="0" applyFont="1" applyFill="1" applyBorder="1" applyAlignment="1">
      <alignment horizontal="center" wrapText="1"/>
    </xf>
    <xf numFmtId="0" fontId="17" fillId="20" borderId="8" xfId="0" applyFont="1" applyFill="1" applyBorder="1"/>
    <xf numFmtId="0" fontId="13" fillId="2" borderId="0" xfId="0" applyFont="1" applyFill="1" applyAlignment="1">
      <alignment vertical="center"/>
    </xf>
    <xf numFmtId="0" fontId="17" fillId="19" borderId="6" xfId="0" applyFont="1" applyFill="1" applyBorder="1" applyAlignment="1">
      <alignment horizontal="right" wrapText="1"/>
    </xf>
    <xf numFmtId="173" fontId="17" fillId="20" borderId="0" xfId="0" applyNumberFormat="1" applyFont="1" applyFill="1" applyAlignment="1">
      <alignment horizontal="center" vertical="center"/>
    </xf>
    <xf numFmtId="0" fontId="17" fillId="21" borderId="6" xfId="0" applyFont="1" applyFill="1" applyBorder="1" applyAlignment="1">
      <alignment horizontal="right" wrapText="1"/>
    </xf>
    <xf numFmtId="166" fontId="17" fillId="21" borderId="8" xfId="0" applyNumberFormat="1" applyFont="1" applyFill="1" applyBorder="1"/>
    <xf numFmtId="0" fontId="17" fillId="19" borderId="15" xfId="0" applyFont="1" applyFill="1" applyBorder="1" applyAlignment="1">
      <alignment horizontal="right" wrapText="1"/>
    </xf>
    <xf numFmtId="166" fontId="17" fillId="19" borderId="16" xfId="0" applyNumberFormat="1" applyFont="1" applyFill="1" applyBorder="1"/>
    <xf numFmtId="0" fontId="17" fillId="21" borderId="2" xfId="0" applyFont="1" applyFill="1" applyBorder="1" applyAlignment="1">
      <alignment horizontal="right" wrapText="1"/>
    </xf>
    <xf numFmtId="0" fontId="17" fillId="21" borderId="3" xfId="0" applyFont="1" applyFill="1" applyBorder="1"/>
    <xf numFmtId="166" fontId="17" fillId="22" borderId="0" xfId="0" applyNumberFormat="1" applyFont="1" applyFill="1" applyAlignment="1">
      <alignment horizontal="center" vertical="center"/>
    </xf>
    <xf numFmtId="2" fontId="17" fillId="23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left"/>
    </xf>
    <xf numFmtId="0" fontId="17" fillId="22" borderId="0" xfId="0" applyFont="1" applyFill="1" applyAlignment="1">
      <alignment horizontal="center" vertical="center"/>
    </xf>
    <xf numFmtId="0" fontId="5" fillId="2" borderId="0" xfId="4" applyFont="1" applyFill="1"/>
    <xf numFmtId="0" fontId="17" fillId="22" borderId="0" xfId="0" applyFont="1" applyFill="1" applyAlignment="1">
      <alignment horizontal="center"/>
    </xf>
    <xf numFmtId="1" fontId="17" fillId="22" borderId="0" xfId="0" applyNumberFormat="1" applyFont="1" applyFill="1" applyAlignment="1">
      <alignment horizontal="center" vertical="center"/>
    </xf>
    <xf numFmtId="166" fontId="17" fillId="24" borderId="13" xfId="0" applyNumberFormat="1" applyFont="1" applyFill="1" applyBorder="1" applyAlignment="1">
      <alignment horizontal="center" vertical="center"/>
    </xf>
    <xf numFmtId="166" fontId="19" fillId="24" borderId="14" xfId="2" applyNumberFormat="1" applyFont="1" applyFill="1" applyBorder="1"/>
    <xf numFmtId="166" fontId="17" fillId="24" borderId="15" xfId="0" applyNumberFormat="1" applyFont="1" applyFill="1" applyBorder="1" applyAlignment="1">
      <alignment horizontal="center" vertical="center" wrapText="1"/>
    </xf>
    <xf numFmtId="166" fontId="19" fillId="24" borderId="16" xfId="2" applyNumberFormat="1" applyFont="1" applyFill="1" applyBorder="1" applyAlignment="1">
      <alignment horizontal="right"/>
    </xf>
    <xf numFmtId="0" fontId="19" fillId="3" borderId="13" xfId="0" applyFont="1" applyFill="1" applyBorder="1"/>
    <xf numFmtId="0" fontId="19" fillId="3" borderId="7" xfId="0" applyFont="1" applyFill="1" applyBorder="1"/>
    <xf numFmtId="172" fontId="19" fillId="3" borderId="14" xfId="0" applyNumberFormat="1" applyFont="1" applyFill="1" applyBorder="1"/>
    <xf numFmtId="0" fontId="13" fillId="3" borderId="0" xfId="0" applyFont="1" applyFill="1"/>
    <xf numFmtId="0" fontId="19" fillId="3" borderId="6" xfId="0" applyFont="1" applyFill="1" applyBorder="1"/>
    <xf numFmtId="0" fontId="19" fillId="3" borderId="0" xfId="0" applyFont="1" applyFill="1"/>
    <xf numFmtId="166" fontId="19" fillId="3" borderId="8" xfId="0" applyNumberFormat="1" applyFont="1" applyFill="1" applyBorder="1"/>
    <xf numFmtId="4" fontId="5" fillId="2" borderId="0" xfId="0" applyNumberFormat="1" applyFont="1" applyFill="1" applyAlignment="1">
      <alignment horizontal="left"/>
    </xf>
    <xf numFmtId="0" fontId="24" fillId="3" borderId="6" xfId="0" applyFont="1" applyFill="1" applyBorder="1"/>
    <xf numFmtId="166" fontId="11" fillId="3" borderId="8" xfId="0" applyNumberFormat="1" applyFont="1" applyFill="1" applyBorder="1"/>
    <xf numFmtId="0" fontId="11" fillId="3" borderId="6" xfId="0" applyFont="1" applyFill="1" applyBorder="1"/>
    <xf numFmtId="166" fontId="11" fillId="3" borderId="0" xfId="0" applyNumberFormat="1" applyFont="1" applyFill="1"/>
    <xf numFmtId="0" fontId="5" fillId="0" borderId="0" xfId="0" applyFont="1" applyAlignment="1">
      <alignment horizontal="left"/>
    </xf>
    <xf numFmtId="0" fontId="17" fillId="18" borderId="6" xfId="0" applyFont="1" applyFill="1" applyBorder="1"/>
    <xf numFmtId="0" fontId="17" fillId="18" borderId="0" xfId="0" applyFont="1" applyFill="1"/>
    <xf numFmtId="166" fontId="17" fillId="18" borderId="8" xfId="0" applyNumberFormat="1" applyFont="1" applyFill="1" applyBorder="1"/>
    <xf numFmtId="166" fontId="19" fillId="3" borderId="0" xfId="0" applyNumberFormat="1" applyFont="1" applyFill="1"/>
    <xf numFmtId="0" fontId="10" fillId="2" borderId="0" xfId="4" applyFont="1" applyFill="1"/>
    <xf numFmtId="4" fontId="5" fillId="3" borderId="0" xfId="0" applyNumberFormat="1" applyFont="1" applyFill="1"/>
    <xf numFmtId="181" fontId="19" fillId="3" borderId="8" xfId="0" applyNumberFormat="1" applyFont="1" applyFill="1" applyBorder="1"/>
    <xf numFmtId="166" fontId="13" fillId="3" borderId="0" xfId="0" applyNumberFormat="1" applyFont="1" applyFill="1"/>
    <xf numFmtId="0" fontId="12" fillId="2" borderId="0" xfId="0" applyFont="1" applyFill="1" applyAlignment="1">
      <alignment wrapText="1"/>
    </xf>
    <xf numFmtId="10" fontId="19" fillId="3" borderId="8" xfId="2" applyNumberFormat="1" applyFont="1" applyFill="1" applyBorder="1"/>
    <xf numFmtId="0" fontId="19" fillId="3" borderId="15" xfId="0" applyFont="1" applyFill="1" applyBorder="1" applyAlignment="1">
      <alignment wrapText="1"/>
    </xf>
    <xf numFmtId="0" fontId="19" fillId="3" borderId="11" xfId="0" applyFont="1" applyFill="1" applyBorder="1"/>
    <xf numFmtId="166" fontId="19" fillId="3" borderId="16" xfId="0" applyNumberFormat="1" applyFont="1" applyFill="1" applyBorder="1"/>
    <xf numFmtId="166" fontId="19" fillId="13" borderId="6" xfId="0" applyNumberFormat="1" applyFont="1" applyFill="1" applyBorder="1"/>
    <xf numFmtId="166" fontId="19" fillId="13" borderId="0" xfId="0" applyNumberFormat="1" applyFont="1" applyFill="1"/>
    <xf numFmtId="172" fontId="19" fillId="13" borderId="10" xfId="0" applyNumberFormat="1" applyFont="1" applyFill="1" applyBorder="1"/>
    <xf numFmtId="43" fontId="11" fillId="3" borderId="0" xfId="1" applyFont="1" applyFill="1" applyAlignment="1">
      <alignment horizontal="center"/>
    </xf>
    <xf numFmtId="172" fontId="19" fillId="13" borderId="2" xfId="0" applyNumberFormat="1" applyFont="1" applyFill="1" applyBorder="1"/>
    <xf numFmtId="172" fontId="19" fillId="13" borderId="12" xfId="0" applyNumberFormat="1" applyFont="1" applyFill="1" applyBorder="1"/>
    <xf numFmtId="0" fontId="13" fillId="13" borderId="16" xfId="0" applyFont="1" applyFill="1" applyBorder="1"/>
    <xf numFmtId="182" fontId="11" fillId="3" borderId="0" xfId="1" applyNumberFormat="1" applyFont="1" applyFill="1" applyAlignment="1">
      <alignment horizontal="center"/>
    </xf>
    <xf numFmtId="182" fontId="5" fillId="3" borderId="0" xfId="1" applyNumberFormat="1" applyFont="1" applyFill="1"/>
    <xf numFmtId="0" fontId="32" fillId="2" borderId="0" xfId="0" applyFont="1" applyFill="1" applyAlignment="1">
      <alignment horizontal="left"/>
    </xf>
    <xf numFmtId="0" fontId="7" fillId="2" borderId="0" xfId="0" applyFont="1" applyFill="1"/>
    <xf numFmtId="0" fontId="33" fillId="2" borderId="0" xfId="0" applyFont="1" applyFill="1"/>
    <xf numFmtId="0" fontId="9" fillId="0" borderId="0" xfId="0" applyFont="1"/>
    <xf numFmtId="4" fontId="5" fillId="0" borderId="0" xfId="0" applyNumberFormat="1" applyFont="1"/>
    <xf numFmtId="0" fontId="12" fillId="2" borderId="0" xfId="0" applyFont="1" applyFill="1" applyAlignment="1">
      <alignment horizontal="center" vertical="center"/>
    </xf>
    <xf numFmtId="0" fontId="17" fillId="19" borderId="2" xfId="0" applyFont="1" applyFill="1" applyBorder="1" applyAlignment="1">
      <alignment horizontal="center"/>
    </xf>
    <xf numFmtId="0" fontId="17" fillId="19" borderId="3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/>
    </xf>
    <xf numFmtId="166" fontId="17" fillId="13" borderId="2" xfId="0" applyNumberFormat="1" applyFont="1" applyFill="1" applyBorder="1" applyAlignment="1">
      <alignment horizontal="center" vertical="center"/>
    </xf>
    <xf numFmtId="166" fontId="17" fillId="13" borderId="12" xfId="0" applyNumberFormat="1" applyFont="1" applyFill="1" applyBorder="1" applyAlignment="1">
      <alignment horizontal="center" vertical="center"/>
    </xf>
    <xf numFmtId="166" fontId="17" fillId="13" borderId="3" xfId="0" applyNumberFormat="1" applyFont="1" applyFill="1" applyBorder="1" applyAlignment="1">
      <alignment horizontal="center" vertical="center"/>
    </xf>
    <xf numFmtId="166" fontId="17" fillId="24" borderId="1" xfId="0" applyNumberFormat="1" applyFont="1" applyFill="1" applyBorder="1" applyAlignment="1">
      <alignment horizontal="center" vertical="center" wrapText="1"/>
    </xf>
    <xf numFmtId="166" fontId="26" fillId="25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7" fillId="2" borderId="23" xfId="0" applyFont="1" applyFill="1" applyBorder="1" applyAlignment="1">
      <alignment horizontal="center" vertical="center"/>
    </xf>
    <xf numFmtId="168" fontId="7" fillId="18" borderId="4" xfId="0" applyNumberFormat="1" applyFont="1" applyFill="1" applyBorder="1" applyAlignment="1">
      <alignment horizontal="center" wrapText="1"/>
    </xf>
    <xf numFmtId="166" fontId="16" fillId="5" borderId="0" xfId="0" applyNumberFormat="1" applyFont="1" applyFill="1" applyAlignment="1">
      <alignment horizontal="center" wrapText="1"/>
    </xf>
    <xf numFmtId="168" fontId="12" fillId="0" borderId="4" xfId="0" applyNumberFormat="1" applyFont="1" applyBorder="1" applyAlignment="1">
      <alignment horizontal="center" wrapText="1"/>
    </xf>
    <xf numFmtId="166" fontId="16" fillId="3" borderId="1" xfId="0" applyNumberFormat="1" applyFont="1" applyFill="1" applyBorder="1" applyAlignment="1">
      <alignment horizontal="center"/>
    </xf>
    <xf numFmtId="166" fontId="16" fillId="2" borderId="2" xfId="0" applyNumberFormat="1" applyFont="1" applyFill="1" applyBorder="1" applyAlignment="1">
      <alignment horizontal="right" vertical="center"/>
    </xf>
    <xf numFmtId="166" fontId="16" fillId="2" borderId="12" xfId="0" applyNumberFormat="1" applyFont="1" applyFill="1" applyBorder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7" fillId="17" borderId="2" xfId="0" applyFont="1" applyFill="1" applyBorder="1" applyAlignment="1">
      <alignment horizontal="center" vertical="center" wrapText="1"/>
    </xf>
    <xf numFmtId="0" fontId="7" fillId="17" borderId="3" xfId="0" applyFont="1" applyFill="1" applyBorder="1" applyAlignment="1">
      <alignment horizontal="center" vertical="center" wrapText="1"/>
    </xf>
    <xf numFmtId="168" fontId="23" fillId="0" borderId="21" xfId="0" applyNumberFormat="1" applyFont="1" applyBorder="1" applyAlignment="1">
      <alignment horizontal="left" vertical="top" wrapText="1"/>
    </xf>
    <xf numFmtId="168" fontId="23" fillId="0" borderId="22" xfId="0" applyNumberFormat="1" applyFont="1" applyBorder="1" applyAlignment="1">
      <alignment horizontal="left" vertical="top" wrapText="1"/>
    </xf>
    <xf numFmtId="168" fontId="7" fillId="9" borderId="17" xfId="0" applyNumberFormat="1" applyFont="1" applyFill="1" applyBorder="1" applyAlignment="1">
      <alignment horizontal="center" vertical="center" wrapText="1"/>
    </xf>
    <xf numFmtId="168" fontId="7" fillId="9" borderId="19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right"/>
    </xf>
    <xf numFmtId="0" fontId="22" fillId="2" borderId="3" xfId="0" applyFont="1" applyFill="1" applyBorder="1" applyAlignment="1">
      <alignment horizontal="right"/>
    </xf>
    <xf numFmtId="0" fontId="22" fillId="16" borderId="2" xfId="0" applyFont="1" applyFill="1" applyBorder="1" applyAlignment="1">
      <alignment horizontal="right"/>
    </xf>
    <xf numFmtId="0" fontId="22" fillId="16" borderId="12" xfId="0" applyFont="1" applyFill="1" applyBorder="1" applyAlignment="1">
      <alignment horizontal="right"/>
    </xf>
    <xf numFmtId="0" fontId="22" fillId="16" borderId="3" xfId="0" applyFont="1" applyFill="1" applyBorder="1" applyAlignment="1">
      <alignment horizontal="right"/>
    </xf>
    <xf numFmtId="168" fontId="7" fillId="9" borderId="4" xfId="0" applyNumberFormat="1" applyFont="1" applyFill="1" applyBorder="1" applyAlignment="1">
      <alignment horizontal="center" vertical="center" wrapText="1"/>
    </xf>
    <xf numFmtId="0" fontId="21" fillId="14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wrapText="1"/>
    </xf>
    <xf numFmtId="0" fontId="21" fillId="2" borderId="8" xfId="0" applyFont="1" applyFill="1" applyBorder="1" applyAlignment="1">
      <alignment horizontal="center" wrapText="1"/>
    </xf>
    <xf numFmtId="0" fontId="22" fillId="16" borderId="1" xfId="0" applyFont="1" applyFill="1" applyBorder="1" applyAlignment="1">
      <alignment horizontal="center"/>
    </xf>
    <xf numFmtId="0" fontId="21" fillId="15" borderId="1" xfId="0" applyFont="1" applyFill="1" applyBorder="1" applyAlignment="1">
      <alignment horizontal="center"/>
    </xf>
    <xf numFmtId="0" fontId="22" fillId="16" borderId="1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0" fontId="20" fillId="2" borderId="17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17" fillId="12" borderId="13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0" fontId="17" fillId="12" borderId="14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right"/>
    </xf>
    <xf numFmtId="0" fontId="18" fillId="2" borderId="12" xfId="0" applyFont="1" applyFill="1" applyBorder="1" applyAlignment="1">
      <alignment horizontal="right"/>
    </xf>
    <xf numFmtId="10" fontId="16" fillId="1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166" fontId="17" fillId="8" borderId="1" xfId="0" applyNumberFormat="1" applyFont="1" applyFill="1" applyBorder="1" applyAlignment="1">
      <alignment horizontal="center" vertical="center"/>
    </xf>
    <xf numFmtId="166" fontId="17" fillId="8" borderId="5" xfId="0" applyNumberFormat="1" applyFont="1" applyFill="1" applyBorder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  <xf numFmtId="10" fontId="5" fillId="2" borderId="5" xfId="0" applyNumberFormat="1" applyFont="1" applyFill="1" applyBorder="1" applyAlignment="1">
      <alignment horizontal="center" vertical="center"/>
    </xf>
    <xf numFmtId="4" fontId="5" fillId="2" borderId="1" xfId="0" applyNumberFormat="1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wrapText="1"/>
    </xf>
    <xf numFmtId="9" fontId="5" fillId="6" borderId="1" xfId="2" applyFont="1" applyFill="1" applyBorder="1" applyAlignment="1">
      <alignment horizontal="center"/>
    </xf>
    <xf numFmtId="0" fontId="5" fillId="6" borderId="1" xfId="2" applyNumberFormat="1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9AB6E200-D11D-43A3-A6E4-C952FA299AE9}"/>
    <cellStyle name="Porcentagem" xfId="2" builtinId="5"/>
    <cellStyle name="Vírgula" xfId="1" builtinId="3"/>
  </cellStyles>
  <dxfs count="9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971550</xdr:colOff>
          <xdr:row>0</xdr:row>
          <xdr:rowOff>104775</xdr:rowOff>
        </xdr:from>
        <xdr:to>
          <xdr:col>18</xdr:col>
          <xdr:colOff>657225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78</xdr:row>
          <xdr:rowOff>266700</xdr:rowOff>
        </xdr:from>
        <xdr:to>
          <xdr:col>16</xdr:col>
          <xdr:colOff>1800225</xdr:colOff>
          <xdr:row>80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17318</xdr:rowOff>
    </xdr:from>
    <xdr:to>
      <xdr:col>1</xdr:col>
      <xdr:colOff>0</xdr:colOff>
      <xdr:row>128</xdr:row>
      <xdr:rowOff>-1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7318"/>
          <a:ext cx="819150" cy="372540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3394" y="290288"/>
          <a:ext cx="8455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173181</xdr:colOff>
      <xdr:row>2</xdr:row>
      <xdr:rowOff>190499</xdr:rowOff>
    </xdr:from>
    <xdr:to>
      <xdr:col>1</xdr:col>
      <xdr:colOff>935181</xdr:colOff>
      <xdr:row>4</xdr:row>
      <xdr:rowOff>259773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1" y="609599"/>
          <a:ext cx="1581150" cy="5645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10</xdr:col>
      <xdr:colOff>1905000</xdr:colOff>
      <xdr:row>78</xdr:row>
      <xdr:rowOff>311726</xdr:rowOff>
    </xdr:from>
    <xdr:to>
      <xdr:col>11</xdr:col>
      <xdr:colOff>727364</xdr:colOff>
      <xdr:row>79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878925" y="18047276"/>
          <a:ext cx="1194089" cy="59228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  <cell r="W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  <cell r="W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  <cell r="W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  <cell r="W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  <cell r="W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  <cell r="W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  <cell r="W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  <cell r="W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  <cell r="W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  <cell r="W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  <cell r="W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  <cell r="W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  <cell r="W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  <cell r="W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  <cell r="W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  <cell r="W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  <cell r="W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  <cell r="W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  <cell r="W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  <cell r="W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  <cell r="W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  <cell r="W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  <cell r="W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  <cell r="W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  <cell r="W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  <cell r="W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  <cell r="W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  <cell r="W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  <cell r="W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  <cell r="W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  <cell r="W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  <cell r="W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  <cell r="W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  <cell r="W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  <cell r="W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  <cell r="W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  <cell r="W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  <cell r="W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  <cell r="W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  <cell r="W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  <cell r="W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  <cell r="W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  <cell r="W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  <cell r="W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  <cell r="W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  <cell r="W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  <cell r="W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  <cell r="W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  <cell r="W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  <cell r="W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  <cell r="W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  <cell r="W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  <cell r="W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  <cell r="W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  <cell r="W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  <cell r="W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  <cell r="W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  <cell r="W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  <cell r="W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  <cell r="W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  <cell r="W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  <cell r="W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  <cell r="W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  <cell r="W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  <cell r="W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  <cell r="W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  <cell r="W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  <cell r="W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  <cell r="W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  <cell r="W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  <cell r="W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  <cell r="W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  <cell r="W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  <cell r="W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  <cell r="W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  <cell r="W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  <cell r="W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  <cell r="W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  <cell r="W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  <cell r="W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  <cell r="W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  <cell r="W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  <cell r="W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  <cell r="W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  <cell r="W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  <cell r="W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  <cell r="W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  <cell r="W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  <cell r="W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  <cell r="W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  <cell r="W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  <cell r="W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  <cell r="W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  <cell r="W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  <cell r="W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  <cell r="W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  <cell r="W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  <cell r="W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  <cell r="W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  <cell r="W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  <cell r="W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  <cell r="W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  <cell r="W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  <cell r="W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  <cell r="W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  <cell r="W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  <cell r="W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  <cell r="W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  <cell r="W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  <cell r="W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  <cell r="W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  <cell r="W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  <cell r="W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  <cell r="W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  <cell r="W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  <cell r="W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  <cell r="W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  <cell r="W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  <cell r="W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  <cell r="W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  <cell r="W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  <cell r="W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  <cell r="W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  <cell r="W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  <cell r="W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  <cell r="W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  <cell r="W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  <cell r="W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  <cell r="W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  <cell r="W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  <cell r="W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  <cell r="W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  <cell r="W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  <cell r="W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  <cell r="W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  <cell r="W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  <cell r="W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  <cell r="W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  <cell r="W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  <cell r="W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  <cell r="W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  <cell r="W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  <cell r="W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  <cell r="W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  <cell r="W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  <cell r="W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  <cell r="W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  <cell r="W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  <cell r="W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  <cell r="W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  <cell r="W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  <cell r="W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  <cell r="W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  <cell r="W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  <cell r="W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  <cell r="W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  <cell r="W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  <cell r="W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  <cell r="W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  <cell r="W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  <cell r="W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  <cell r="W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  <cell r="W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  <cell r="W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  <cell r="W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  <cell r="W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  <cell r="W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  <cell r="W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  <cell r="W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  <cell r="W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  <cell r="W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  <cell r="W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  <cell r="W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  <cell r="W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  <cell r="W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  <cell r="W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  <cell r="W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  <cell r="W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  <cell r="W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  <cell r="W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  <cell r="W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  <cell r="W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  <cell r="W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  <cell r="W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  <cell r="W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  <cell r="W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  <cell r="W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  <cell r="W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  <cell r="W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  <cell r="W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  <cell r="W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  <cell r="W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  <cell r="W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  <cell r="W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  <cell r="W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  <cell r="W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  <cell r="W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  <cell r="W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  <cell r="W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  <cell r="W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  <cell r="W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  <cell r="W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  <cell r="W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  <cell r="W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  <cell r="W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  <cell r="W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  <cell r="W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  <cell r="W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  <cell r="W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  <cell r="W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  <cell r="W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  <cell r="W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  <cell r="W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  <cell r="W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  <cell r="W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  <cell r="W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  <cell r="W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  <cell r="W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  <cell r="W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  <cell r="W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  <cell r="W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  <cell r="W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  <cell r="W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  <cell r="W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  <cell r="W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  <cell r="W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  <cell r="W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  <cell r="W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  <cell r="W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  <cell r="W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  <cell r="W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  <cell r="W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  <cell r="W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  <cell r="W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  <cell r="W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  <cell r="W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  <cell r="W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  <cell r="W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  <cell r="W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  <cell r="W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  <cell r="W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  <cell r="W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  <cell r="W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  <cell r="W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  <cell r="W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  <cell r="W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  <cell r="W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  <cell r="W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  <cell r="W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  <cell r="W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  <cell r="W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  <cell r="W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  <cell r="W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  <cell r="W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  <cell r="W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  <cell r="W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  <cell r="W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  <cell r="W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  <cell r="W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  <cell r="W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  <cell r="W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  <cell r="W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  <cell r="W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  <cell r="W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  <cell r="W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  <cell r="W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  <cell r="W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  <cell r="W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  <cell r="W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  <cell r="W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  <cell r="W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  <cell r="W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  <cell r="W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  <cell r="W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  <cell r="W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  <cell r="W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  <cell r="W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  <cell r="W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  <cell r="W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  <cell r="W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  <cell r="W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  <cell r="W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  <cell r="W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  <cell r="W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  <cell r="W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  <cell r="W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  <cell r="W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  <cell r="W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  <cell r="W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  <cell r="W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  <cell r="W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  <cell r="W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  <cell r="W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  <cell r="W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  <cell r="W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  <cell r="W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  <cell r="W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  <cell r="W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  <cell r="W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  <cell r="W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  <cell r="W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  <cell r="W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  <cell r="W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  <cell r="W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  <cell r="W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  <cell r="W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  <cell r="W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  <cell r="W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  <cell r="W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  <cell r="W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  <cell r="W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  <cell r="W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  <cell r="W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  <cell r="W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  <cell r="W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  <cell r="W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  <cell r="W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  <cell r="W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  <cell r="W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  <cell r="W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  <cell r="W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  <cell r="W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  <cell r="W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  <cell r="W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  <cell r="W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  <cell r="W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  <cell r="W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  <cell r="W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  <cell r="W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  <cell r="W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  <cell r="W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  <cell r="W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  <cell r="W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  <cell r="W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  <cell r="W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  <cell r="W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  <cell r="W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  <cell r="W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  <cell r="W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  <cell r="W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  <cell r="W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  <cell r="W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  <cell r="W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  <cell r="W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  <cell r="W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  <cell r="W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  <cell r="W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  <cell r="W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  <cell r="W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  <cell r="W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  <cell r="W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  <cell r="W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  <cell r="W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  <cell r="W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  <cell r="W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  <cell r="W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  <cell r="W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  <cell r="W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  <cell r="W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  <cell r="W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  <cell r="W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  <cell r="W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  <cell r="W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  <cell r="W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  <cell r="W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  <cell r="W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  <cell r="W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  <cell r="W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  <cell r="W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  <cell r="W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  <cell r="W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  <cell r="W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  <cell r="W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  <cell r="W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  <cell r="W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  <cell r="W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  <cell r="W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  <cell r="W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  <cell r="W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  <cell r="W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  <cell r="W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  <cell r="W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  <cell r="W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  <cell r="W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  <cell r="W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  <cell r="W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  <cell r="W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  <cell r="W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  <cell r="W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  <cell r="W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  <cell r="W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  <cell r="W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  <cell r="W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  <cell r="W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  <cell r="W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  <cell r="W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  <cell r="W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  <cell r="W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  <cell r="W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  <cell r="W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  <cell r="W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  <cell r="W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  <cell r="W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  <cell r="W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  <cell r="W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  <cell r="W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  <cell r="W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  <cell r="W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  <cell r="W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  <cell r="W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  <cell r="W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  <cell r="W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  <cell r="W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  <cell r="W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  <cell r="W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  <cell r="W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  <cell r="W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  <cell r="W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  <cell r="W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  <cell r="W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  <cell r="W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  <cell r="W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  <cell r="W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  <cell r="W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  <cell r="W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  <cell r="W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  <cell r="W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  <cell r="W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  <cell r="W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  <cell r="W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  <cell r="W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  <cell r="W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  <cell r="W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  <cell r="W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  <cell r="W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  <cell r="W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  <cell r="W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  <cell r="W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  <cell r="W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  <cell r="W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  <cell r="W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  <cell r="W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  <cell r="W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  <cell r="W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  <cell r="W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  <cell r="W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  <cell r="W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  <cell r="W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  <cell r="W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  <cell r="W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  <cell r="W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  <cell r="W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  <cell r="W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  <cell r="W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  <cell r="W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  <cell r="W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  <cell r="W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  <cell r="W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  <cell r="W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  <cell r="W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  <cell r="W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  <cell r="W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  <cell r="W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  <cell r="W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  <cell r="W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  <cell r="W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  <cell r="W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  <cell r="W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  <cell r="W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  <cell r="W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  <cell r="W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  <cell r="W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  <cell r="W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  <cell r="W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  <cell r="W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  <cell r="W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  <cell r="W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  <cell r="W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  <cell r="W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  <cell r="W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  <cell r="W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  <cell r="W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  <cell r="W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  <cell r="W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  <cell r="W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  <cell r="W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  <cell r="W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  <cell r="W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  <cell r="W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  <cell r="W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  <cell r="W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  <cell r="W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  <cell r="W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  <cell r="W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  <cell r="W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  <cell r="W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  <cell r="W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  <cell r="W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  <cell r="W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  <cell r="W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  <cell r="W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  <cell r="W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  <cell r="W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  <cell r="W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  <cell r="W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  <cell r="W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  <cell r="W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  <cell r="W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  <cell r="W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  <cell r="W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  <cell r="W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  <cell r="W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  <cell r="W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  <cell r="W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  <cell r="W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  <cell r="W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  <cell r="W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  <cell r="W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  <cell r="W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  <cell r="W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  <cell r="W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  <cell r="W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  <cell r="W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  <cell r="W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  <cell r="W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  <cell r="W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  <cell r="W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  <cell r="W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  <cell r="W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  <cell r="W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  <cell r="W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  <cell r="W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  <cell r="W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  <cell r="W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  <cell r="W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  <cell r="W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  <cell r="W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  <cell r="W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  <cell r="W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  <cell r="W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  <cell r="W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  <cell r="W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  <cell r="W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  <cell r="W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  <cell r="W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  <cell r="W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  <cell r="W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  <cell r="W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  <cell r="W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  <cell r="W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  <cell r="W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  <cell r="W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  <cell r="W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  <cell r="W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  <cell r="W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  <cell r="W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  <cell r="W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  <cell r="W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  <cell r="W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  <cell r="W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  <cell r="W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  <cell r="W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  <cell r="W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  <cell r="W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  <cell r="W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  <cell r="W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  <cell r="W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  <cell r="W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  <cell r="W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  <cell r="W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  <cell r="W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  <cell r="W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  <cell r="W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  <cell r="W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  <cell r="W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  <cell r="W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  <cell r="W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  <cell r="W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  <cell r="W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  <cell r="W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  <cell r="W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  <cell r="W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  <cell r="W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  <cell r="W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  <cell r="W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  <cell r="W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  <cell r="W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  <cell r="W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  <cell r="W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  <cell r="W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  <cell r="W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  <cell r="W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  <cell r="W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  <cell r="W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  <cell r="W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  <cell r="W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  <cell r="W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  <cell r="W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  <cell r="W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  <cell r="W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  <cell r="W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  <cell r="W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  <cell r="W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  <cell r="W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  <cell r="W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  <cell r="W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  <cell r="W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  <cell r="W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  <cell r="W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  <cell r="W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  <cell r="W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  <cell r="W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  <cell r="W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  <cell r="W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  <cell r="W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  <cell r="W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  <cell r="W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  <cell r="W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  <cell r="W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  <cell r="W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  <cell r="W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  <cell r="W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  <cell r="W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  <cell r="W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  <cell r="W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  <cell r="W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  <cell r="W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  <cell r="W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  <cell r="W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  <cell r="W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  <cell r="W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  <cell r="W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  <cell r="W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  <cell r="W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  <cell r="W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  <cell r="W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  <cell r="W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  <cell r="W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  <cell r="W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  <cell r="W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  <cell r="W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  <cell r="W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  <cell r="W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  <cell r="W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  <cell r="W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  <cell r="W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  <cell r="W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  <cell r="W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  <cell r="W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  <cell r="W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  <cell r="W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  <cell r="W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  <cell r="W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  <cell r="W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  <cell r="W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  <cell r="W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  <cell r="W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  <cell r="W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  <cell r="W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  <cell r="W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  <cell r="W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  <cell r="W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  <cell r="W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  <cell r="W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  <cell r="W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  <cell r="W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  <cell r="W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  <cell r="W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  <cell r="W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  <cell r="W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  <cell r="W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  <cell r="W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  <cell r="W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  <cell r="W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  <cell r="W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  <cell r="W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  <cell r="W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  <cell r="W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  <cell r="W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  <cell r="W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  <cell r="W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  <cell r="W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  <cell r="W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  <cell r="W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  <cell r="W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  <cell r="W690" t="e">
            <v>#REF!</v>
          </cell>
        </row>
      </sheetData>
      <sheetData sheetId="5">
        <row r="8">
          <cell r="W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193"/>
  <sheetViews>
    <sheetView tabSelected="1" zoomScale="55" zoomScaleNormal="55" zoomScaleSheetLayoutView="55" workbookViewId="0">
      <selection activeCell="B1" sqref="B1"/>
    </sheetView>
  </sheetViews>
  <sheetFormatPr defaultColWidth="12.28515625" defaultRowHeight="15.6" customHeight="1" outlineLevelRow="1"/>
  <cols>
    <col min="1" max="1" width="12.28515625" style="6"/>
    <col min="2" max="2" width="14.85546875" style="6" customWidth="1"/>
    <col min="3" max="3" width="3" style="6" customWidth="1"/>
    <col min="4" max="4" width="36.28515625" style="26" customWidth="1"/>
    <col min="5" max="5" width="41.85546875" style="26" customWidth="1"/>
    <col min="6" max="6" width="30.140625" style="26" customWidth="1"/>
    <col min="7" max="7" width="37.42578125" style="26" customWidth="1"/>
    <col min="8" max="8" width="40.7109375" style="26" customWidth="1"/>
    <col min="9" max="9" width="42.42578125" style="26" customWidth="1"/>
    <col min="10" max="10" width="40.5703125" style="26" customWidth="1"/>
    <col min="11" max="11" width="35.5703125" style="6" customWidth="1"/>
    <col min="12" max="12" width="38.5703125" style="7" bestFit="1" customWidth="1"/>
    <col min="13" max="13" width="36.5703125" style="228" customWidth="1"/>
    <col min="14" max="14" width="34.7109375" style="228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2.85546875" style="6" bestFit="1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9.85546875" style="6" customWidth="1"/>
    <col min="23" max="23" width="35.5703125" style="6" bestFit="1" customWidth="1"/>
    <col min="24" max="24" width="29.42578125" style="6" customWidth="1"/>
    <col min="25" max="25" width="11.7109375" style="6" customWidth="1"/>
    <col min="26" max="26" width="0.140625" style="6" customWidth="1"/>
    <col min="27" max="27" width="5.140625" style="6" customWidth="1"/>
    <col min="28" max="28" width="15" style="6" customWidth="1"/>
    <col min="29" max="29" width="0.5703125" style="6" hidden="1" customWidth="1"/>
    <col min="30" max="30" width="52.5703125" style="6" hidden="1" customWidth="1"/>
    <col min="31" max="31" width="23.7109375" style="6" hidden="1" customWidth="1"/>
    <col min="32" max="33" width="9" style="6" hidden="1" customWidth="1"/>
    <col min="34" max="34" width="5.28515625" style="6" hidden="1" customWidth="1"/>
    <col min="35" max="35" width="18.140625" style="6" hidden="1" customWidth="1"/>
    <col min="36" max="36" width="12.42578125" style="6" customWidth="1"/>
    <col min="37" max="37" width="14.42578125" style="6" customWidth="1"/>
    <col min="38" max="39" width="9.28515625" style="6" hidden="1" customWidth="1"/>
    <col min="40" max="257" width="11.85546875" style="6" customWidth="1"/>
    <col min="258" max="16384" width="12.28515625" style="6"/>
  </cols>
  <sheetData>
    <row r="1" spans="1:39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9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9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9" ht="22.5" customHeight="1">
      <c r="A4" s="1"/>
      <c r="B4" s="1"/>
      <c r="C4" s="247" t="s">
        <v>0</v>
      </c>
      <c r="D4" s="247"/>
      <c r="E4" s="247"/>
      <c r="F4" s="247"/>
      <c r="G4" s="247"/>
      <c r="H4" s="247"/>
      <c r="I4" s="247"/>
      <c r="J4" s="247"/>
      <c r="K4" s="247"/>
      <c r="L4" s="247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9" ht="27" customHeight="1">
      <c r="A5" s="1"/>
      <c r="B5" s="1"/>
      <c r="C5" s="247" t="s">
        <v>2</v>
      </c>
      <c r="D5" s="247"/>
      <c r="E5" s="247"/>
      <c r="F5" s="247"/>
      <c r="G5" s="247"/>
      <c r="H5" s="247"/>
      <c r="I5" s="247"/>
      <c r="J5" s="247"/>
      <c r="K5" s="247"/>
      <c r="L5" s="247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9" ht="47.2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13" t="s">
        <v>3</v>
      </c>
      <c r="R6" s="291" t="s">
        <v>4</v>
      </c>
      <c r="S6" s="292"/>
      <c r="T6" s="5"/>
      <c r="U6" s="5"/>
      <c r="V6" s="5"/>
      <c r="W6" s="5"/>
      <c r="X6" s="5"/>
      <c r="Y6" s="5"/>
      <c r="AI6" s="7"/>
    </row>
    <row r="7" spans="1:39" ht="27" customHeight="1">
      <c r="A7" s="1"/>
      <c r="B7" s="1"/>
      <c r="C7" s="14"/>
      <c r="D7" s="15" t="s">
        <v>5</v>
      </c>
      <c r="E7" s="15" t="str">
        <f>[1]MENU!C8</f>
        <v>0009297-97.2016.8.18.0000</v>
      </c>
      <c r="F7" s="16"/>
      <c r="G7" s="16"/>
      <c r="H7" s="16"/>
      <c r="I7" s="17"/>
      <c r="J7" s="16"/>
      <c r="K7" s="14"/>
      <c r="L7" s="3"/>
      <c r="M7" s="4"/>
      <c r="N7" s="4"/>
      <c r="O7" s="1"/>
      <c r="P7" s="5"/>
      <c r="Q7" s="18" t="s">
        <v>6</v>
      </c>
      <c r="R7" s="290" t="s">
        <v>4</v>
      </c>
      <c r="S7" s="290"/>
      <c r="T7" s="5"/>
      <c r="U7" s="5"/>
      <c r="V7" s="5"/>
      <c r="W7" s="5"/>
      <c r="X7" s="5"/>
      <c r="Y7" s="5"/>
      <c r="AI7" s="7"/>
    </row>
    <row r="8" spans="1:39" ht="23.25">
      <c r="A8" s="1"/>
      <c r="B8" s="1"/>
      <c r="C8" s="14"/>
      <c r="D8" s="15" t="s">
        <v>7</v>
      </c>
      <c r="E8" s="15">
        <f>[1]MENU!C10</f>
        <v>2018</v>
      </c>
      <c r="F8" s="16"/>
      <c r="G8" s="16"/>
      <c r="H8" s="16"/>
      <c r="I8" s="17"/>
      <c r="J8" s="16"/>
      <c r="K8" s="14"/>
      <c r="L8" s="3"/>
      <c r="M8" s="4"/>
      <c r="N8" s="4"/>
      <c r="O8" s="1"/>
      <c r="P8" s="5"/>
      <c r="Q8" s="5"/>
      <c r="R8" s="5"/>
      <c r="S8" s="5"/>
      <c r="T8" s="5"/>
      <c r="U8" s="5"/>
      <c r="V8" s="5"/>
      <c r="W8" s="5"/>
      <c r="X8" s="5"/>
      <c r="Y8" s="5"/>
      <c r="AI8" s="7"/>
    </row>
    <row r="9" spans="1:39" ht="48.75" customHeight="1">
      <c r="A9" s="1"/>
      <c r="B9" s="1"/>
      <c r="C9" s="14"/>
      <c r="D9" s="15" t="s">
        <v>8</v>
      </c>
      <c r="E9" s="19">
        <f>[1]MENU!C12</f>
        <v>42607</v>
      </c>
      <c r="F9" s="16"/>
      <c r="G9" s="16"/>
      <c r="H9" s="20"/>
      <c r="I9" s="21" t="s">
        <v>9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18" t="s">
        <v>10</v>
      </c>
      <c r="R9" s="290" t="s">
        <v>11</v>
      </c>
      <c r="S9" s="290"/>
      <c r="T9" s="5"/>
      <c r="U9" s="18" t="s">
        <v>12</v>
      </c>
      <c r="V9" s="290" t="s">
        <v>11</v>
      </c>
      <c r="W9" s="290"/>
      <c r="X9" s="5"/>
      <c r="Y9" s="5"/>
      <c r="AI9" s="7"/>
    </row>
    <row r="10" spans="1:39" ht="46.5">
      <c r="A10" s="1"/>
      <c r="B10" s="1"/>
      <c r="C10" s="14"/>
      <c r="D10" s="15" t="s">
        <v>13</v>
      </c>
      <c r="E10" s="24" t="str">
        <f>[1]MENU!C14</f>
        <v>MARIA FATIMA DE MACEDO SILVA LOPES</v>
      </c>
      <c r="F10" s="16"/>
      <c r="G10" s="16"/>
      <c r="H10" s="16"/>
      <c r="I10" s="16"/>
      <c r="J10" s="16"/>
      <c r="K10" s="11"/>
      <c r="L10" s="3"/>
      <c r="M10" s="4"/>
      <c r="N10" s="4"/>
      <c r="O10" s="1"/>
      <c r="P10" s="5"/>
      <c r="Q10" s="13" t="s">
        <v>14</v>
      </c>
      <c r="R10" s="288">
        <v>0</v>
      </c>
      <c r="S10" s="288"/>
      <c r="T10" s="5"/>
      <c r="U10" s="13" t="s">
        <v>15</v>
      </c>
      <c r="V10" s="288">
        <v>0</v>
      </c>
      <c r="W10" s="288"/>
      <c r="X10" s="5"/>
      <c r="Y10" s="5"/>
      <c r="AC10" s="25"/>
      <c r="AD10" s="25"/>
      <c r="AE10" s="25"/>
      <c r="AF10" s="25"/>
      <c r="AG10" s="25"/>
      <c r="AI10" s="7"/>
    </row>
    <row r="11" spans="1:39" ht="27" customHeight="1">
      <c r="A11" s="1"/>
      <c r="B11" s="1"/>
      <c r="C11" s="14"/>
      <c r="D11" s="15" t="s">
        <v>16</v>
      </c>
      <c r="E11" s="15" t="str">
        <f>[1]MENU!C16</f>
        <v>ESTADO DO PIAUÍ</v>
      </c>
      <c r="F11" s="16"/>
      <c r="G11" s="16"/>
      <c r="H11" s="16"/>
      <c r="I11" s="16"/>
      <c r="J11" s="16"/>
      <c r="K11" s="11"/>
      <c r="L11" s="3"/>
      <c r="M11" s="4"/>
      <c r="N11" s="4"/>
      <c r="O11" s="1"/>
      <c r="P11" s="5"/>
      <c r="Q11" s="18" t="s">
        <v>17</v>
      </c>
      <c r="R11" s="289" t="s">
        <v>18</v>
      </c>
      <c r="S11" s="289"/>
      <c r="T11" s="5"/>
      <c r="U11" s="18" t="s">
        <v>17</v>
      </c>
      <c r="V11" s="289" t="s">
        <v>19</v>
      </c>
      <c r="W11" s="289"/>
      <c r="X11" s="5"/>
      <c r="Y11" s="5"/>
      <c r="AC11" s="25"/>
      <c r="AD11" s="25"/>
      <c r="AE11" s="25"/>
      <c r="AF11" s="25"/>
      <c r="AG11" s="25"/>
      <c r="AI11" s="7"/>
    </row>
    <row r="12" spans="1:39" ht="27" customHeight="1">
      <c r="A12" s="1"/>
      <c r="B12" s="1"/>
      <c r="C12" s="14"/>
      <c r="D12" s="16"/>
      <c r="E12" s="16"/>
      <c r="F12" s="16"/>
      <c r="G12" s="16"/>
      <c r="H12" s="16"/>
      <c r="I12" s="16"/>
      <c r="J12" s="16"/>
      <c r="K12" s="11"/>
      <c r="L12" s="3"/>
      <c r="M12" s="4"/>
      <c r="N12" s="4"/>
      <c r="O12" s="1"/>
      <c r="P12" s="5"/>
      <c r="Q12" s="18" t="s">
        <v>20</v>
      </c>
      <c r="R12" s="290" t="s">
        <v>21</v>
      </c>
      <c r="S12" s="290"/>
      <c r="T12" s="5"/>
      <c r="U12" s="18" t="s">
        <v>20</v>
      </c>
      <c r="V12" s="290" t="s">
        <v>22</v>
      </c>
      <c r="W12" s="290"/>
      <c r="X12" s="5"/>
      <c r="Y12" s="5"/>
      <c r="AC12" s="25"/>
      <c r="AD12" s="25"/>
      <c r="AE12" s="25"/>
      <c r="AF12" s="25"/>
      <c r="AG12" s="25"/>
      <c r="AI12" s="7"/>
      <c r="AL12" s="281" t="s">
        <v>23</v>
      </c>
      <c r="AM12" s="281"/>
    </row>
    <row r="13" spans="1:39" ht="27.75" customHeight="1">
      <c r="A13" s="1"/>
      <c r="B13" s="1"/>
      <c r="C13" s="247" t="s">
        <v>24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7"/>
      <c r="AI13" s="7"/>
      <c r="AL13" s="28" t="s">
        <v>25</v>
      </c>
      <c r="AM13" s="28">
        <v>1</v>
      </c>
    </row>
    <row r="14" spans="1:39" ht="87.75" customHeight="1">
      <c r="A14" s="1"/>
      <c r="B14" s="1"/>
      <c r="C14" s="10"/>
      <c r="D14" s="29" t="s">
        <v>26</v>
      </c>
      <c r="E14" s="29" t="str">
        <f>"Valor Devido Atualizado com juros até " &amp; PROPER(TEXT([1]MENU!AD18, "mmmm")) &amp; "/" &amp; [1]MENU!AE18</f>
        <v>Valor Devido Atualizado com juros até Novembro/2014</v>
      </c>
      <c r="F14" s="29" t="s">
        <v>27</v>
      </c>
      <c r="G14" s="29" t="s">
        <v>28</v>
      </c>
      <c r="H14" s="29" t="s">
        <v>29</v>
      </c>
      <c r="I14" s="29" t="s">
        <v>30</v>
      </c>
      <c r="J14" s="29" t="s">
        <v>31</v>
      </c>
      <c r="K14" s="29" t="s">
        <v>32</v>
      </c>
      <c r="L14" s="29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E14" s="30"/>
      <c r="AF14" s="30"/>
      <c r="AI14" s="7"/>
      <c r="AL14" s="28" t="s">
        <v>33</v>
      </c>
      <c r="AM14" s="28">
        <v>2</v>
      </c>
    </row>
    <row r="15" spans="1:39" ht="36.950000000000003" customHeight="1">
      <c r="A15" s="1"/>
      <c r="B15" s="1"/>
      <c r="C15" s="10"/>
      <c r="D15" s="31" t="s">
        <v>34</v>
      </c>
      <c r="E15" s="32">
        <f>[1]MENU!C20</f>
        <v>21212112</v>
      </c>
      <c r="F15" s="33">
        <f>IFERROR(VLOOKUP([1]MENU!$AC$19,[1]GILBERTO!$A:$BK,[1]MENU!$AF$18), 1)</f>
        <v>1.5145731</v>
      </c>
      <c r="G15" s="32">
        <f>ROUND(E15*F15,2)</f>
        <v>32127294.23</v>
      </c>
      <c r="H15" s="26" t="s">
        <v>35</v>
      </c>
      <c r="I15" s="32">
        <v>0</v>
      </c>
      <c r="J15" s="32">
        <f>ROUND(G15+I15,2)</f>
        <v>32127294.23</v>
      </c>
      <c r="K15" s="34">
        <v>1</v>
      </c>
      <c r="L15" s="32">
        <f>ROUND(J15*K15,2)</f>
        <v>32127294.23</v>
      </c>
      <c r="M15" s="4"/>
      <c r="N15" s="4"/>
      <c r="O15" s="1"/>
      <c r="P15" s="5"/>
      <c r="Q15" s="5"/>
      <c r="R15" s="282" t="s">
        <v>36</v>
      </c>
      <c r="S15" s="282"/>
      <c r="T15" s="282"/>
      <c r="U15" s="282"/>
      <c r="V15" s="283"/>
      <c r="W15" s="282"/>
      <c r="X15" s="5"/>
      <c r="Y15" s="5"/>
      <c r="AE15" s="30"/>
      <c r="AL15" s="28" t="s">
        <v>37</v>
      </c>
      <c r="AM15" s="28">
        <v>3</v>
      </c>
    </row>
    <row r="16" spans="1:39" ht="32.65" customHeight="1">
      <c r="A16" s="1"/>
      <c r="B16" s="1"/>
      <c r="C16" s="10"/>
      <c r="D16" s="31" t="s">
        <v>38</v>
      </c>
      <c r="E16" s="32">
        <f>[1]MENU!C22</f>
        <v>28888.21</v>
      </c>
      <c r="F16" s="33">
        <f>IFERROR(VLOOKUP([1]MENU!$AC$19,[1]GILBERTO!$A:$BK,[1]MENU!$AF$18), 1)</f>
        <v>1.5145731</v>
      </c>
      <c r="G16" s="32">
        <f>ROUND(E16*F16,2)</f>
        <v>43753.31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2">
        <f>ROUND(G15*H16,2)</f>
        <v>7943666.2599999998</v>
      </c>
      <c r="J16" s="32">
        <f>ROUND(G16+I16,2)</f>
        <v>7987419.5700000003</v>
      </c>
      <c r="K16" s="34">
        <v>1</v>
      </c>
      <c r="L16" s="32">
        <f>ROUND(J16*K16,2)</f>
        <v>7987419.5700000003</v>
      </c>
      <c r="M16" s="4"/>
      <c r="N16" s="4"/>
      <c r="O16" s="1"/>
      <c r="P16" s="5"/>
      <c r="Q16" s="5"/>
      <c r="R16" s="36">
        <f>ROUND(E15,2)</f>
        <v>21212112</v>
      </c>
      <c r="S16" s="37">
        <f>ROUND(G15,2)</f>
        <v>32127294.23</v>
      </c>
      <c r="T16" s="37">
        <f>ROUND(I15,2)</f>
        <v>0</v>
      </c>
      <c r="U16" s="37">
        <f>ROUND(J15,2)</f>
        <v>32127294.23</v>
      </c>
      <c r="V16" s="38">
        <f>ROUND(L15,2)</f>
        <v>32127294.23</v>
      </c>
      <c r="W16" s="39">
        <f>ROUND(L17,2)</f>
        <v>40114713.799999997</v>
      </c>
      <c r="X16" s="5"/>
      <c r="Y16" s="5"/>
      <c r="AL16" s="28" t="s">
        <v>39</v>
      </c>
      <c r="AM16" s="28">
        <v>4</v>
      </c>
    </row>
    <row r="17" spans="1:39" ht="43.15" customHeight="1">
      <c r="A17" s="1"/>
      <c r="B17" s="1"/>
      <c r="C17" s="10"/>
      <c r="D17" s="40" t="s">
        <v>40</v>
      </c>
      <c r="E17" s="41">
        <f>SUM(E15:E16)</f>
        <v>21241000.210000001</v>
      </c>
      <c r="F17" s="42" t="s">
        <v>35</v>
      </c>
      <c r="G17" s="41">
        <f>SUM(G15:G16)</f>
        <v>32171047.539999999</v>
      </c>
      <c r="H17" s="43" t="s">
        <v>35</v>
      </c>
      <c r="I17" s="41">
        <f>SUM(I15:I16)</f>
        <v>7943666.2599999998</v>
      </c>
      <c r="J17" s="41">
        <f>SUM(J15:J16)</f>
        <v>40114713.799999997</v>
      </c>
      <c r="K17" s="42" t="s">
        <v>35</v>
      </c>
      <c r="L17" s="41">
        <f>SUM(L15:L16)</f>
        <v>40114713.799999997</v>
      </c>
      <c r="M17" s="4"/>
      <c r="N17" s="4"/>
      <c r="O17" s="1"/>
      <c r="P17" s="5"/>
      <c r="Q17" s="44"/>
      <c r="R17" s="36">
        <f>ROUND(E16,2)</f>
        <v>28888.21</v>
      </c>
      <c r="S17" s="37">
        <f>ROUND(G16,2)</f>
        <v>43753.31</v>
      </c>
      <c r="T17" s="37">
        <f>ROUND(I16,2)</f>
        <v>7943666.2599999998</v>
      </c>
      <c r="U17" s="37">
        <f>ROUND(J16,2)</f>
        <v>7987419.5700000003</v>
      </c>
      <c r="V17" s="37">
        <f>ROUND(L16,2)</f>
        <v>7987419.5700000003</v>
      </c>
      <c r="W17" s="39">
        <f ca="1">ROUND(L18,2)</f>
        <v>14521526.4</v>
      </c>
      <c r="X17" s="5"/>
      <c r="Y17" s="5"/>
      <c r="AL17" s="28" t="s">
        <v>41</v>
      </c>
      <c r="AM17" s="28">
        <v>5</v>
      </c>
    </row>
    <row r="18" spans="1:39" ht="33" customHeight="1">
      <c r="A18" s="1"/>
      <c r="B18" s="1"/>
      <c r="C18" s="10"/>
      <c r="D18" s="45"/>
      <c r="E18" s="45"/>
      <c r="F18" s="45"/>
      <c r="G18" s="45"/>
      <c r="H18" s="45"/>
      <c r="I18" s="45"/>
      <c r="J18" s="46" t="s">
        <v>42</v>
      </c>
      <c r="K18" s="284">
        <f ca="1">IFERROR('[1]Selic e IPCA'!$W$8%,0)</f>
        <v>0.36200000000000004</v>
      </c>
      <c r="L18" s="286">
        <f ca="1">ROUND(L17*K18,2)</f>
        <v>14521526.4</v>
      </c>
      <c r="M18" s="4"/>
      <c r="N18" s="4"/>
      <c r="O18" s="1"/>
      <c r="P18" s="5"/>
      <c r="Q18" s="44"/>
      <c r="R18" s="36">
        <f t="shared" ref="R18:W18" si="0">SUM(R16:R17)</f>
        <v>21241000.210000001</v>
      </c>
      <c r="S18" s="37">
        <f t="shared" si="0"/>
        <v>32171047.539999999</v>
      </c>
      <c r="T18" s="37">
        <f t="shared" si="0"/>
        <v>7943666.2599999998</v>
      </c>
      <c r="U18" s="37">
        <f t="shared" si="0"/>
        <v>40114713.799999997</v>
      </c>
      <c r="V18" s="47">
        <f t="shared" si="0"/>
        <v>40114713.799999997</v>
      </c>
      <c r="W18" s="39">
        <f t="shared" ca="1" si="0"/>
        <v>54636240.199999996</v>
      </c>
      <c r="X18" s="5"/>
      <c r="Y18" s="5"/>
      <c r="AL18" s="28" t="s">
        <v>43</v>
      </c>
      <c r="AM18" s="28">
        <v>6</v>
      </c>
    </row>
    <row r="19" spans="1:39" ht="27" customHeight="1">
      <c r="A19" s="1"/>
      <c r="B19" s="1"/>
      <c r="C19" s="10"/>
      <c r="D19" s="45"/>
      <c r="E19" s="45"/>
      <c r="F19" s="45"/>
      <c r="G19" s="45"/>
      <c r="H19" s="45"/>
      <c r="I19" s="45"/>
      <c r="J19" s="48">
        <v>44531</v>
      </c>
      <c r="K19" s="284"/>
      <c r="L19" s="286"/>
      <c r="M19" s="4"/>
      <c r="N19" s="4"/>
      <c r="O19" s="1"/>
      <c r="P19" s="5"/>
      <c r="Q19" s="44"/>
      <c r="R19" s="49">
        <f>R18-E17</f>
        <v>0</v>
      </c>
      <c r="S19" s="50">
        <f>S18-G17</f>
        <v>0</v>
      </c>
      <c r="T19" s="50">
        <f>T18-I17</f>
        <v>0</v>
      </c>
      <c r="U19" s="50">
        <f>U18-J17</f>
        <v>0</v>
      </c>
      <c r="V19" s="51">
        <f>V18-L17</f>
        <v>0</v>
      </c>
      <c r="W19" s="52">
        <f ca="1">W18-L21</f>
        <v>0</v>
      </c>
      <c r="X19" s="5"/>
      <c r="Y19" s="5"/>
      <c r="AL19" s="28" t="s">
        <v>44</v>
      </c>
      <c r="AM19" s="28">
        <v>7</v>
      </c>
    </row>
    <row r="20" spans="1:39" ht="21" customHeight="1">
      <c r="A20" s="1"/>
      <c r="B20" s="1"/>
      <c r="C20" s="10"/>
      <c r="D20" s="16"/>
      <c r="E20" s="16"/>
      <c r="F20" s="16"/>
      <c r="G20" s="16"/>
      <c r="H20" s="16"/>
      <c r="I20" s="45"/>
      <c r="J20" s="48">
        <f ca="1">DATE(YEAR(TODAY()), MONTH(1 &amp; TEXT(TODAY(), "mmmm")), 1)</f>
        <v>45689</v>
      </c>
      <c r="K20" s="285"/>
      <c r="L20" s="286"/>
      <c r="M20" s="4"/>
      <c r="N20" s="4"/>
      <c r="O20" s="1"/>
      <c r="P20" s="5"/>
      <c r="Q20" s="44"/>
      <c r="R20" s="53"/>
      <c r="S20" s="53"/>
      <c r="T20" s="53"/>
      <c r="U20" s="53"/>
      <c r="V20" s="53"/>
      <c r="W20" s="53"/>
      <c r="X20" s="5"/>
      <c r="Y20" s="5"/>
      <c r="AL20" s="28" t="s">
        <v>45</v>
      </c>
      <c r="AM20" s="28">
        <v>8</v>
      </c>
    </row>
    <row r="21" spans="1:39" ht="51.75" customHeight="1">
      <c r="A21" s="1"/>
      <c r="B21" s="1"/>
      <c r="C21" s="10"/>
      <c r="D21" s="16"/>
      <c r="E21" s="16"/>
      <c r="F21" s="16"/>
      <c r="G21" s="16"/>
      <c r="H21" s="16"/>
      <c r="I21" s="16"/>
      <c r="J21" s="287" t="str">
        <f ca="1">"Valor Total Devido em "&amp;UPPER(TEXT(TODAY(),"mmmm"))&amp;"/"&amp;YEAR(TODAY())</f>
        <v>Valor Total Devido em FEVEREIRO/2025</v>
      </c>
      <c r="K21" s="287"/>
      <c r="L21" s="54">
        <f ca="1">L17+L18</f>
        <v>54636240.199999996</v>
      </c>
      <c r="M21" s="4"/>
      <c r="N21" s="4"/>
      <c r="O21" s="1"/>
      <c r="P21" s="5"/>
      <c r="Q21" s="44"/>
      <c r="R21" s="53"/>
      <c r="S21" s="53"/>
      <c r="T21" s="53"/>
      <c r="U21" s="53"/>
      <c r="V21" s="53"/>
      <c r="W21" s="53"/>
      <c r="X21" s="5"/>
      <c r="Y21" s="5"/>
      <c r="AE21" s="6" t="s">
        <v>46</v>
      </c>
      <c r="AL21" s="28" t="s">
        <v>47</v>
      </c>
      <c r="AM21" s="28">
        <v>9</v>
      </c>
    </row>
    <row r="22" spans="1:39" ht="72" customHeight="1">
      <c r="A22" s="1"/>
      <c r="B22" s="1"/>
      <c r="C22" s="10"/>
      <c r="D22" s="55" t="s">
        <v>48</v>
      </c>
      <c r="E22" s="16"/>
      <c r="F22" s="16"/>
      <c r="G22" s="16"/>
      <c r="H22" s="16"/>
      <c r="I22" s="45"/>
      <c r="J22" s="12"/>
      <c r="K22" s="12"/>
      <c r="L22" s="12"/>
      <c r="M22" s="4"/>
      <c r="N22" s="4"/>
      <c r="O22" s="1"/>
      <c r="P22" s="5"/>
      <c r="Q22" s="44"/>
      <c r="R22" s="274" t="str">
        <f ca="1">"DIVISÃO "&amp;UPPER(TEXT(TODAY(),"mmmm"))&amp;"/"&amp;YEAR(TODAY())&amp;""</f>
        <v>DIVISÃO FEVEREIRO/2025</v>
      </c>
      <c r="S22" s="274"/>
      <c r="T22" s="274"/>
      <c r="U22" s="274"/>
      <c r="V22" s="274"/>
      <c r="W22" s="274"/>
      <c r="X22" s="5"/>
      <c r="Y22" s="5"/>
      <c r="AC22" s="6" t="str">
        <f>INDEX([1]GILBERTO!A3:A14,MATCH(AD23,[1]GILBERTO!$B$3:$B$14,0))</f>
        <v>d</v>
      </c>
      <c r="AD22" s="6" t="str">
        <f>LEFT($E$23, SEARCH("/", $E$23) - 1)</f>
        <v>Valor Devido Atualizado até abril</v>
      </c>
      <c r="AE22" s="6" t="str">
        <f>RIGHT($E$23,LEN($E$23)-FIND("/",$E$23))</f>
        <v>2021</v>
      </c>
      <c r="AG22" s="6">
        <f>HLOOKUP(AF23,[1]GILBERTO!$D$1:$BK$2,2,0)</f>
        <v>61</v>
      </c>
      <c r="AL22" s="28" t="s">
        <v>49</v>
      </c>
      <c r="AM22" s="28">
        <v>10</v>
      </c>
    </row>
    <row r="23" spans="1:39" ht="48" customHeight="1">
      <c r="A23" s="1"/>
      <c r="B23" s="1"/>
      <c r="C23" s="10"/>
      <c r="D23" s="29" t="s">
        <v>50</v>
      </c>
      <c r="E23" s="29" t="s">
        <v>51</v>
      </c>
      <c r="F23" s="29" t="s">
        <v>27</v>
      </c>
      <c r="G23" s="29" t="s">
        <v>28</v>
      </c>
      <c r="H23" s="29" t="s">
        <v>52</v>
      </c>
      <c r="I23" s="29" t="str">
        <f ca="1">IF(OR(E8=2018,E8=2019,E8=2020, E8=2021, E8=2022, E8=2025), "Valor Atualizado com Juros "&amp;UPPER(TEXT(TODAY(),"mmmm"))&amp;"/"&amp;YEAR(TODAY()), IF(E8=2023, "Valor Atualizado com Juros Abril/2022", "Valor Atualizado com Juros Abril/2023"))</f>
        <v>Valor Atualizado com Juros FEVEREIRO/2025</v>
      </c>
      <c r="J23" s="12"/>
      <c r="K23" s="12"/>
      <c r="L23" s="12"/>
      <c r="M23" s="4"/>
      <c r="N23" s="4"/>
      <c r="O23" s="1"/>
      <c r="P23" s="5"/>
      <c r="Q23" s="44"/>
      <c r="R23" s="275" t="s">
        <v>53</v>
      </c>
      <c r="S23" s="276"/>
      <c r="T23" s="276" t="s">
        <v>54</v>
      </c>
      <c r="U23" s="276"/>
      <c r="V23" s="276" t="s">
        <v>55</v>
      </c>
      <c r="W23" s="277"/>
      <c r="X23" s="5"/>
      <c r="Y23" s="5"/>
      <c r="AC23" s="6" t="str">
        <f>TEXT(AC22,"")</f>
        <v>d</v>
      </c>
      <c r="AD23" s="6" t="str">
        <f>MID($AD$22, SEARCH(" até ", $AD$22) + 5, SEARCH(" até ", $AD$22) + 11)</f>
        <v>abril</v>
      </c>
      <c r="AF23" s="6">
        <f>VALUE($AE$22)</f>
        <v>2021</v>
      </c>
      <c r="AL23" s="28" t="s">
        <v>56</v>
      </c>
      <c r="AM23" s="28">
        <v>11</v>
      </c>
    </row>
    <row r="24" spans="1:39" ht="48" customHeight="1">
      <c r="A24" s="1"/>
      <c r="B24" s="1"/>
      <c r="C24" s="10"/>
      <c r="D24" s="31" t="s">
        <v>34</v>
      </c>
      <c r="E24" s="32">
        <v>0</v>
      </c>
      <c r="F24" s="56">
        <f>IFERROR(VLOOKUP($AC$23,[1]GILBERTO!$A:$BK,$AG$22), 1)</f>
        <v>1.0720461999999999</v>
      </c>
      <c r="G24" s="32">
        <f>E24*F24</f>
        <v>0</v>
      </c>
      <c r="H24" s="57">
        <f>1+IFERROR([1]!SELIC[[#Totals],[VALOR]]%,'[1]Selic e IPCA'!F44%)</f>
        <v>1.3620000000000001</v>
      </c>
      <c r="I24" s="32">
        <f>IF(R7="Não", 0, G24*H24)</f>
        <v>0</v>
      </c>
      <c r="J24" s="12"/>
      <c r="K24" s="12"/>
      <c r="L24" s="12"/>
      <c r="M24" s="4"/>
      <c r="N24" s="4"/>
      <c r="O24" s="1"/>
      <c r="P24" s="5"/>
      <c r="Q24" s="44"/>
      <c r="R24" s="58">
        <f ca="1">$L$21+I25</f>
        <v>54636240.199999996</v>
      </c>
      <c r="S24" s="59">
        <v>1</v>
      </c>
      <c r="T24" s="60">
        <f ca="1">R24</f>
        <v>54636240.199999996</v>
      </c>
      <c r="U24" s="61">
        <f>S24</f>
        <v>1</v>
      </c>
      <c r="V24" s="60">
        <f ca="1">T24</f>
        <v>54636240.199999996</v>
      </c>
      <c r="W24" s="62">
        <f>U24</f>
        <v>1</v>
      </c>
      <c r="X24" s="5"/>
      <c r="Y24" s="5"/>
      <c r="AL24" s="28" t="s">
        <v>57</v>
      </c>
      <c r="AM24" s="28">
        <v>12</v>
      </c>
    </row>
    <row r="25" spans="1:39" ht="31.5" customHeight="1">
      <c r="A25" s="1"/>
      <c r="B25" s="1"/>
      <c r="C25" s="10"/>
      <c r="D25" s="63" t="s">
        <v>58</v>
      </c>
      <c r="E25" s="64">
        <f>SUM(E24:E24)</f>
        <v>0</v>
      </c>
      <c r="F25" s="65" t="s">
        <v>35</v>
      </c>
      <c r="G25" s="64">
        <f>SUM(G24:G24)</f>
        <v>0</v>
      </c>
      <c r="H25" s="64" t="s">
        <v>35</v>
      </c>
      <c r="I25" s="64">
        <f>SUM(I24:I24)</f>
        <v>0</v>
      </c>
      <c r="J25" s="12"/>
      <c r="K25" s="12"/>
      <c r="L25" s="12"/>
      <c r="M25" s="4"/>
      <c r="N25" s="4"/>
      <c r="O25" s="1"/>
      <c r="P25" s="5"/>
      <c r="Q25" s="44"/>
      <c r="R25" s="66">
        <f>G15+G24</f>
        <v>32127294.23</v>
      </c>
      <c r="S25" s="67">
        <f ca="1">R25*S24/R24</f>
        <v>0.58802168876181204</v>
      </c>
      <c r="T25" s="68">
        <f>G16+I16</f>
        <v>7987419.5699999994</v>
      </c>
      <c r="U25" s="67">
        <f ca="1">T25*U24/T24</f>
        <v>0.1461927017811156</v>
      </c>
      <c r="V25" s="68">
        <f ca="1">L21-L17 + I25-G25</f>
        <v>14521526.399999999</v>
      </c>
      <c r="W25" s="69">
        <f ca="1">V25*W24/V24</f>
        <v>0.26578560945707241</v>
      </c>
      <c r="X25" s="5"/>
      <c r="Y25" s="5"/>
    </row>
    <row r="26" spans="1:39" ht="31.5" customHeight="1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4"/>
      <c r="R26" s="53"/>
      <c r="S26" s="53"/>
      <c r="T26" s="53"/>
      <c r="U26" s="53"/>
      <c r="V26" s="53"/>
      <c r="W26" s="53"/>
      <c r="X26" s="5"/>
      <c r="Y26" s="5"/>
    </row>
    <row r="27" spans="1:39" ht="25.5" customHeight="1">
      <c r="A27" s="1"/>
      <c r="B27" s="1"/>
      <c r="C27" s="10"/>
      <c r="D27" s="16"/>
      <c r="E27" s="16"/>
      <c r="F27" s="16"/>
      <c r="G27" s="16"/>
      <c r="H27" s="16"/>
      <c r="I27" s="45"/>
      <c r="J27" s="278" t="str">
        <f>IF(R7="sim", "(+)Honorários Sucumbência- (C)– "&amp;TEXT(V10,"0%")&amp;" sobre", "(+)Honorários Sucumbência- (B)– "&amp;TEXT(V10,"0%")&amp;" sobre")</f>
        <v>(+)Honorários Sucumbência- (B)– 0% sobre</v>
      </c>
      <c r="K27" s="279"/>
      <c r="L27" s="279"/>
      <c r="M27" s="70">
        <f ca="1">L21</f>
        <v>54636240.199999996</v>
      </c>
      <c r="N27" s="71">
        <f ca="1">IF(V9="Sim",ROUND(L21*$V$10,2),L21*0)</f>
        <v>0</v>
      </c>
      <c r="O27" s="1"/>
      <c r="P27" s="5"/>
      <c r="Q27" s="44"/>
      <c r="R27" s="53"/>
      <c r="S27" s="280" t="s">
        <v>59</v>
      </c>
      <c r="T27" s="72">
        <f ca="1">R25+T25+V25</f>
        <v>54636240.199999996</v>
      </c>
      <c r="U27" s="53"/>
      <c r="V27" s="53"/>
      <c r="W27" s="53"/>
      <c r="X27" s="5"/>
      <c r="Y27" s="5"/>
    </row>
    <row r="28" spans="1:39" ht="25.5" customHeight="1">
      <c r="A28" s="1"/>
      <c r="B28" s="1"/>
      <c r="C28" s="10"/>
      <c r="D28" s="16"/>
      <c r="E28" s="16"/>
      <c r="F28" s="16"/>
      <c r="G28" s="16"/>
      <c r="H28" s="16"/>
      <c r="I28" s="45"/>
      <c r="J28" s="73"/>
      <c r="K28" s="73"/>
      <c r="L28" s="73"/>
      <c r="M28" s="74"/>
      <c r="N28" s="75"/>
      <c r="O28" s="1"/>
      <c r="P28" s="5"/>
      <c r="Q28" s="44"/>
      <c r="R28" s="53"/>
      <c r="S28" s="280"/>
      <c r="T28" s="76">
        <f ca="1">S25+U25+W25</f>
        <v>1</v>
      </c>
      <c r="U28" s="53"/>
      <c r="V28" s="53"/>
      <c r="W28" s="53"/>
      <c r="X28" s="5"/>
      <c r="Y28" s="5"/>
    </row>
    <row r="29" spans="1:39" ht="25.5" customHeight="1">
      <c r="A29" s="1"/>
      <c r="B29" s="1"/>
      <c r="C29" s="10"/>
      <c r="D29" s="16"/>
      <c r="E29" s="16"/>
      <c r="F29" s="16"/>
      <c r="G29" s="16"/>
      <c r="H29" s="16"/>
      <c r="I29" s="45"/>
      <c r="J29" s="73"/>
      <c r="K29" s="73"/>
      <c r="L29" s="267" t="s">
        <v>60</v>
      </c>
      <c r="M29" s="267"/>
      <c r="N29" s="71">
        <f ca="1">L21+I25+N27</f>
        <v>54636240.199999996</v>
      </c>
      <c r="O29" s="1"/>
      <c r="P29" s="5"/>
      <c r="Q29" s="44"/>
      <c r="R29" s="53"/>
      <c r="S29" s="53"/>
      <c r="T29" s="53"/>
      <c r="U29" s="53"/>
      <c r="V29" s="53"/>
      <c r="W29" s="53"/>
      <c r="X29" s="5"/>
      <c r="Y29" s="5"/>
    </row>
    <row r="30" spans="1:39" ht="18.600000000000001" customHeight="1">
      <c r="A30" s="1"/>
      <c r="B30" s="1"/>
      <c r="C30" s="10"/>
      <c r="D30" s="16"/>
      <c r="E30" s="16"/>
      <c r="F30" s="16"/>
      <c r="G30" s="16"/>
      <c r="H30" s="16"/>
      <c r="I30" s="45"/>
      <c r="J30" s="16"/>
      <c r="K30" s="1"/>
      <c r="L30" s="12"/>
      <c r="M30" s="4"/>
      <c r="N30" s="4"/>
      <c r="O30" s="1"/>
      <c r="P30" s="5"/>
      <c r="Q30" s="44"/>
      <c r="R30" s="53"/>
      <c r="S30" s="53"/>
      <c r="T30" s="53"/>
      <c r="U30" s="53"/>
      <c r="V30" s="53"/>
      <c r="W30" s="53"/>
      <c r="X30" s="5"/>
      <c r="Y30" s="5"/>
    </row>
    <row r="31" spans="1:39" ht="26.25" customHeight="1">
      <c r="A31" s="1"/>
      <c r="B31" s="1"/>
      <c r="C31" s="10"/>
      <c r="D31" s="16"/>
      <c r="E31" s="16"/>
      <c r="F31" s="16"/>
      <c r="G31" s="16"/>
      <c r="H31" s="2"/>
      <c r="I31" s="45"/>
      <c r="J31" s="268" t="str">
        <f>"(-)Honorários Contratuais- (" &amp; IF(AND(R7="Sim", V9="Não"), "C", IF(AND(R7="Não", V9="Sim"), "C", IF(AND(R7="Não", V9="Não"), "B", "D"))) &amp; ")– " &amp; TEXT(R10, "0%") &amp; " sobre"</f>
        <v>(-)Honorários Contratuais- (C)– 0% sobre</v>
      </c>
      <c r="K31" s="269"/>
      <c r="L31" s="269"/>
      <c r="M31" s="77">
        <f ca="1">L21</f>
        <v>54636240.199999996</v>
      </c>
      <c r="N31" s="78">
        <f ca="1">IF(R9="sim",ROUND(L21*$R$10,2),L21*0)</f>
        <v>0</v>
      </c>
      <c r="O31" s="79"/>
      <c r="P31" s="53"/>
      <c r="Q31" s="5"/>
      <c r="R31" s="5"/>
      <c r="S31" s="5"/>
      <c r="T31" s="5"/>
      <c r="U31" s="5"/>
      <c r="V31" s="5"/>
      <c r="W31" s="5"/>
      <c r="X31" s="5"/>
      <c r="Y31" s="5"/>
    </row>
    <row r="32" spans="1:39" ht="30.75" customHeight="1">
      <c r="A32" s="1"/>
      <c r="B32" s="1"/>
      <c r="C32" s="10"/>
      <c r="D32" s="2"/>
      <c r="E32" s="2"/>
      <c r="F32" s="2"/>
      <c r="G32" s="2"/>
      <c r="H32" s="16"/>
      <c r="I32" s="45"/>
      <c r="J32" s="80"/>
      <c r="K32" s="80"/>
      <c r="L32" s="80"/>
      <c r="M32" s="80"/>
      <c r="N32" s="81"/>
      <c r="O32" s="1"/>
      <c r="P32" s="5"/>
      <c r="Q32" s="5"/>
      <c r="R32" s="82"/>
      <c r="S32" s="53"/>
      <c r="T32" s="53"/>
      <c r="U32" s="82"/>
      <c r="V32" s="82"/>
      <c r="W32" s="82"/>
      <c r="X32" s="5"/>
      <c r="Y32" s="5"/>
    </row>
    <row r="33" spans="1:34" ht="26.25" customHeight="1">
      <c r="A33" s="1"/>
      <c r="B33" s="1"/>
      <c r="C33" s="10"/>
      <c r="D33" s="2"/>
      <c r="E33" s="2"/>
      <c r="F33" s="2"/>
      <c r="G33" s="2"/>
      <c r="H33" s="2"/>
      <c r="I33" s="45"/>
      <c r="J33" s="80"/>
      <c r="K33" s="270" t="s">
        <v>61</v>
      </c>
      <c r="L33" s="271"/>
      <c r="M33" s="272"/>
      <c r="N33" s="83">
        <f ca="1">L21+I25-N31</f>
        <v>54636240.199999996</v>
      </c>
      <c r="O33" s="1"/>
      <c r="P33" s="53"/>
      <c r="Q33" s="44"/>
      <c r="R33" s="82"/>
      <c r="S33" s="53"/>
      <c r="T33" s="53"/>
      <c r="U33" s="82"/>
      <c r="V33" s="82"/>
      <c r="W33" s="82"/>
      <c r="X33" s="84"/>
      <c r="Y33" s="5"/>
      <c r="AE33" s="6" t="s">
        <v>62</v>
      </c>
    </row>
    <row r="34" spans="1:34" ht="23.25">
      <c r="A34" s="1"/>
      <c r="B34" s="1"/>
      <c r="C34" s="10"/>
      <c r="D34" s="16"/>
      <c r="E34" s="16"/>
      <c r="F34" s="45"/>
      <c r="G34" s="2"/>
      <c r="H34" s="45"/>
      <c r="I34" s="16"/>
      <c r="J34" s="16"/>
      <c r="K34" s="1"/>
      <c r="L34" s="12"/>
      <c r="M34" s="4"/>
      <c r="N34" s="4"/>
      <c r="O34" s="1"/>
      <c r="P34" s="5"/>
      <c r="Q34" s="5"/>
      <c r="R34" s="82"/>
      <c r="S34" s="82"/>
      <c r="T34" s="82"/>
      <c r="U34" s="82"/>
      <c r="V34" s="82"/>
      <c r="W34" s="82"/>
      <c r="X34" s="82"/>
      <c r="Y34" s="5"/>
      <c r="AD34" s="6" t="str">
        <f>INDEX([1]GILBERTO!A3:A14,MATCH(AE35,[1]GILBERTO!$B$3:$B$14,0))</f>
        <v>e</v>
      </c>
      <c r="AE34" s="6" t="str">
        <f>LEFT(MID(D45,FIND("Data: ",D45)+6,50),FIND("/",MID(D45,FIND("Data: ",D45)+6,50))-1)</f>
        <v>Maio</v>
      </c>
      <c r="AF34" s="6" t="str">
        <f>RIGHT(D45,LEN(D45)-FIND("/",D45))</f>
        <v>2020</v>
      </c>
      <c r="AH34" s="6">
        <f>HLOOKUP(AG35,[1]GILBERTO!$D$1:$BK$2,2,0)</f>
        <v>60</v>
      </c>
    </row>
    <row r="35" spans="1:34" ht="23.25" hidden="1" outlineLevel="1">
      <c r="A35" s="1"/>
      <c r="B35" s="1"/>
      <c r="C35" s="10"/>
      <c r="D35" s="239" t="s">
        <v>63</v>
      </c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1"/>
      <c r="P35" s="5"/>
      <c r="Q35" s="5"/>
      <c r="R35" s="82"/>
      <c r="S35" s="82"/>
      <c r="T35" s="82"/>
      <c r="U35" s="82"/>
      <c r="V35" s="82"/>
      <c r="W35" s="82"/>
      <c r="X35" s="82"/>
      <c r="Y35" s="5"/>
      <c r="AD35" s="6" t="str">
        <f>TEXT(AD34,"")</f>
        <v>e</v>
      </c>
      <c r="AE35" s="6" t="str">
        <f>MID(D45, FIND("Data: ", D45) + 6, FIND("/", D45) - (FIND("Data: ", D45) + 6))</f>
        <v>Maio</v>
      </c>
      <c r="AG35" s="6">
        <f>VALUE(AF34)</f>
        <v>2020</v>
      </c>
    </row>
    <row r="36" spans="1:34" ht="23.25" hidden="1" outlineLevel="1">
      <c r="A36" s="1"/>
      <c r="B36" s="1"/>
      <c r="C36" s="10"/>
      <c r="D36" s="261" t="s">
        <v>64</v>
      </c>
      <c r="E36" s="261"/>
      <c r="F36" s="261"/>
      <c r="G36" s="1"/>
      <c r="H36" s="1"/>
      <c r="I36" s="1"/>
      <c r="J36" s="1"/>
      <c r="K36" s="4"/>
      <c r="L36" s="4"/>
      <c r="M36" s="4"/>
      <c r="N36" s="4"/>
      <c r="O36" s="1"/>
      <c r="P36" s="5"/>
      <c r="Q36" s="5"/>
      <c r="R36" s="82"/>
      <c r="S36" s="82"/>
      <c r="T36" s="82"/>
      <c r="U36" s="82"/>
      <c r="V36" s="82"/>
      <c r="W36" s="82"/>
      <c r="X36" s="82"/>
      <c r="Y36" s="5"/>
    </row>
    <row r="37" spans="1:34" ht="46.5" hidden="1" outlineLevel="1">
      <c r="A37" s="1"/>
      <c r="B37" s="1"/>
      <c r="C37" s="10"/>
      <c r="D37" s="273" t="s">
        <v>65</v>
      </c>
      <c r="E37" s="273"/>
      <c r="F37" s="87" t="s">
        <v>66</v>
      </c>
      <c r="G37" s="87" t="s">
        <v>67</v>
      </c>
      <c r="H37" s="87" t="s">
        <v>68</v>
      </c>
      <c r="I37" s="87" t="s">
        <v>69</v>
      </c>
      <c r="J37" s="87" t="s">
        <v>70</v>
      </c>
      <c r="K37" s="4"/>
      <c r="L37" s="4"/>
      <c r="M37" s="4"/>
      <c r="N37" s="4"/>
      <c r="O37" s="1"/>
      <c r="P37" s="5"/>
      <c r="Q37" s="5"/>
      <c r="R37" s="82"/>
      <c r="S37" s="82"/>
      <c r="T37" s="82"/>
      <c r="U37" s="82"/>
      <c r="V37" s="82"/>
      <c r="W37" s="82"/>
      <c r="X37" s="82"/>
      <c r="Y37" s="5"/>
    </row>
    <row r="38" spans="1:34" ht="23.25" hidden="1" customHeight="1" outlineLevel="1">
      <c r="A38" s="1"/>
      <c r="B38" s="1"/>
      <c r="C38" s="10"/>
      <c r="D38" s="254" t="s">
        <v>71</v>
      </c>
      <c r="E38" s="254"/>
      <c r="F38" s="88">
        <v>1</v>
      </c>
      <c r="G38" s="89">
        <v>1</v>
      </c>
      <c r="H38" s="90">
        <v>1</v>
      </c>
      <c r="I38" s="90">
        <v>1</v>
      </c>
      <c r="J38" s="91">
        <v>0</v>
      </c>
      <c r="K38" s="1"/>
      <c r="L38" s="12"/>
      <c r="M38" s="4"/>
      <c r="N38" s="4"/>
      <c r="O38" s="1"/>
      <c r="P38" s="5"/>
      <c r="Q38" s="5"/>
      <c r="R38" s="82"/>
      <c r="S38" s="82"/>
      <c r="T38" s="82"/>
      <c r="U38" s="82"/>
      <c r="V38" s="82"/>
      <c r="W38" s="82"/>
      <c r="X38" s="82"/>
      <c r="Y38" s="5"/>
    </row>
    <row r="39" spans="1:34" ht="23.25" hidden="1" customHeight="1" outlineLevel="1">
      <c r="A39" s="1"/>
      <c r="B39" s="1"/>
      <c r="C39" s="10"/>
      <c r="D39" s="266" t="s">
        <v>72</v>
      </c>
      <c r="E39" s="266"/>
      <c r="F39" s="92">
        <f>H38</f>
        <v>1</v>
      </c>
      <c r="G39" s="1"/>
      <c r="H39" s="1"/>
      <c r="I39" s="1"/>
      <c r="J39" s="1"/>
      <c r="K39" s="1"/>
      <c r="L39" s="12"/>
      <c r="M39" s="4"/>
      <c r="N39" s="4"/>
      <c r="O39" s="1"/>
      <c r="P39" s="5"/>
      <c r="Q39" s="5"/>
      <c r="R39" s="82"/>
      <c r="S39" s="82"/>
      <c r="T39" s="82"/>
      <c r="U39" s="82"/>
      <c r="V39" s="82"/>
      <c r="W39" s="82"/>
      <c r="X39" s="82"/>
      <c r="Y39" s="5"/>
    </row>
    <row r="40" spans="1:34" ht="23.25" hidden="1" outlineLevel="1">
      <c r="A40" s="1"/>
      <c r="B40" s="1"/>
      <c r="C40" s="10"/>
      <c r="D40" s="266" t="s">
        <v>73</v>
      </c>
      <c r="E40" s="266"/>
      <c r="F40" s="92">
        <f>I38</f>
        <v>1</v>
      </c>
      <c r="G40" s="93"/>
      <c r="H40" s="1"/>
      <c r="I40" s="1"/>
      <c r="J40" s="1"/>
      <c r="K40" s="1"/>
      <c r="L40" s="12"/>
      <c r="M40" s="4"/>
      <c r="N40" s="4"/>
      <c r="O40" s="1"/>
      <c r="P40" s="5"/>
      <c r="Q40" s="5"/>
      <c r="R40" s="82"/>
      <c r="S40" s="82"/>
      <c r="T40" s="82"/>
      <c r="U40" s="82"/>
      <c r="V40" s="82"/>
      <c r="W40" s="82"/>
      <c r="X40" s="82"/>
      <c r="Y40" s="5"/>
    </row>
    <row r="41" spans="1:34" ht="23.25" hidden="1" outlineLevel="1">
      <c r="A41" s="1"/>
      <c r="B41" s="1"/>
      <c r="C41" s="10"/>
      <c r="D41" s="266" t="s">
        <v>74</v>
      </c>
      <c r="E41" s="266"/>
      <c r="F41" s="92">
        <f>H38*J38+I38*J38</f>
        <v>0</v>
      </c>
      <c r="G41" s="93"/>
      <c r="H41" s="1"/>
      <c r="I41" s="1"/>
      <c r="J41" s="1"/>
      <c r="K41" s="1"/>
      <c r="L41" s="12"/>
      <c r="M41" s="4"/>
      <c r="N41" s="4"/>
      <c r="O41" s="1"/>
      <c r="P41" s="5"/>
      <c r="Q41" s="5"/>
      <c r="R41" s="82"/>
      <c r="S41" s="82"/>
      <c r="T41" s="82"/>
      <c r="U41" s="82"/>
      <c r="V41" s="82"/>
      <c r="W41" s="82"/>
      <c r="X41" s="82"/>
      <c r="Y41" s="5"/>
    </row>
    <row r="42" spans="1:34" ht="23.25" hidden="1" outlineLevel="1">
      <c r="A42" s="1"/>
      <c r="B42" s="1"/>
      <c r="C42" s="10"/>
      <c r="D42" s="266" t="s">
        <v>75</v>
      </c>
      <c r="E42" s="266"/>
      <c r="F42" s="92">
        <f>SUM(F39:F41)</f>
        <v>2</v>
      </c>
      <c r="G42" s="1"/>
      <c r="H42" s="1"/>
      <c r="I42" s="1"/>
      <c r="J42" s="1"/>
      <c r="K42" s="1"/>
      <c r="L42" s="12"/>
      <c r="M42" s="4"/>
      <c r="N42" s="4"/>
      <c r="O42" s="1"/>
      <c r="P42" s="5"/>
      <c r="Q42" s="5"/>
      <c r="R42" s="82"/>
      <c r="S42" s="82"/>
      <c r="T42" s="82"/>
      <c r="U42" s="82"/>
      <c r="V42" s="82"/>
      <c r="W42" s="82"/>
      <c r="X42" s="82"/>
      <c r="Y42" s="5"/>
    </row>
    <row r="43" spans="1:34" ht="23.25" hidden="1" outlineLevel="1">
      <c r="A43" s="1"/>
      <c r="B43" s="1"/>
      <c r="C43" s="10"/>
      <c r="D43" s="85"/>
      <c r="E43" s="85"/>
      <c r="F43" s="85"/>
      <c r="G43" s="85"/>
      <c r="H43" s="85"/>
      <c r="I43" s="85"/>
      <c r="J43" s="85"/>
      <c r="K43" s="1"/>
      <c r="L43" s="12"/>
      <c r="M43" s="4"/>
      <c r="N43" s="4"/>
      <c r="O43" s="1"/>
      <c r="P43" s="5"/>
      <c r="Q43" s="5"/>
      <c r="R43" s="82"/>
      <c r="S43" s="82"/>
      <c r="T43" s="82"/>
      <c r="U43" s="82"/>
      <c r="V43" s="82"/>
      <c r="W43" s="82"/>
      <c r="X43" s="82"/>
      <c r="Y43" s="5"/>
    </row>
    <row r="44" spans="1:34" ht="23.25" hidden="1" outlineLevel="1">
      <c r="A44" s="1"/>
      <c r="B44" s="1"/>
      <c r="C44" s="10"/>
      <c r="D44" s="261" t="s">
        <v>76</v>
      </c>
      <c r="E44" s="261"/>
      <c r="F44" s="261"/>
      <c r="G44" s="1"/>
      <c r="H44" s="1"/>
      <c r="I44" s="1"/>
      <c r="J44" s="1"/>
      <c r="K44" s="1"/>
      <c r="L44" s="12"/>
      <c r="M44" s="4"/>
      <c r="N44" s="4"/>
      <c r="O44" s="1"/>
      <c r="P44" s="5"/>
      <c r="Q44" s="5"/>
      <c r="R44" s="82"/>
      <c r="S44" s="82"/>
      <c r="T44" s="82"/>
      <c r="U44" s="82"/>
      <c r="V44" s="82"/>
      <c r="W44" s="82"/>
      <c r="X44" s="82"/>
      <c r="Y44" s="5"/>
    </row>
    <row r="45" spans="1:34" ht="23.25" hidden="1" outlineLevel="1">
      <c r="A45" s="1"/>
      <c r="B45" s="1"/>
      <c r="C45" s="10"/>
      <c r="D45" s="265" t="s">
        <v>77</v>
      </c>
      <c r="E45" s="265"/>
      <c r="F45" s="86" t="s">
        <v>78</v>
      </c>
      <c r="G45" s="1"/>
      <c r="H45" s="1"/>
      <c r="I45" s="1"/>
      <c r="J45" s="1"/>
      <c r="K45" s="1"/>
      <c r="L45" s="12"/>
      <c r="M45" s="4"/>
      <c r="N45" s="4"/>
      <c r="O45" s="1"/>
      <c r="P45" s="5"/>
      <c r="Q45" s="5"/>
      <c r="R45" s="82"/>
      <c r="S45" s="82"/>
      <c r="T45" s="82"/>
      <c r="U45" s="82"/>
      <c r="V45" s="82"/>
      <c r="W45" s="82"/>
      <c r="X45" s="82"/>
      <c r="Y45" s="5"/>
    </row>
    <row r="46" spans="1:34" ht="23.25" hidden="1" customHeight="1" outlineLevel="1">
      <c r="A46" s="1"/>
      <c r="B46" s="1"/>
      <c r="C46" s="10"/>
      <c r="D46" s="254" t="s">
        <v>34</v>
      </c>
      <c r="E46" s="254"/>
      <c r="F46" s="94">
        <f>IF($R$6="Não",0,F39*G49)</f>
        <v>0</v>
      </c>
      <c r="G46" s="93"/>
      <c r="H46" s="1"/>
      <c r="I46" s="1"/>
      <c r="J46" s="1"/>
      <c r="K46" s="1"/>
      <c r="L46" s="12"/>
      <c r="M46" s="4"/>
      <c r="N46" s="4"/>
      <c r="O46" s="1"/>
      <c r="P46" s="5"/>
      <c r="Q46" s="5"/>
      <c r="R46" s="82"/>
      <c r="S46" s="82"/>
      <c r="T46" s="82"/>
      <c r="U46" s="82"/>
      <c r="V46" s="82"/>
      <c r="W46" s="82"/>
      <c r="X46" s="82"/>
      <c r="Y46" s="5"/>
    </row>
    <row r="47" spans="1:34" ht="23.25" hidden="1" customHeight="1" outlineLevel="1">
      <c r="A47" s="1"/>
      <c r="B47" s="1"/>
      <c r="C47" s="10"/>
      <c r="D47" s="254" t="s">
        <v>38</v>
      </c>
      <c r="E47" s="254"/>
      <c r="F47" s="94">
        <f>IF($R$6="Não",0,F40*G49)</f>
        <v>0</v>
      </c>
      <c r="G47" s="1"/>
      <c r="H47" s="1"/>
      <c r="I47" s="1"/>
      <c r="J47" s="1"/>
      <c r="K47" s="1"/>
      <c r="L47" s="12"/>
      <c r="M47" s="4"/>
      <c r="N47" s="4"/>
      <c r="O47" s="1"/>
      <c r="P47" s="5"/>
      <c r="Q47" s="5"/>
      <c r="R47" s="82"/>
      <c r="S47" s="82"/>
      <c r="T47" s="82"/>
      <c r="U47" s="82"/>
      <c r="V47" s="82"/>
      <c r="W47" s="82"/>
      <c r="X47" s="82"/>
      <c r="Y47" s="5"/>
    </row>
    <row r="48" spans="1:34" ht="23.25" hidden="1" outlineLevel="1">
      <c r="A48" s="1"/>
      <c r="B48" s="1"/>
      <c r="C48" s="10"/>
      <c r="D48" s="254" t="s">
        <v>55</v>
      </c>
      <c r="E48" s="254"/>
      <c r="F48" s="94">
        <f>IF($R$6="Não",0,F41*G49)</f>
        <v>0</v>
      </c>
      <c r="G48" s="1"/>
      <c r="H48" s="1"/>
      <c r="I48" s="1"/>
      <c r="J48" s="1"/>
      <c r="K48" s="1"/>
      <c r="L48" s="12"/>
      <c r="M48" s="4"/>
      <c r="N48" s="4"/>
      <c r="O48" s="1"/>
      <c r="P48" s="5"/>
      <c r="Q48" s="5"/>
      <c r="R48" s="82"/>
      <c r="S48" s="82"/>
      <c r="T48" s="82"/>
      <c r="U48" s="82"/>
      <c r="V48" s="82"/>
      <c r="W48" s="82"/>
      <c r="X48" s="82"/>
      <c r="Y48" s="5"/>
    </row>
    <row r="49" spans="1:25" ht="23.25" hidden="1" outlineLevel="1">
      <c r="A49" s="1"/>
      <c r="B49" s="1"/>
      <c r="C49" s="10"/>
      <c r="D49" s="266" t="s">
        <v>75</v>
      </c>
      <c r="E49" s="266"/>
      <c r="F49" s="95"/>
      <c r="G49" s="96">
        <f>F49/F42</f>
        <v>0</v>
      </c>
      <c r="H49" s="1"/>
      <c r="I49" s="1"/>
      <c r="J49" s="1"/>
      <c r="K49" s="1"/>
      <c r="L49" s="12"/>
      <c r="M49" s="4"/>
      <c r="N49" s="4"/>
      <c r="O49" s="1"/>
      <c r="P49" s="5"/>
      <c r="Q49" s="5"/>
      <c r="R49" s="82"/>
      <c r="S49" s="82"/>
      <c r="T49" s="82"/>
      <c r="U49" s="82"/>
      <c r="V49" s="82"/>
      <c r="W49" s="82"/>
      <c r="X49" s="82"/>
      <c r="Y49" s="5"/>
    </row>
    <row r="50" spans="1:25" ht="23.25" hidden="1" outlineLevel="1">
      <c r="A50" s="1"/>
      <c r="B50" s="1"/>
      <c r="C50" s="10"/>
      <c r="D50" s="1"/>
      <c r="E50" s="1"/>
      <c r="F50" s="1"/>
      <c r="G50" s="1"/>
      <c r="H50" s="1"/>
      <c r="I50" s="1"/>
      <c r="J50" s="1"/>
      <c r="K50" s="1"/>
      <c r="L50" s="12"/>
      <c r="M50" s="4"/>
      <c r="N50" s="4"/>
      <c r="O50" s="1"/>
      <c r="P50" s="5"/>
      <c r="Q50" s="5"/>
      <c r="R50" s="82"/>
      <c r="S50" s="82"/>
      <c r="T50" s="82"/>
      <c r="U50" s="82"/>
      <c r="V50" s="82"/>
      <c r="W50" s="82"/>
      <c r="X50" s="82"/>
      <c r="Y50" s="5"/>
    </row>
    <row r="51" spans="1:25" ht="23.25" hidden="1" outlineLevel="1">
      <c r="A51" s="1"/>
      <c r="B51" s="1"/>
      <c r="C51" s="10"/>
      <c r="D51" s="261" t="s">
        <v>79</v>
      </c>
      <c r="E51" s="261"/>
      <c r="F51" s="261"/>
      <c r="G51" s="1"/>
      <c r="H51" s="1"/>
      <c r="I51" s="1"/>
      <c r="J51" s="1"/>
      <c r="K51" s="1"/>
      <c r="L51" s="12"/>
      <c r="M51" s="4"/>
      <c r="N51" s="4"/>
      <c r="O51" s="1"/>
      <c r="P51" s="5"/>
      <c r="Q51" s="5"/>
      <c r="R51" s="82"/>
      <c r="S51" s="82"/>
      <c r="T51" s="82"/>
      <c r="U51" s="82"/>
      <c r="V51" s="82"/>
      <c r="W51" s="82"/>
      <c r="X51" s="82"/>
      <c r="Y51" s="5"/>
    </row>
    <row r="52" spans="1:25" ht="46.5" hidden="1" outlineLevel="1">
      <c r="A52" s="1"/>
      <c r="B52" s="1"/>
      <c r="C52" s="10"/>
      <c r="D52" s="262"/>
      <c r="E52" s="263"/>
      <c r="F52" s="97" t="s">
        <v>80</v>
      </c>
      <c r="G52" s="98" t="s">
        <v>81</v>
      </c>
      <c r="H52" s="87" t="s">
        <v>68</v>
      </c>
      <c r="I52" s="1"/>
      <c r="J52" s="1"/>
      <c r="K52" s="1"/>
      <c r="L52" s="12"/>
      <c r="M52" s="4"/>
      <c r="N52" s="4"/>
      <c r="O52" s="1"/>
      <c r="P52" s="5"/>
      <c r="Q52" s="5"/>
      <c r="R52" s="82"/>
      <c r="S52" s="82"/>
      <c r="T52" s="82"/>
      <c r="U52" s="82"/>
      <c r="V52" s="82"/>
      <c r="W52" s="82"/>
      <c r="X52" s="82"/>
      <c r="Y52" s="5"/>
    </row>
    <row r="53" spans="1:25" ht="23.25" hidden="1" customHeight="1" outlineLevel="1">
      <c r="A53" s="1"/>
      <c r="B53" s="1"/>
      <c r="C53" s="10"/>
      <c r="D53" s="254" t="s">
        <v>34</v>
      </c>
      <c r="E53" s="254"/>
      <c r="F53" s="94">
        <f>F46</f>
        <v>0</v>
      </c>
      <c r="G53" s="99">
        <f>IFERROR(VLOOKUP($AD$35,[1]GILBERTO!$A:$BK,$AH$34), 1)</f>
        <v>1.1313565000000001</v>
      </c>
      <c r="H53" s="100">
        <f>F53*G53</f>
        <v>0</v>
      </c>
      <c r="I53" s="1"/>
      <c r="J53" s="1"/>
      <c r="K53" s="1"/>
      <c r="L53" s="12"/>
      <c r="M53" s="4"/>
      <c r="N53" s="4"/>
      <c r="O53" s="1"/>
      <c r="P53" s="5"/>
      <c r="Q53" s="5"/>
      <c r="R53" s="82"/>
      <c r="S53" s="82"/>
      <c r="T53" s="82"/>
      <c r="U53" s="82"/>
      <c r="V53" s="82"/>
      <c r="W53" s="82"/>
      <c r="X53" s="82"/>
      <c r="Y53" s="5"/>
    </row>
    <row r="54" spans="1:25" ht="23.25" hidden="1" customHeight="1" outlineLevel="1">
      <c r="A54" s="1"/>
      <c r="B54" s="1"/>
      <c r="C54" s="10"/>
      <c r="D54" s="254" t="s">
        <v>38</v>
      </c>
      <c r="E54" s="254"/>
      <c r="F54" s="94">
        <f>F47</f>
        <v>0</v>
      </c>
      <c r="G54" s="99">
        <f>IFERROR(VLOOKUP($AD$35,[1]GILBERTO!$A:$BK,$AH$34), 1)</f>
        <v>1.1313565000000001</v>
      </c>
      <c r="H54" s="100">
        <f>F54*G54</f>
        <v>0</v>
      </c>
      <c r="I54" s="1"/>
      <c r="J54" s="1"/>
      <c r="K54" s="1"/>
      <c r="L54" s="12"/>
      <c r="M54" s="4"/>
      <c r="N54" s="4"/>
      <c r="O54" s="1"/>
      <c r="P54" s="5"/>
      <c r="Q54" s="5"/>
      <c r="R54" s="82"/>
      <c r="S54" s="82"/>
      <c r="T54" s="82"/>
      <c r="U54" s="82"/>
      <c r="V54" s="82"/>
      <c r="W54" s="82"/>
      <c r="X54" s="82"/>
      <c r="Y54" s="5"/>
    </row>
    <row r="55" spans="1:25" ht="23.25" hidden="1" outlineLevel="1">
      <c r="A55" s="1"/>
      <c r="B55" s="1"/>
      <c r="C55" s="10"/>
      <c r="D55" s="264" t="s">
        <v>82</v>
      </c>
      <c r="E55" s="264"/>
      <c r="F55" s="92">
        <f>SUM(F53:F54)</f>
        <v>0</v>
      </c>
      <c r="G55" s="92" t="s">
        <v>35</v>
      </c>
      <c r="H55" s="92">
        <f>SUM(H53:H54)</f>
        <v>0</v>
      </c>
      <c r="I55" s="1"/>
      <c r="J55" s="1"/>
      <c r="K55" s="1"/>
      <c r="L55" s="12"/>
      <c r="M55" s="4"/>
      <c r="N55" s="4"/>
      <c r="O55" s="1"/>
      <c r="P55" s="5"/>
      <c r="Q55" s="5"/>
      <c r="R55" s="82"/>
      <c r="S55" s="82"/>
      <c r="T55" s="82"/>
      <c r="U55" s="82"/>
      <c r="V55" s="82"/>
      <c r="W55" s="82"/>
      <c r="X55" s="82"/>
      <c r="Y55" s="5"/>
    </row>
    <row r="56" spans="1:25" ht="23.25" hidden="1" outlineLevel="1">
      <c r="A56" s="1"/>
      <c r="B56" s="1"/>
      <c r="C56" s="10"/>
      <c r="D56" s="254" t="s">
        <v>83</v>
      </c>
      <c r="E56" s="254"/>
      <c r="F56" s="101" t="e">
        <f>SUM('[1]Juros '!W5:W690)</f>
        <v>#REF!</v>
      </c>
      <c r="G56" s="1"/>
      <c r="H56" s="1"/>
      <c r="I56" s="1"/>
      <c r="J56" s="1"/>
      <c r="K56" s="1"/>
      <c r="L56" s="12"/>
      <c r="M56" s="4"/>
      <c r="N56" s="4"/>
      <c r="O56" s="1"/>
      <c r="P56" s="5"/>
      <c r="Q56" s="5"/>
      <c r="R56" s="82"/>
      <c r="S56" s="82"/>
      <c r="T56" s="82"/>
      <c r="U56" s="82"/>
      <c r="V56" s="82"/>
      <c r="W56" s="82"/>
      <c r="X56" s="82"/>
      <c r="Y56" s="5"/>
    </row>
    <row r="57" spans="1:25" ht="23.25" hidden="1" outlineLevel="1">
      <c r="A57" s="1"/>
      <c r="B57" s="1"/>
      <c r="C57" s="10"/>
      <c r="D57" s="264" t="s">
        <v>84</v>
      </c>
      <c r="E57" s="264"/>
      <c r="F57" s="92">
        <f>H53</f>
        <v>0</v>
      </c>
      <c r="G57" s="1"/>
      <c r="H57" s="1"/>
      <c r="I57" s="1"/>
      <c r="J57" s="1"/>
      <c r="K57" s="1"/>
      <c r="L57" s="12"/>
      <c r="M57" s="4"/>
      <c r="N57" s="4"/>
      <c r="O57" s="1"/>
      <c r="P57" s="5"/>
      <c r="Q57" s="5"/>
      <c r="R57" s="82"/>
      <c r="S57" s="82"/>
      <c r="T57" s="82"/>
      <c r="U57" s="82"/>
      <c r="V57" s="82"/>
      <c r="W57" s="82"/>
      <c r="X57" s="82"/>
      <c r="Y57" s="5"/>
    </row>
    <row r="58" spans="1:25" ht="23.25" hidden="1" outlineLevel="1">
      <c r="A58" s="1"/>
      <c r="B58" s="1"/>
      <c r="C58" s="10"/>
      <c r="D58" s="264" t="s">
        <v>85</v>
      </c>
      <c r="E58" s="264"/>
      <c r="F58" s="92" t="e">
        <f>H54+H53*F56</f>
        <v>#REF!</v>
      </c>
      <c r="G58" s="1"/>
      <c r="H58" s="1"/>
      <c r="I58" s="1"/>
      <c r="J58" s="1"/>
      <c r="K58" s="1"/>
      <c r="L58" s="12"/>
      <c r="M58" s="4"/>
      <c r="N58" s="4"/>
      <c r="O58" s="1"/>
      <c r="P58" s="5"/>
      <c r="Q58" s="5"/>
      <c r="R58" s="82"/>
      <c r="S58" s="82"/>
      <c r="T58" s="82"/>
      <c r="U58" s="82"/>
      <c r="V58" s="82"/>
      <c r="W58" s="82"/>
      <c r="X58" s="82"/>
      <c r="Y58" s="5"/>
    </row>
    <row r="59" spans="1:25" ht="23.25" hidden="1" outlineLevel="1">
      <c r="A59" s="1"/>
      <c r="B59" s="1"/>
      <c r="C59" s="10"/>
      <c r="D59" s="254" t="s">
        <v>86</v>
      </c>
      <c r="E59" s="254"/>
      <c r="F59" s="102">
        <f>J38</f>
        <v>0</v>
      </c>
      <c r="G59" s="1"/>
      <c r="H59" s="93"/>
      <c r="I59" s="1"/>
      <c r="J59" s="1"/>
      <c r="K59" s="1"/>
      <c r="L59" s="12"/>
      <c r="M59" s="4"/>
      <c r="N59" s="4"/>
      <c r="O59" s="1"/>
      <c r="P59" s="5"/>
      <c r="Q59" s="5"/>
      <c r="R59" s="82"/>
      <c r="S59" s="82"/>
      <c r="T59" s="82"/>
      <c r="U59" s="82"/>
      <c r="V59" s="82"/>
      <c r="W59" s="82"/>
      <c r="X59" s="82"/>
      <c r="Y59" s="5"/>
    </row>
    <row r="60" spans="1:25" ht="23.25" hidden="1" outlineLevel="1">
      <c r="A60" s="1"/>
      <c r="B60" s="1"/>
      <c r="C60" s="10"/>
      <c r="D60" s="254" t="s">
        <v>87</v>
      </c>
      <c r="E60" s="254"/>
      <c r="F60" s="91">
        <f ca="1">K18</f>
        <v>0.36200000000000004</v>
      </c>
      <c r="G60" s="1"/>
      <c r="H60" s="1"/>
      <c r="I60" s="1"/>
      <c r="J60" s="1"/>
      <c r="K60" s="1"/>
      <c r="L60" s="12"/>
      <c r="M60" s="4"/>
      <c r="N60" s="4"/>
      <c r="O60" s="1"/>
      <c r="P60" s="5"/>
      <c r="Q60" s="5"/>
      <c r="R60" s="82"/>
      <c r="S60" s="82"/>
      <c r="T60" s="82"/>
      <c r="U60" s="82"/>
      <c r="V60" s="82"/>
      <c r="W60" s="82"/>
      <c r="X60" s="82"/>
      <c r="Y60" s="5"/>
    </row>
    <row r="61" spans="1:25" ht="23.25" hidden="1" outlineLevel="1">
      <c r="A61" s="1"/>
      <c r="B61" s="1"/>
      <c r="C61" s="10"/>
      <c r="D61" s="255" t="s">
        <v>88</v>
      </c>
      <c r="E61" s="256"/>
      <c r="F61" s="103">
        <f ca="1">SUM(F59:F60)</f>
        <v>0.36200000000000004</v>
      </c>
      <c r="G61" s="104" t="e">
        <f ca="1">F57*F61+(F58*F61)</f>
        <v>#REF!</v>
      </c>
      <c r="H61" s="1"/>
      <c r="I61" s="1"/>
      <c r="J61" s="1"/>
      <c r="K61" s="1"/>
      <c r="L61" s="12"/>
      <c r="M61" s="4"/>
      <c r="N61" s="4"/>
      <c r="O61" s="1"/>
      <c r="P61" s="5"/>
      <c r="Q61" s="5"/>
      <c r="R61" s="82"/>
      <c r="S61" s="82"/>
      <c r="T61" s="82"/>
      <c r="U61" s="82"/>
      <c r="V61" s="82"/>
      <c r="W61" s="82"/>
      <c r="X61" s="82"/>
      <c r="Y61" s="5"/>
    </row>
    <row r="62" spans="1:25" ht="23.25" hidden="1" outlineLevel="1">
      <c r="A62" s="1"/>
      <c r="B62" s="1"/>
      <c r="C62" s="10"/>
      <c r="D62" s="257" t="str">
        <f ca="1">"TOTAL ATUALIZADO EM "&amp;UPPER(TEXT(TODAY(),"mmmm"))&amp;"/"&amp;YEAR(TODAY())&amp;""</f>
        <v>TOTAL ATUALIZADO EM FEVEREIRO/2025</v>
      </c>
      <c r="E62" s="258"/>
      <c r="F62" s="259"/>
      <c r="G62" s="105">
        <f>IF(R6="Não",0,G61+F58+F57)</f>
        <v>0</v>
      </c>
      <c r="H62" s="1"/>
      <c r="I62" s="1"/>
      <c r="J62" s="1"/>
      <c r="K62" s="1"/>
      <c r="L62" s="12"/>
      <c r="M62" s="4"/>
      <c r="N62" s="4"/>
      <c r="O62" s="1"/>
      <c r="P62" s="5"/>
      <c r="Q62" s="5"/>
      <c r="R62" s="82"/>
      <c r="S62" s="82"/>
      <c r="T62" s="82"/>
      <c r="U62" s="82"/>
      <c r="V62" s="82"/>
      <c r="W62" s="82"/>
      <c r="X62" s="82"/>
      <c r="Y62" s="5"/>
    </row>
    <row r="63" spans="1:25" ht="23.25" hidden="1" outlineLevel="1">
      <c r="A63" s="1"/>
      <c r="B63" s="1"/>
      <c r="C63" s="10"/>
      <c r="D63" s="1"/>
      <c r="E63" s="1"/>
      <c r="F63" s="1"/>
      <c r="G63" s="1"/>
      <c r="H63" s="1"/>
      <c r="I63" s="1"/>
      <c r="J63" s="1"/>
      <c r="K63" s="1"/>
      <c r="L63" s="12"/>
      <c r="M63" s="4"/>
      <c r="N63" s="4"/>
      <c r="O63" s="1"/>
      <c r="P63" s="5"/>
      <c r="Q63" s="5"/>
      <c r="R63" s="82"/>
      <c r="S63" s="82"/>
      <c r="T63" s="82"/>
      <c r="U63" s="82"/>
      <c r="V63" s="82"/>
      <c r="W63" s="82"/>
      <c r="X63" s="82"/>
      <c r="Y63" s="5"/>
    </row>
    <row r="64" spans="1:25" ht="23.25" hidden="1" outlineLevel="1">
      <c r="A64" s="1"/>
      <c r="B64" s="1"/>
      <c r="C64" s="10"/>
      <c r="D64" s="1"/>
      <c r="E64" s="1"/>
      <c r="F64" s="1"/>
      <c r="G64" s="1"/>
      <c r="H64" s="1"/>
      <c r="I64" s="1"/>
      <c r="J64" s="1"/>
      <c r="K64" s="1"/>
      <c r="L64" s="12"/>
      <c r="M64" s="4"/>
      <c r="N64" s="4"/>
      <c r="O64" s="1"/>
      <c r="P64" s="5"/>
      <c r="Q64" s="5"/>
      <c r="R64" s="82"/>
      <c r="S64" s="82"/>
      <c r="T64" s="82"/>
      <c r="U64" s="82"/>
      <c r="V64" s="82"/>
      <c r="W64" s="82"/>
      <c r="X64" s="82"/>
      <c r="Y64" s="5"/>
    </row>
    <row r="65" spans="1:25" ht="33" hidden="1" customHeight="1" outlineLevel="1">
      <c r="A65" s="1"/>
      <c r="B65" s="1"/>
      <c r="C65" s="10"/>
      <c r="D65" s="106"/>
      <c r="E65" s="107"/>
      <c r="F65" s="108"/>
      <c r="G65" s="108"/>
      <c r="H65" s="108"/>
      <c r="I65" s="108"/>
      <c r="J65" s="245" t="s">
        <v>89</v>
      </c>
      <c r="K65" s="246"/>
      <c r="L65" s="246"/>
      <c r="M65" s="109" t="str">
        <f ca="1">UPPER(CONCATENATE(TEXT(TODAY(),"mmmm"),"/",TEXT(TODAY(),"aaaa")))</f>
        <v>FEVEREIRO/2025</v>
      </c>
      <c r="N65" s="110">
        <f ca="1">N33-G62</f>
        <v>54636240.199999996</v>
      </c>
      <c r="O65" s="1"/>
      <c r="P65" s="5"/>
      <c r="Q65" s="5"/>
      <c r="R65" s="82"/>
      <c r="S65" s="82"/>
      <c r="T65" s="82"/>
      <c r="U65" s="82"/>
      <c r="V65" s="82"/>
      <c r="W65" s="82"/>
      <c r="X65" s="82"/>
      <c r="Y65" s="5"/>
    </row>
    <row r="66" spans="1:25" ht="23.25" collapsed="1">
      <c r="A66" s="1"/>
      <c r="B66" s="1"/>
      <c r="C66" s="10"/>
      <c r="D66" s="16"/>
      <c r="E66" s="16"/>
      <c r="F66" s="45"/>
      <c r="G66" s="2"/>
      <c r="H66" s="45"/>
      <c r="I66" s="16"/>
      <c r="J66" s="16"/>
      <c r="K66" s="1"/>
      <c r="L66" s="12"/>
      <c r="M66" s="4"/>
      <c r="N66" s="4"/>
      <c r="O66" s="1"/>
      <c r="P66" s="5"/>
      <c r="Q66" s="5"/>
      <c r="R66" s="82"/>
      <c r="S66" s="82"/>
      <c r="T66" s="82"/>
      <c r="U66" s="82"/>
      <c r="V66" s="82"/>
      <c r="W66" s="82"/>
      <c r="X66" s="82"/>
      <c r="Y66" s="5"/>
    </row>
    <row r="67" spans="1:25" ht="23.25">
      <c r="A67" s="1"/>
      <c r="B67" s="1"/>
      <c r="C67" s="10"/>
      <c r="D67" s="16"/>
      <c r="E67" s="16"/>
      <c r="F67" s="45"/>
      <c r="G67" s="2"/>
      <c r="H67" s="45"/>
      <c r="I67" s="16"/>
      <c r="J67" s="16"/>
      <c r="K67" s="1"/>
      <c r="L67" s="12"/>
      <c r="M67" s="4"/>
      <c r="N67" s="4"/>
      <c r="O67" s="1"/>
      <c r="P67" s="5"/>
      <c r="Q67" s="5"/>
      <c r="R67" s="82"/>
      <c r="S67" s="82"/>
      <c r="T67" s="82"/>
      <c r="U67" s="82"/>
      <c r="V67" s="82"/>
      <c r="W67" s="82"/>
      <c r="X67" s="82"/>
      <c r="Y67" s="5"/>
    </row>
    <row r="68" spans="1:25" ht="23.25">
      <c r="A68" s="1"/>
      <c r="B68" s="1"/>
      <c r="C68" s="10"/>
      <c r="D68" s="16"/>
      <c r="E68" s="16"/>
      <c r="F68" s="45"/>
      <c r="G68" s="2"/>
      <c r="H68" s="45"/>
      <c r="I68" s="16"/>
      <c r="J68" s="16"/>
      <c r="K68" s="1"/>
      <c r="L68" s="12"/>
      <c r="M68" s="4"/>
      <c r="N68" s="4"/>
      <c r="O68" s="1"/>
      <c r="P68" s="5"/>
      <c r="Q68" s="5"/>
      <c r="R68" s="82"/>
      <c r="S68" s="82"/>
      <c r="T68" s="82"/>
      <c r="U68" s="82"/>
      <c r="V68" s="82"/>
      <c r="W68" s="82"/>
      <c r="X68" s="82"/>
      <c r="Y68" s="5"/>
    </row>
    <row r="69" spans="1:25" ht="23.25" hidden="1" outlineLevel="1">
      <c r="A69" s="1"/>
      <c r="B69" s="1"/>
      <c r="C69" s="247" t="s">
        <v>90</v>
      </c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111"/>
      <c r="O69" s="1"/>
      <c r="P69" s="5"/>
      <c r="Q69" s="5"/>
      <c r="R69" s="82"/>
      <c r="S69" s="82"/>
      <c r="T69" s="82"/>
      <c r="U69" s="82"/>
      <c r="V69" s="82"/>
      <c r="W69" s="82"/>
      <c r="X69" s="82"/>
      <c r="Y69" s="5"/>
    </row>
    <row r="70" spans="1:25" ht="67.5" hidden="1" outlineLevel="1">
      <c r="A70" s="1"/>
      <c r="B70" s="1"/>
      <c r="C70" s="10"/>
      <c r="D70" s="248" t="s">
        <v>91</v>
      </c>
      <c r="E70" s="249"/>
      <c r="F70" s="112" t="s">
        <v>92</v>
      </c>
      <c r="G70" s="113" t="s">
        <v>93</v>
      </c>
      <c r="H70" s="113" t="str">
        <f>"HON.CONTRATUAIS " &amp; IF(V9="Sim", TEXT(V10,"0%"), "")</f>
        <v>HON.CONTRATUAIS 0%</v>
      </c>
      <c r="I70" s="113" t="str">
        <f>"HON.SUCUMBÊNCIA " &amp; IF(V9="Sim", TEXT(V10,"0%"), "")</f>
        <v>HON.SUCUMBÊNCIA 0%</v>
      </c>
      <c r="J70" s="113" t="s">
        <v>94</v>
      </c>
      <c r="K70" s="113" t="s">
        <v>95</v>
      </c>
      <c r="L70" s="113" t="s">
        <v>96</v>
      </c>
      <c r="M70" s="113" t="s">
        <v>97</v>
      </c>
      <c r="N70" s="4"/>
      <c r="O70" s="1"/>
      <c r="P70" s="5"/>
      <c r="Q70" s="5"/>
      <c r="R70" s="82"/>
      <c r="S70" s="82"/>
      <c r="T70" s="82"/>
      <c r="U70" s="82"/>
      <c r="V70" s="82"/>
      <c r="W70" s="82"/>
      <c r="X70" s="82"/>
      <c r="Y70" s="5"/>
    </row>
    <row r="71" spans="1:25" ht="29.25" hidden="1" customHeight="1" outlineLevel="1">
      <c r="A71" s="1"/>
      <c r="B71" s="1"/>
      <c r="C71" s="10"/>
      <c r="D71" s="250"/>
      <c r="E71" s="251"/>
      <c r="F71" s="114"/>
      <c r="G71" s="115">
        <f ca="1">($L$21+$I$25)*F71</f>
        <v>0</v>
      </c>
      <c r="H71" s="115">
        <f ca="1">IF($R$9="Sim",G71*$R$10,0)</f>
        <v>0</v>
      </c>
      <c r="I71" s="115">
        <f>IF($V$9="Sim",F71*$V$10,0)</f>
        <v>0</v>
      </c>
      <c r="J71" s="115">
        <f ca="1">G71-H71-I71</f>
        <v>0</v>
      </c>
      <c r="K71" s="115">
        <f ca="1">$X$93</f>
        <v>3063016.23</v>
      </c>
      <c r="L71" s="115">
        <f ca="1">F71*$U$114</f>
        <v>0</v>
      </c>
      <c r="M71" s="116">
        <f ca="1">$U$110*F71</f>
        <v>0</v>
      </c>
      <c r="N71" s="4"/>
      <c r="O71" s="1"/>
      <c r="P71" s="5"/>
      <c r="Q71" s="5"/>
      <c r="R71" s="82"/>
      <c r="S71" s="82"/>
      <c r="T71" s="82"/>
      <c r="U71" s="82"/>
      <c r="V71" s="82"/>
      <c r="W71" s="82"/>
      <c r="X71" s="82"/>
      <c r="Y71" s="5"/>
    </row>
    <row r="72" spans="1:25" ht="29.25" hidden="1" customHeight="1" outlineLevel="1">
      <c r="A72" s="1"/>
      <c r="B72" s="1"/>
      <c r="C72" s="10"/>
      <c r="D72" s="250"/>
      <c r="E72" s="251"/>
      <c r="F72" s="114"/>
      <c r="G72" s="115">
        <f ca="1">($L$21+$I$25)*F72</f>
        <v>0</v>
      </c>
      <c r="H72" s="115">
        <f ca="1">IF($R$9="Sim",G72*$R$10,0)</f>
        <v>0</v>
      </c>
      <c r="I72" s="115">
        <f>IF($V$9="Sim",F72*$V$10,0)</f>
        <v>0</v>
      </c>
      <c r="J72" s="115">
        <f ca="1">G72-H72-I72</f>
        <v>0</v>
      </c>
      <c r="K72" s="115">
        <f ca="1">$X$93</f>
        <v>3063016.23</v>
      </c>
      <c r="L72" s="115">
        <f ca="1">F72*$U$114</f>
        <v>0</v>
      </c>
      <c r="M72" s="116">
        <f ca="1">$U$110*F72</f>
        <v>0</v>
      </c>
      <c r="N72" s="4"/>
      <c r="O72" s="1"/>
      <c r="P72" s="5"/>
      <c r="Q72" s="5"/>
      <c r="R72" s="82"/>
      <c r="S72" s="82"/>
      <c r="T72" s="82"/>
      <c r="U72" s="82"/>
      <c r="V72" s="82"/>
      <c r="W72" s="82"/>
      <c r="X72" s="82"/>
      <c r="Y72" s="5"/>
    </row>
    <row r="73" spans="1:25" ht="29.25" hidden="1" customHeight="1" outlineLevel="1">
      <c r="A73" s="1"/>
      <c r="B73" s="1"/>
      <c r="C73" s="10"/>
      <c r="D73" s="252" t="s">
        <v>75</v>
      </c>
      <c r="E73" s="253"/>
      <c r="F73" s="117">
        <f>SUM(F71:F72)</f>
        <v>0</v>
      </c>
      <c r="G73" s="118">
        <f ca="1">SUM(G71:G72)</f>
        <v>0</v>
      </c>
      <c r="H73" s="118">
        <f t="shared" ref="H73:I73" ca="1" si="1">SUM(H71:H72)</f>
        <v>0</v>
      </c>
      <c r="I73" s="118">
        <f t="shared" si="1"/>
        <v>0</v>
      </c>
      <c r="J73" s="118">
        <f ca="1">SUM(J71:J72)</f>
        <v>0</v>
      </c>
      <c r="K73" s="118">
        <f ca="1">SUM(K71:K72)</f>
        <v>6126032.46</v>
      </c>
      <c r="L73" s="118">
        <f ca="1">SUM(L71:L72)</f>
        <v>0</v>
      </c>
      <c r="M73" s="119">
        <f ca="1">SUM(M71:M72)</f>
        <v>0</v>
      </c>
      <c r="N73" s="4"/>
      <c r="O73" s="1"/>
      <c r="P73" s="5"/>
      <c r="Q73" s="5"/>
      <c r="R73" s="82"/>
      <c r="S73" s="82"/>
      <c r="T73" s="82"/>
      <c r="U73" s="82"/>
      <c r="V73" s="82"/>
      <c r="W73" s="82"/>
      <c r="X73" s="82"/>
      <c r="Y73" s="5"/>
    </row>
    <row r="74" spans="1:25" ht="29.25" customHeight="1" collapsed="1">
      <c r="A74" s="1"/>
      <c r="B74" s="1"/>
      <c r="C74" s="10"/>
      <c r="D74" s="16"/>
      <c r="E74" s="16"/>
      <c r="F74" s="45"/>
      <c r="G74" s="2"/>
      <c r="H74" s="45"/>
      <c r="I74" s="16"/>
      <c r="J74" s="16"/>
      <c r="K74" s="1"/>
      <c r="L74" s="12"/>
      <c r="M74" s="4"/>
      <c r="N74" s="4"/>
      <c r="O74" s="1"/>
      <c r="P74" s="5"/>
      <c r="Q74" s="5"/>
      <c r="R74" s="82"/>
      <c r="S74" s="82"/>
      <c r="T74" s="82"/>
      <c r="U74" s="82"/>
      <c r="V74" s="82"/>
      <c r="W74" s="82"/>
      <c r="X74" s="82"/>
      <c r="Y74" s="5"/>
    </row>
    <row r="75" spans="1:25" ht="23.25">
      <c r="A75" s="1"/>
      <c r="B75" s="1"/>
      <c r="C75" s="10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1"/>
      <c r="P75" s="5"/>
      <c r="Q75" s="5"/>
      <c r="R75" s="82"/>
      <c r="S75" s="82"/>
      <c r="T75" s="82"/>
      <c r="U75" s="82"/>
      <c r="V75" s="82"/>
      <c r="W75" s="82"/>
      <c r="X75" s="82"/>
      <c r="Y75" s="120"/>
    </row>
    <row r="76" spans="1:25" ht="64.5" customHeight="1">
      <c r="A76" s="1"/>
      <c r="B76" s="1"/>
      <c r="C76" s="10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1"/>
      <c r="P76" s="5"/>
      <c r="Q76" s="5"/>
      <c r="R76" s="82"/>
      <c r="S76" s="82"/>
      <c r="T76" s="82"/>
      <c r="U76" s="82"/>
      <c r="V76" s="82"/>
      <c r="W76" s="82"/>
      <c r="X76" s="82"/>
      <c r="Y76" s="5"/>
    </row>
    <row r="77" spans="1:25" ht="48.75" customHeight="1">
      <c r="A77" s="1"/>
      <c r="B77" s="1"/>
      <c r="C77" s="10"/>
      <c r="D77" s="240" t="s">
        <v>98</v>
      </c>
      <c r="E77" s="240"/>
      <c r="F77" s="240"/>
      <c r="G77" s="240"/>
      <c r="H77" s="240"/>
      <c r="I77" s="240"/>
      <c r="J77" s="240"/>
      <c r="K77" s="4"/>
      <c r="L77" s="4"/>
      <c r="M77" s="4"/>
      <c r="N77" s="4"/>
      <c r="O77" s="1"/>
      <c r="P77" s="5"/>
      <c r="Q77" s="5"/>
      <c r="R77" s="121"/>
      <c r="S77" s="82"/>
      <c r="T77" s="82"/>
      <c r="U77" s="84"/>
      <c r="V77" s="84"/>
      <c r="W77" s="84"/>
      <c r="X77" s="84"/>
      <c r="Y77" s="5"/>
    </row>
    <row r="78" spans="1:25" ht="23.25">
      <c r="A78" s="1"/>
      <c r="B78" s="1"/>
      <c r="C78" s="10"/>
      <c r="D78" s="241" t="s">
        <v>99</v>
      </c>
      <c r="E78" s="241"/>
      <c r="F78" s="122" t="s">
        <v>100</v>
      </c>
      <c r="G78" s="123" t="s">
        <v>101</v>
      </c>
      <c r="H78" s="124" t="s">
        <v>102</v>
      </c>
      <c r="I78" s="123" t="s">
        <v>103</v>
      </c>
      <c r="J78" s="123" t="s">
        <v>104</v>
      </c>
      <c r="K78" s="4"/>
      <c r="L78" s="4"/>
      <c r="M78" s="4"/>
      <c r="N78" s="4"/>
      <c r="O78" s="1"/>
      <c r="P78" s="5"/>
      <c r="Q78" s="5"/>
      <c r="R78" s="125" t="s">
        <v>105</v>
      </c>
      <c r="S78" s="126">
        <f ca="1">L21</f>
        <v>54636240.199999996</v>
      </c>
      <c r="T78" s="242" t="s">
        <v>106</v>
      </c>
      <c r="U78" s="242"/>
      <c r="V78" s="242"/>
      <c r="W78" s="84"/>
      <c r="X78" s="84"/>
      <c r="Y78" s="5"/>
    </row>
    <row r="79" spans="1:25" ht="33" customHeight="1">
      <c r="A79" s="1"/>
      <c r="B79" s="1"/>
      <c r="C79" s="10"/>
      <c r="D79" s="243" t="str">
        <f>E10</f>
        <v>MARIA FATIMA DE MACEDO SILVA LOPES</v>
      </c>
      <c r="E79" s="243"/>
      <c r="F79" s="127">
        <f ca="1">T89</f>
        <v>54636240.199999996</v>
      </c>
      <c r="G79" s="128">
        <f ca="1">T95</f>
        <v>6126032.46</v>
      </c>
      <c r="H79" s="128">
        <f ca="1">U114</f>
        <v>10293963.130000001</v>
      </c>
      <c r="I79" s="128">
        <f ca="1">F79-G79-H79</f>
        <v>38216244.609999992</v>
      </c>
      <c r="J79" s="129">
        <f ca="1">IF(V103="sim", U110, "-")</f>
        <v>61</v>
      </c>
      <c r="K79" s="4"/>
      <c r="L79" s="4"/>
      <c r="M79" s="4"/>
      <c r="N79" s="4"/>
      <c r="O79" s="1"/>
      <c r="P79" s="5"/>
      <c r="Q79" s="5"/>
      <c r="R79" s="130" t="s">
        <v>107</v>
      </c>
      <c r="S79" s="131">
        <f ca="1">ROUND(S78*S25,2)</f>
        <v>32127294.23</v>
      </c>
      <c r="T79" s="132">
        <f ca="1">ROUND($K$18*S79,2)</f>
        <v>11630080.51</v>
      </c>
      <c r="U79" s="133">
        <f ca="1">SUM(S79:T79)</f>
        <v>43757374.740000002</v>
      </c>
      <c r="V79" s="134" t="s">
        <v>108</v>
      </c>
      <c r="W79" s="84"/>
      <c r="X79" s="84"/>
      <c r="Y79" s="5"/>
    </row>
    <row r="80" spans="1:25" ht="43.5" customHeight="1">
      <c r="A80" s="1"/>
      <c r="B80" s="1"/>
      <c r="C80" s="10"/>
      <c r="D80" s="243" t="str">
        <f>TEXT(R11,"Texto")&amp;" (Honorários  Contratual)"</f>
        <v>Gabriel de Jesus Silva (Honorários  Contratual)</v>
      </c>
      <c r="E80" s="243"/>
      <c r="F80" s="127">
        <f ca="1">T86</f>
        <v>0</v>
      </c>
      <c r="G80" s="128">
        <v>0</v>
      </c>
      <c r="H80" s="128">
        <f ca="1">ROUND(IF(R12="cpf", IF(F80&gt;=[1]IR!$B$4,F80* [1]IR!$C$4-[1]IR!$D$4, IF(F80&gt;=[1]IR!$B$5,F80* [1]IR!$C$5-[1]IR!$D$5, IF(F80&gt;=[1]IR!$B$6,F80* [1]IR!$C$6-[1]IR!$D$6, IF(F80&gt;=[1]IR!$B$7,F80* [1]IR!$C$7-[1]IR!$D$7, 0)))), IF(R12="cnpj",F80* [1]IR!$C$10, "0")),2)</f>
        <v>0</v>
      </c>
      <c r="I80" s="128">
        <f ca="1">F80-G80-H80</f>
        <v>0</v>
      </c>
      <c r="J80" s="129" t="s">
        <v>35</v>
      </c>
      <c r="K80" s="4"/>
      <c r="L80" s="4"/>
      <c r="M80" s="4"/>
      <c r="N80" s="4"/>
      <c r="O80" s="1"/>
      <c r="P80" s="5"/>
      <c r="Q80" s="5"/>
      <c r="R80" s="130" t="s">
        <v>109</v>
      </c>
      <c r="S80" s="131">
        <f ca="1">ROUND(U25*S78,2)</f>
        <v>7987419.5700000003</v>
      </c>
      <c r="T80" s="132">
        <f ca="1">ROUND($K$18*S80,2)</f>
        <v>2891445.88</v>
      </c>
      <c r="U80" s="135">
        <f ca="1">SUM(S80:T80)</f>
        <v>10878865.449999999</v>
      </c>
      <c r="V80" s="136" t="s">
        <v>110</v>
      </c>
      <c r="W80" s="84"/>
      <c r="X80" s="84"/>
      <c r="Y80" s="5"/>
    </row>
    <row r="81" spans="1:25" ht="51.75" customHeight="1">
      <c r="A81" s="1"/>
      <c r="B81" s="1"/>
      <c r="C81" s="10"/>
      <c r="D81" s="243" t="str">
        <f>TEXT(V11,"Texto")&amp;" (Honorários de Sucumbência)"</f>
        <v>GABRIEL DE JESUS SILVA (Honorários de Sucumbência)</v>
      </c>
      <c r="E81" s="243"/>
      <c r="F81" s="127">
        <f ca="1">T88</f>
        <v>0</v>
      </c>
      <c r="G81" s="128">
        <v>0</v>
      </c>
      <c r="H81" s="128">
        <f ca="1">ROUND(IF(V12="cpf", IF(F81&gt;=[1]IR!$B$4,F81* [1]IR!$C$4-[1]IR!$D$4, IF(F81&gt;=[1]IR!$B$5,F81* [1]IR!$C$5-[1]IR!$D$5, IF(F81&gt;=[1]IR!$B$6,F81* [1]IR!$C$6-[1]IR!$D$6, IF(F81&gt;=[1]IR!$B$7,F81* [1]IR!$C$7-[1]IR!$D$7, 0)))), IF(V12="cnpj",F81* [1]IR!$C$10, "0")),2)</f>
        <v>0</v>
      </c>
      <c r="I81" s="128">
        <f ca="1">F81-G81-H81</f>
        <v>0</v>
      </c>
      <c r="J81" s="129" t="s">
        <v>35</v>
      </c>
      <c r="K81" s="4"/>
      <c r="L81" s="4"/>
      <c r="M81" s="4"/>
      <c r="N81" s="4"/>
      <c r="O81" s="1"/>
      <c r="P81" s="5"/>
      <c r="Q81" s="5"/>
      <c r="R81" s="130" t="s">
        <v>111</v>
      </c>
      <c r="S81" s="131">
        <f ca="1">ROUND(S78*W25,2)</f>
        <v>14521526.4</v>
      </c>
      <c r="T81" s="137">
        <f ca="1">SUM(T79:T80)</f>
        <v>14521526.390000001</v>
      </c>
      <c r="U81" s="138">
        <f ca="1">SUM(U79:U80)</f>
        <v>54636240.189999998</v>
      </c>
      <c r="V81" s="139" t="s">
        <v>112</v>
      </c>
      <c r="W81" s="84"/>
      <c r="X81" s="84"/>
      <c r="Y81" s="5"/>
    </row>
    <row r="82" spans="1:25" ht="41.25" customHeight="1">
      <c r="A82" s="1"/>
      <c r="B82" s="1"/>
      <c r="C82" s="10"/>
      <c r="D82" s="260" t="s">
        <v>113</v>
      </c>
      <c r="E82" s="260"/>
      <c r="F82" s="118">
        <f t="shared" ref="F82" ca="1" si="2">SUM(F79:F81)</f>
        <v>54636240.199999996</v>
      </c>
      <c r="G82" s="118">
        <f ca="1">SUM(G79:G81)</f>
        <v>6126032.46</v>
      </c>
      <c r="H82" s="118">
        <f ca="1">SUM(H79:H81)</f>
        <v>10293963.130000001</v>
      </c>
      <c r="I82" s="118">
        <f ca="1">SUM(I79:I81)</f>
        <v>38216244.609999992</v>
      </c>
      <c r="J82" s="118" t="s">
        <v>35</v>
      </c>
      <c r="K82" s="4"/>
      <c r="L82" s="4"/>
      <c r="M82" s="4"/>
      <c r="N82" s="4"/>
      <c r="O82" s="1"/>
      <c r="P82" s="5"/>
      <c r="Q82" s="5"/>
      <c r="R82" s="84"/>
      <c r="S82" s="84"/>
      <c r="T82" s="84"/>
      <c r="U82" s="84"/>
      <c r="V82" s="84"/>
      <c r="W82" s="84"/>
      <c r="X82" s="84"/>
      <c r="Y82" s="5"/>
    </row>
    <row r="83" spans="1:25" ht="23.25" customHeight="1">
      <c r="A83" s="1"/>
      <c r="B83" s="1"/>
      <c r="C83" s="10"/>
      <c r="D83" s="108"/>
      <c r="E83" s="108"/>
      <c r="F83" s="140"/>
      <c r="G83" s="108"/>
      <c r="H83" s="108"/>
      <c r="I83" s="108"/>
      <c r="J83" s="108"/>
      <c r="K83" s="4"/>
      <c r="L83" s="4"/>
      <c r="M83" s="4"/>
      <c r="N83" s="4"/>
      <c r="O83" s="1"/>
      <c r="P83" s="5"/>
      <c r="Q83" s="5"/>
      <c r="R83" s="84"/>
      <c r="S83" s="84"/>
      <c r="T83" s="84"/>
      <c r="U83" s="84"/>
      <c r="V83" s="84"/>
      <c r="W83" s="84"/>
      <c r="X83" s="141"/>
      <c r="Y83" s="5"/>
    </row>
    <row r="84" spans="1:25" ht="23.25">
      <c r="A84" s="1"/>
      <c r="B84" s="1"/>
      <c r="C84" s="10"/>
      <c r="D84" s="14" t="str" cm="1">
        <f t="array" aca="1" ref="D84" ca="1">"Importa a presente conta o valor bruto de R$ " &amp; TEXT(ROUND($F$82,2), "#.##0,00") &amp; " (" &amp; PROPER(Converter_numero(ROUND($F$82,2))) &amp; ")"</f>
        <v>Importa a presente conta o valor bruto de R$ 54.636.240,20 (Cinquenta E Quatro Milhões, Seiscentos E Trinta E Seis Mil, Duzentos E Quarenta Reais E Vinte Centavos)</v>
      </c>
      <c r="E84" s="14"/>
      <c r="F84" s="142"/>
      <c r="G84" s="14"/>
      <c r="H84" s="14"/>
      <c r="I84" s="14"/>
      <c r="J84" s="16"/>
      <c r="K84" s="4"/>
      <c r="L84" s="4"/>
      <c r="M84" s="4"/>
      <c r="N84" s="4"/>
      <c r="O84" s="1"/>
      <c r="P84" s="5"/>
      <c r="Q84" s="5"/>
      <c r="R84" s="84"/>
      <c r="S84" s="244" t="s">
        <v>114</v>
      </c>
      <c r="T84" s="244"/>
      <c r="U84" s="84"/>
      <c r="V84" s="84"/>
      <c r="W84" s="84"/>
      <c r="X84" s="84"/>
      <c r="Y84" s="5"/>
    </row>
    <row r="85" spans="1:25" ht="23.25">
      <c r="A85" s="1"/>
      <c r="B85" s="1"/>
      <c r="C85" s="10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1"/>
      <c r="P85" s="5"/>
      <c r="Q85" s="5"/>
      <c r="R85" s="84"/>
      <c r="S85" s="143" t="s">
        <v>115</v>
      </c>
      <c r="T85" s="144">
        <f ca="1">S78</f>
        <v>54636240.199999996</v>
      </c>
      <c r="U85" s="84"/>
      <c r="V85" s="84"/>
      <c r="W85" s="84"/>
      <c r="X85" s="84"/>
      <c r="Y85" s="5"/>
    </row>
    <row r="86" spans="1:25" ht="23.25">
      <c r="A86" s="1"/>
      <c r="B86" s="1"/>
      <c r="C86" s="10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1"/>
      <c r="P86" s="5"/>
      <c r="Q86" s="5"/>
      <c r="R86" s="84"/>
      <c r="S86" s="145" t="s">
        <v>116</v>
      </c>
      <c r="T86" s="146">
        <f ca="1">IF(R9="Sim",ROUND(T85*$R$10,2),T85*0)</f>
        <v>0</v>
      </c>
      <c r="U86" s="84"/>
      <c r="V86" s="84"/>
      <c r="W86" s="84"/>
      <c r="X86" s="84"/>
      <c r="Y86" s="5"/>
    </row>
    <row r="87" spans="1:25" ht="23.25">
      <c r="A87" s="1"/>
      <c r="B87" s="1"/>
      <c r="C87" s="147" t="s">
        <v>117</v>
      </c>
      <c r="D87" s="14"/>
      <c r="E87" s="14"/>
      <c r="F87" s="14"/>
      <c r="G87" s="14"/>
      <c r="H87" s="14"/>
      <c r="I87" s="16"/>
      <c r="J87" s="16"/>
      <c r="K87" s="11"/>
      <c r="L87" s="3"/>
      <c r="M87" s="3"/>
      <c r="N87" s="4"/>
      <c r="O87" s="1"/>
      <c r="P87" s="5"/>
      <c r="Q87" s="5"/>
      <c r="R87" s="121"/>
      <c r="S87" s="145" t="s">
        <v>118</v>
      </c>
      <c r="T87" s="146">
        <f>G62</f>
        <v>0</v>
      </c>
      <c r="U87" s="82"/>
      <c r="V87" s="84"/>
      <c r="W87" s="84"/>
      <c r="X87" s="84"/>
      <c r="Y87" s="5"/>
    </row>
    <row r="88" spans="1:25" ht="28.5" customHeight="1">
      <c r="A88" s="1"/>
      <c r="B88" s="1"/>
      <c r="C88" s="81"/>
      <c r="D88" s="238" t="s">
        <v>119</v>
      </c>
      <c r="E88" s="238"/>
      <c r="F88" s="148" t="s">
        <v>120</v>
      </c>
      <c r="G88" s="81"/>
      <c r="H88" s="81"/>
      <c r="I88" s="14"/>
      <c r="J88" s="149"/>
      <c r="K88" s="11"/>
      <c r="L88" s="3"/>
      <c r="M88" s="4"/>
      <c r="N88" s="4"/>
      <c r="O88" s="1"/>
      <c r="P88" s="5"/>
      <c r="Q88" s="5"/>
      <c r="R88" s="121"/>
      <c r="S88" s="150" t="s">
        <v>121</v>
      </c>
      <c r="T88" s="146">
        <f ca="1">IF(V9="Sim",ROUND(T85*$V$10,2),T85*0)</f>
        <v>0</v>
      </c>
      <c r="U88" s="84"/>
      <c r="V88" s="84"/>
      <c r="W88" s="84"/>
      <c r="X88" s="84"/>
      <c r="Y88" s="5"/>
    </row>
    <row r="89" spans="1:25" ht="93">
      <c r="A89" s="1"/>
      <c r="B89" s="1"/>
      <c r="C89" s="81"/>
      <c r="D89" s="151" t="s">
        <v>122</v>
      </c>
      <c r="E89" s="148">
        <f ca="1">U107</f>
        <v>43757374.740000002</v>
      </c>
      <c r="F89" s="152">
        <f ca="1">J79</f>
        <v>61</v>
      </c>
      <c r="G89" s="81"/>
      <c r="H89" s="153"/>
      <c r="I89" s="154"/>
      <c r="J89" s="149"/>
      <c r="K89" s="11"/>
      <c r="L89" s="3"/>
      <c r="M89" s="4"/>
      <c r="N89" s="4"/>
      <c r="O89" s="1"/>
      <c r="P89" s="5"/>
      <c r="Q89" s="5"/>
      <c r="R89" s="121"/>
      <c r="S89" s="155" t="s">
        <v>123</v>
      </c>
      <c r="T89" s="156">
        <f ca="1">T85-SUM(T86:T87)</f>
        <v>54636240.199999996</v>
      </c>
      <c r="U89" s="84"/>
      <c r="V89" s="84"/>
      <c r="W89" s="84"/>
      <c r="X89" s="84"/>
      <c r="Y89" s="5"/>
    </row>
    <row r="90" spans="1:25" ht="54.75" customHeight="1">
      <c r="A90" s="1"/>
      <c r="B90" s="1"/>
      <c r="C90" s="81"/>
      <c r="D90" s="151" t="s">
        <v>124</v>
      </c>
      <c r="E90" s="148">
        <f ca="1">T89-U107</f>
        <v>10878865.459999993</v>
      </c>
      <c r="F90" s="81"/>
      <c r="G90" s="81"/>
      <c r="H90" s="81"/>
      <c r="I90" s="14"/>
      <c r="J90" s="14"/>
      <c r="K90" s="11"/>
      <c r="L90" s="3"/>
      <c r="M90" s="4"/>
      <c r="N90" s="4"/>
      <c r="O90" s="1"/>
      <c r="P90" s="5"/>
      <c r="Q90" s="5"/>
      <c r="R90" s="121"/>
      <c r="S90" s="84"/>
      <c r="T90" s="84"/>
      <c r="U90" s="84"/>
      <c r="V90" s="84"/>
      <c r="W90" s="84"/>
      <c r="X90" s="84"/>
      <c r="Y90" s="5"/>
    </row>
    <row r="91" spans="1:25" ht="66.75" customHeight="1">
      <c r="A91" s="1"/>
      <c r="B91" s="1"/>
      <c r="C91" s="81"/>
      <c r="D91" s="151" t="s">
        <v>125</v>
      </c>
      <c r="E91" s="148">
        <v>0</v>
      </c>
      <c r="F91" s="81"/>
      <c r="G91" s="81"/>
      <c r="H91" s="81"/>
      <c r="I91" s="14"/>
      <c r="J91" s="14"/>
      <c r="K91" s="11"/>
      <c r="L91" s="3"/>
      <c r="M91" s="4"/>
      <c r="N91" s="4"/>
      <c r="O91" s="1"/>
      <c r="P91" s="5"/>
      <c r="Q91" s="5"/>
      <c r="R91" s="121"/>
      <c r="S91" s="157" t="s">
        <v>126</v>
      </c>
      <c r="T91" s="158" t="s">
        <v>11</v>
      </c>
      <c r="U91" s="159">
        <v>0.14000000000000001</v>
      </c>
      <c r="V91" s="160" t="s">
        <v>127</v>
      </c>
      <c r="W91" s="230" t="s">
        <v>128</v>
      </c>
      <c r="X91" s="231"/>
      <c r="Y91" s="5"/>
    </row>
    <row r="92" spans="1:25" ht="23.25">
      <c r="A92" s="1"/>
      <c r="B92" s="1"/>
      <c r="C92" s="81"/>
      <c r="E92" s="81"/>
      <c r="F92" s="81"/>
      <c r="G92" s="81"/>
      <c r="H92" s="81"/>
      <c r="I92" s="14"/>
      <c r="J92" s="14"/>
      <c r="K92" s="11"/>
      <c r="L92" s="3"/>
      <c r="M92" s="4"/>
      <c r="N92" s="4"/>
      <c r="O92" s="1"/>
      <c r="P92" s="5"/>
      <c r="Q92" s="5"/>
      <c r="R92" s="121"/>
      <c r="S92" s="161" t="s">
        <v>129</v>
      </c>
      <c r="T92" s="162">
        <f ca="1">IF(T91="Sim", U79, "R$ 0,00")</f>
        <v>43757374.740000002</v>
      </c>
      <c r="U92" s="5"/>
      <c r="V92" s="5"/>
      <c r="W92" s="163" t="s">
        <v>130</v>
      </c>
      <c r="X92" s="164">
        <f ca="1">T95</f>
        <v>6126032.46</v>
      </c>
      <c r="Y92" s="5"/>
    </row>
    <row r="93" spans="1:25" ht="46.5">
      <c r="A93" s="1"/>
      <c r="B93" s="1"/>
      <c r="C93" s="81"/>
      <c r="D93" s="81" t="s">
        <v>131</v>
      </c>
      <c r="E93" s="81"/>
      <c r="F93" s="165"/>
      <c r="G93" s="81"/>
      <c r="H93" s="81"/>
      <c r="I93" s="14"/>
      <c r="J93" s="14"/>
      <c r="K93" s="11"/>
      <c r="L93" s="3"/>
      <c r="M93" s="4"/>
      <c r="N93" s="4"/>
      <c r="O93" s="1"/>
      <c r="P93" s="5"/>
      <c r="Q93" s="5"/>
      <c r="R93" s="121"/>
      <c r="S93" s="161" t="str">
        <f>CONCATENATE("Aliquota ", TEXT(U91, "0%"))</f>
        <v>Aliquota 14%</v>
      </c>
      <c r="T93" s="166">
        <f ca="1">ROUND(T92*U91,2)</f>
        <v>6126032.46</v>
      </c>
      <c r="U93" s="5"/>
      <c r="V93" s="5"/>
      <c r="W93" s="167" t="s">
        <v>132</v>
      </c>
      <c r="X93" s="168">
        <f ca="1">X92/2</f>
        <v>3063016.23</v>
      </c>
      <c r="Y93" s="5"/>
    </row>
    <row r="94" spans="1:25" ht="46.5">
      <c r="A94" s="1"/>
      <c r="B94" s="1"/>
      <c r="C94" s="81"/>
      <c r="D94" s="169" t="s">
        <v>133</v>
      </c>
      <c r="E94" s="81"/>
      <c r="F94" s="165"/>
      <c r="G94" s="81"/>
      <c r="H94" s="81"/>
      <c r="I94" s="14"/>
      <c r="J94" s="14"/>
      <c r="K94" s="11"/>
      <c r="L94" s="3"/>
      <c r="M94" s="4"/>
      <c r="N94" s="4"/>
      <c r="O94" s="1"/>
      <c r="P94" s="5"/>
      <c r="Q94" s="5"/>
      <c r="R94" s="121"/>
      <c r="S94" s="170" t="s">
        <v>134</v>
      </c>
      <c r="T94" s="166">
        <f>IF(R6="Sim",U94*G53*(1+F61),0)</f>
        <v>0</v>
      </c>
      <c r="U94" s="171"/>
      <c r="V94" s="160" t="s">
        <v>135</v>
      </c>
      <c r="W94" s="172" t="s">
        <v>136</v>
      </c>
      <c r="X94" s="173">
        <f ca="1">G71</f>
        <v>0</v>
      </c>
      <c r="Y94" s="5"/>
    </row>
    <row r="95" spans="1:25" ht="46.5">
      <c r="A95" s="1"/>
      <c r="B95" s="1"/>
      <c r="C95" s="81"/>
      <c r="D95" s="169" t="s">
        <v>137</v>
      </c>
      <c r="E95" s="81"/>
      <c r="F95" s="165"/>
      <c r="G95" s="81"/>
      <c r="H95" s="81"/>
      <c r="I95" s="108"/>
      <c r="J95" s="108"/>
      <c r="K95" s="108"/>
      <c r="L95" s="108"/>
      <c r="M95" s="4"/>
      <c r="N95" s="4"/>
      <c r="O95" s="1"/>
      <c r="P95" s="5"/>
      <c r="Q95" s="5"/>
      <c r="R95" s="84"/>
      <c r="S95" s="174" t="s">
        <v>100</v>
      </c>
      <c r="T95" s="175">
        <f ca="1">T93-T94</f>
        <v>6126032.46</v>
      </c>
      <c r="U95" s="84"/>
      <c r="V95" s="84"/>
      <c r="W95" s="172" t="s">
        <v>138</v>
      </c>
      <c r="X95" s="173">
        <f ca="1">S78</f>
        <v>54636240.199999996</v>
      </c>
      <c r="Y95" s="5"/>
    </row>
    <row r="96" spans="1:25" ht="46.5">
      <c r="A96" s="1"/>
      <c r="B96" s="1"/>
      <c r="C96" s="81"/>
      <c r="D96" s="81" t="s">
        <v>139</v>
      </c>
      <c r="E96" s="81"/>
      <c r="F96" s="165"/>
      <c r="G96" s="81"/>
      <c r="H96" s="81"/>
      <c r="I96" s="108"/>
      <c r="J96" s="108"/>
      <c r="K96" s="108"/>
      <c r="L96" s="108"/>
      <c r="M96" s="4"/>
      <c r="N96" s="4"/>
      <c r="O96" s="1"/>
      <c r="P96" s="5"/>
      <c r="Q96" s="5"/>
      <c r="R96" s="121"/>
      <c r="S96" s="84"/>
      <c r="T96" s="84"/>
      <c r="U96" s="84"/>
      <c r="V96" s="84"/>
      <c r="W96" s="176" t="s">
        <v>140</v>
      </c>
      <c r="X96" s="177" t="e">
        <f ca="1">X95*X93/X94</f>
        <v>#DIV/0!</v>
      </c>
      <c r="Y96" s="5"/>
    </row>
    <row r="97" spans="1:25" ht="23.25">
      <c r="A97" s="1"/>
      <c r="B97" s="1"/>
      <c r="C97" s="81"/>
      <c r="D97" s="81" t="s">
        <v>141</v>
      </c>
      <c r="E97" s="81"/>
      <c r="F97" s="165"/>
      <c r="G97" s="81"/>
      <c r="H97" s="81"/>
      <c r="I97" s="108"/>
      <c r="J97" s="108"/>
      <c r="K97" s="108"/>
      <c r="L97" s="108"/>
      <c r="M97" s="4"/>
      <c r="N97" s="4"/>
      <c r="O97" s="1"/>
      <c r="P97" s="5"/>
      <c r="Q97" s="5"/>
      <c r="R97" s="121"/>
      <c r="S97" s="232" t="s">
        <v>104</v>
      </c>
      <c r="T97" s="232"/>
      <c r="U97" s="84"/>
      <c r="V97" s="84"/>
      <c r="W97" s="84"/>
      <c r="X97" s="84"/>
      <c r="Y97" s="5"/>
    </row>
    <row r="98" spans="1:25" ht="23.25">
      <c r="A98" s="1"/>
      <c r="B98" s="1"/>
      <c r="C98" s="81"/>
      <c r="D98" s="81" t="s">
        <v>142</v>
      </c>
      <c r="E98" s="81"/>
      <c r="F98" s="165"/>
      <c r="G98" s="81"/>
      <c r="H98" s="81"/>
      <c r="I98" s="108"/>
      <c r="J98" s="108"/>
      <c r="K98" s="108"/>
      <c r="L98" s="108"/>
      <c r="M98" s="4"/>
      <c r="N98" s="4"/>
      <c r="O98" s="1"/>
      <c r="P98" s="5"/>
      <c r="Q98" s="5"/>
      <c r="R98" s="121"/>
      <c r="S98" s="178">
        <f ca="1">(IF(V103="Sim",R24,0))</f>
        <v>54636240.199999996</v>
      </c>
      <c r="T98" s="179">
        <v>61</v>
      </c>
      <c r="U98" s="84"/>
      <c r="V98" s="84"/>
      <c r="W98" s="84"/>
      <c r="X98" s="84"/>
      <c r="Y98" s="5"/>
    </row>
    <row r="99" spans="1:25" ht="23.25">
      <c r="A99" s="1"/>
      <c r="B99" s="1"/>
      <c r="C99" s="180"/>
      <c r="D99" s="81" t="s">
        <v>143</v>
      </c>
      <c r="E99" s="81"/>
      <c r="F99" s="81"/>
      <c r="G99" s="81"/>
      <c r="H99" s="14"/>
      <c r="I99" s="14"/>
      <c r="J99" s="14"/>
      <c r="K99" s="11"/>
      <c r="L99" s="3"/>
      <c r="M99" s="4"/>
      <c r="N99" s="4"/>
      <c r="O99" s="1"/>
      <c r="P99" s="5"/>
      <c r="Q99" s="5"/>
      <c r="R99" s="121"/>
      <c r="S99" s="178">
        <f ca="1">T85</f>
        <v>54636240.199999996</v>
      </c>
      <c r="T99" s="181" t="s">
        <v>144</v>
      </c>
      <c r="U99" s="84"/>
      <c r="V99" s="84"/>
      <c r="W99" s="84"/>
      <c r="X99" s="84"/>
      <c r="Y99" s="5"/>
    </row>
    <row r="100" spans="1:25" ht="23.25">
      <c r="A100" s="1"/>
      <c r="B100" s="1"/>
      <c r="C100" s="180"/>
      <c r="D100" s="182" t="s">
        <v>145</v>
      </c>
      <c r="E100" s="81"/>
      <c r="F100" s="81"/>
      <c r="G100" s="81"/>
      <c r="H100" s="14"/>
      <c r="I100" s="14"/>
      <c r="J100" s="14"/>
      <c r="K100" s="11"/>
      <c r="L100" s="3"/>
      <c r="M100" s="4"/>
      <c r="N100" s="4"/>
      <c r="O100" s="1"/>
      <c r="P100" s="5"/>
      <c r="Q100" s="5"/>
      <c r="R100" s="5"/>
      <c r="S100" s="183"/>
      <c r="T100" s="184">
        <f ca="1">ROUND((S99*T98)/S98,0)</f>
        <v>61</v>
      </c>
      <c r="U100" s="84"/>
      <c r="V100" s="84"/>
      <c r="W100" s="84"/>
      <c r="X100" s="84"/>
      <c r="Y100" s="5"/>
    </row>
    <row r="101" spans="1:25" ht="23.25">
      <c r="A101" s="1"/>
      <c r="B101" s="1"/>
      <c r="C101" s="180"/>
      <c r="D101" s="182" t="s">
        <v>146</v>
      </c>
      <c r="E101" s="81"/>
      <c r="F101" s="81"/>
      <c r="G101" s="81"/>
      <c r="H101" s="14"/>
      <c r="I101" s="14"/>
      <c r="J101" s="14"/>
      <c r="K101" s="14"/>
      <c r="L101" s="3"/>
      <c r="M101" s="4"/>
      <c r="N101" s="4"/>
      <c r="O101" s="1"/>
      <c r="P101" s="5"/>
      <c r="Q101" s="5"/>
      <c r="R101" s="5"/>
      <c r="S101" s="84"/>
      <c r="T101" s="84"/>
      <c r="U101" s="5"/>
      <c r="V101" s="84"/>
      <c r="W101" s="84"/>
      <c r="X101" s="84"/>
      <c r="Y101" s="5"/>
    </row>
    <row r="102" spans="1:25" ht="23.25">
      <c r="A102" s="1"/>
      <c r="B102" s="1"/>
      <c r="C102" s="180"/>
      <c r="D102" s="182" t="s">
        <v>147</v>
      </c>
      <c r="E102" s="81"/>
      <c r="F102" s="81"/>
      <c r="G102" s="81"/>
      <c r="H102" s="14"/>
      <c r="I102" s="14"/>
      <c r="J102" s="14"/>
      <c r="K102" s="14"/>
      <c r="L102" s="3"/>
      <c r="M102" s="4"/>
      <c r="N102" s="4"/>
      <c r="O102" s="1"/>
      <c r="P102" s="5"/>
      <c r="Q102" s="5"/>
      <c r="R102" s="121"/>
      <c r="S102" s="84"/>
      <c r="T102" s="84"/>
      <c r="U102" s="84"/>
      <c r="V102" s="84"/>
      <c r="W102" s="84"/>
      <c r="X102" s="84"/>
      <c r="Y102" s="5"/>
    </row>
    <row r="103" spans="1:25" ht="23.25">
      <c r="A103" s="1"/>
      <c r="B103" s="1"/>
      <c r="C103" s="180"/>
      <c r="D103" s="182" t="s">
        <v>148</v>
      </c>
      <c r="E103" s="81"/>
      <c r="F103" s="81"/>
      <c r="G103" s="81"/>
      <c r="H103" s="14"/>
      <c r="I103" s="14"/>
      <c r="J103" s="14"/>
      <c r="K103" s="14"/>
      <c r="L103" s="3"/>
      <c r="M103" s="4"/>
      <c r="N103" s="4"/>
      <c r="O103" s="1"/>
      <c r="P103" s="5"/>
      <c r="Q103" s="5"/>
      <c r="R103" s="121"/>
      <c r="S103" s="236" t="s">
        <v>149</v>
      </c>
      <c r="T103" s="185" t="s">
        <v>150</v>
      </c>
      <c r="U103" s="186">
        <f ca="1">U79</f>
        <v>43757374.740000002</v>
      </c>
      <c r="V103" s="237" t="s">
        <v>11</v>
      </c>
      <c r="W103" s="84"/>
      <c r="X103" s="84"/>
      <c r="Y103" s="5"/>
    </row>
    <row r="104" spans="1:25" ht="69.75">
      <c r="A104" s="1"/>
      <c r="B104" s="1"/>
      <c r="C104" s="180"/>
      <c r="D104" s="182" t="s">
        <v>151</v>
      </c>
      <c r="E104" s="81"/>
      <c r="F104" s="81"/>
      <c r="G104" s="81"/>
      <c r="H104" s="14"/>
      <c r="I104" s="14"/>
      <c r="J104" s="14"/>
      <c r="K104" s="14"/>
      <c r="L104" s="3"/>
      <c r="M104" s="4"/>
      <c r="N104" s="4"/>
      <c r="O104" s="1"/>
      <c r="P104" s="5"/>
      <c r="Q104" s="5"/>
      <c r="R104" s="121"/>
      <c r="S104" s="236"/>
      <c r="T104" s="187" t="s">
        <v>134</v>
      </c>
      <c r="U104" s="188">
        <f ca="1">F57*(1+F61)</f>
        <v>0</v>
      </c>
      <c r="V104" s="237"/>
      <c r="W104" s="84"/>
      <c r="X104" s="84"/>
      <c r="Y104" s="5"/>
    </row>
    <row r="105" spans="1:25" ht="23.25">
      <c r="A105" s="1"/>
      <c r="B105" s="1"/>
      <c r="C105" s="182"/>
      <c r="D105" s="182" t="str">
        <f ca="1">CONCATENATE("Faixa ", IF(U114=0, "Isenta", U112*100), ". RRA Total: ", T98,". RRA do pagamento: ", Z137)</f>
        <v>Faixa 27,5. RRA Total: 61. RRA do pagamento: 61</v>
      </c>
      <c r="E105" s="81"/>
      <c r="F105" s="81"/>
      <c r="G105" s="165"/>
      <c r="H105" s="14"/>
      <c r="I105" s="14"/>
      <c r="J105" s="14"/>
      <c r="K105" s="14"/>
      <c r="L105" s="180"/>
      <c r="M105" s="4"/>
      <c r="N105" s="4"/>
      <c r="O105" s="1"/>
      <c r="P105" s="5"/>
      <c r="Q105" s="5"/>
      <c r="R105" s="121"/>
      <c r="S105" s="189" t="s">
        <v>152</v>
      </c>
      <c r="T105" s="190"/>
      <c r="U105" s="191">
        <f ca="1">IF(R9="sim",R10*(U103+U104),0)</f>
        <v>0</v>
      </c>
      <c r="V105" s="192"/>
      <c r="W105" s="84"/>
      <c r="X105" s="84"/>
      <c r="Y105" s="5"/>
    </row>
    <row r="106" spans="1:25" ht="23.25">
      <c r="A106" s="1"/>
      <c r="B106" s="1"/>
      <c r="C106" s="14"/>
      <c r="D106" s="182" t="str">
        <f>IF(R9="Não", "", IF(R12="cpf", "8- Cálculo do Imposto de Renda dos honorários contratuais de acordo com a MP 1206/2024.", IF(R12="cnpj", "8- Cálculo do Imposto de Renda dos honorários contratuais de acordo com o decreto 9.580, art 714.", "")))</f>
        <v>8- Cálculo do Imposto de Renda dos honorários contratuais de acordo com o decreto 9.580, art 714.</v>
      </c>
      <c r="E106" s="81"/>
      <c r="F106" s="81"/>
      <c r="G106" s="165"/>
      <c r="H106" s="14"/>
      <c r="I106" s="14"/>
      <c r="J106" s="14"/>
      <c r="K106" s="14"/>
      <c r="L106" s="180"/>
      <c r="M106" s="4"/>
      <c r="N106" s="4"/>
      <c r="O106" s="1"/>
      <c r="P106" s="5"/>
      <c r="Q106" s="5"/>
      <c r="R106" s="84"/>
      <c r="S106" s="193" t="s">
        <v>153</v>
      </c>
      <c r="T106" s="194"/>
      <c r="U106" s="195">
        <v>0</v>
      </c>
      <c r="V106" s="192"/>
      <c r="W106" s="84"/>
      <c r="X106" s="84"/>
      <c r="Y106" s="5"/>
    </row>
    <row r="107" spans="1:25" ht="23.25">
      <c r="A107" s="1"/>
      <c r="B107" s="1"/>
      <c r="C107" s="14"/>
      <c r="D107" s="196" t="str">
        <f>IF(R9="Não", "", IF(R12="cpf", "Alíquota: " &amp; IF(F80&gt;=[1]IR!$B$4, [1]IR!$C$4*100 &amp;"%", IF(F80&gt;=[1]IR!$B$5, [1]IR!$C$5*100 &amp;"%", IF(F80&gt;=[1]IR!$B$6, [1]IR!$C$6*100 &amp;"%", IF(F80&gt;=[1]IR!$B$7, [1]IR!$C$7*100, "Isento")))), IF(R12="cnpj", "Alíquota: " &amp; [1]IR!$C$10*100 &amp;"%", "Escolha Inválida")))</f>
        <v>Alíquota: 1,5%</v>
      </c>
      <c r="E107" s="81"/>
      <c r="F107" s="81"/>
      <c r="G107" s="165"/>
      <c r="H107" s="14"/>
      <c r="I107" s="14"/>
      <c r="J107" s="14"/>
      <c r="K107" s="14"/>
      <c r="L107" s="180"/>
      <c r="M107" s="4"/>
      <c r="N107" s="4"/>
      <c r="O107" s="1"/>
      <c r="P107" s="5"/>
      <c r="Q107" s="5"/>
      <c r="R107" s="84"/>
      <c r="S107" s="197" t="s">
        <v>154</v>
      </c>
      <c r="T107" s="84"/>
      <c r="U107" s="198">
        <f ca="1">U103-U104-U105-U106</f>
        <v>43757374.740000002</v>
      </c>
      <c r="V107" s="192"/>
      <c r="W107" s="84"/>
      <c r="X107" s="84"/>
      <c r="Y107" s="5"/>
    </row>
    <row r="108" spans="1:25" ht="23.25">
      <c r="A108" s="1"/>
      <c r="B108" s="1"/>
      <c r="C108" s="1"/>
      <c r="D108" s="4" t="str">
        <f>IF(V9="Não", "", IF(V12="cpf", "9- Cálculo do Imposto de Renda dos honorários sucumbencial de acordo com a MP 1206/2024.", IF(V12="cnpj", "9- Cálculo do Imposto de Renda dos honorários sucumbencial de acordo com o decreto 9.580, art 714.", "")))</f>
        <v>9- Cálculo do Imposto de Renda dos honorários sucumbencial de acordo com a MP 1206/2024.</v>
      </c>
      <c r="E108" s="2"/>
      <c r="F108" s="2"/>
      <c r="G108" s="2"/>
      <c r="H108" s="2"/>
      <c r="I108" s="2"/>
      <c r="J108" s="2"/>
      <c r="K108" s="1"/>
      <c r="L108" s="3"/>
      <c r="M108" s="4"/>
      <c r="N108" s="4"/>
      <c r="O108" s="1"/>
      <c r="P108" s="5"/>
      <c r="Q108" s="5"/>
      <c r="R108" s="5"/>
      <c r="S108" s="199" t="s">
        <v>155</v>
      </c>
      <c r="T108" s="84"/>
      <c r="U108" s="198">
        <f ca="1">T95</f>
        <v>6126032.46</v>
      </c>
      <c r="V108" s="200"/>
      <c r="W108" s="84"/>
      <c r="X108" s="84"/>
      <c r="Y108" s="5"/>
    </row>
    <row r="109" spans="1:25" ht="23.25">
      <c r="A109" s="1"/>
      <c r="B109" s="1"/>
      <c r="C109" s="1"/>
      <c r="D109" s="201" t="str">
        <f ca="1">IF(V9="Não", "", IF(V12="cpf", "Alíquota: " &amp; IF(F81&gt;=[1]IR!$B$4, [1]IR!$C$4*100 &amp;"%", IF(F81&gt;=[1]IR!$B$5, [1]IR!$C$5*100 &amp;"%", IF(F81&gt;=[1]IR!$B$6, [1]IR!$C$6*100 &amp;"%", IF(F81&gt;=[1]IR!$B$7, [1]IR!$C$7*100 &amp;"%", "Isento")))), IF(V12="cnpj", "Alíquota: " &amp; [1]IR!$C$10*100 &amp;"%", "Escolha Inválida")))</f>
        <v>Alíquota: Isento</v>
      </c>
      <c r="E109" s="2"/>
      <c r="F109" s="2"/>
      <c r="G109" s="2"/>
      <c r="H109" s="2"/>
      <c r="I109" s="2"/>
      <c r="J109" s="2"/>
      <c r="K109" s="1"/>
      <c r="L109" s="3"/>
      <c r="M109" s="4"/>
      <c r="N109" s="4"/>
      <c r="O109" s="1"/>
      <c r="P109" s="5"/>
      <c r="Q109" s="44"/>
      <c r="R109" s="5"/>
      <c r="S109" s="202" t="s">
        <v>156</v>
      </c>
      <c r="T109" s="203"/>
      <c r="U109" s="204">
        <f ca="1">U107-U108</f>
        <v>37631342.280000001</v>
      </c>
      <c r="V109" s="205"/>
      <c r="W109" s="84"/>
      <c r="X109" s="84"/>
      <c r="Y109" s="5"/>
    </row>
    <row r="110" spans="1:25" ht="23.25">
      <c r="A110" s="1"/>
      <c r="B110" s="1"/>
      <c r="C110" s="1"/>
      <c r="D110" s="206" t="str">
        <f ca="1">IF(R24-T85=0,"9-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110" s="2"/>
      <c r="F110" s="2"/>
      <c r="G110" s="2"/>
      <c r="H110" s="2"/>
      <c r="I110" s="2"/>
      <c r="J110" s="2"/>
      <c r="K110" s="1"/>
      <c r="L110" s="3"/>
      <c r="M110" s="4"/>
      <c r="N110" s="4"/>
      <c r="O110" s="1"/>
      <c r="P110" s="5"/>
      <c r="Q110" s="207"/>
      <c r="R110" s="5"/>
      <c r="S110" s="193" t="s">
        <v>104</v>
      </c>
      <c r="T110" s="194"/>
      <c r="U110" s="208">
        <f ca="1">ROUND(T100,0)</f>
        <v>61</v>
      </c>
      <c r="V110" s="192"/>
      <c r="W110" s="84"/>
      <c r="X110" s="84"/>
      <c r="Y110" s="5"/>
    </row>
    <row r="111" spans="1:25" ht="23.25">
      <c r="A111" s="1"/>
      <c r="B111" s="1"/>
      <c r="C111" s="1"/>
      <c r="D111" s="2"/>
      <c r="E111" s="2"/>
      <c r="F111" s="2"/>
      <c r="G111" s="2"/>
      <c r="H111" s="2"/>
      <c r="I111" s="2"/>
      <c r="J111" s="2"/>
      <c r="K111" s="1"/>
      <c r="L111" s="3"/>
      <c r="M111" s="4"/>
      <c r="N111" s="4"/>
      <c r="O111" s="1"/>
      <c r="P111" s="5"/>
      <c r="Q111" s="5"/>
      <c r="R111" s="5"/>
      <c r="S111" s="193" t="s">
        <v>157</v>
      </c>
      <c r="T111" s="194"/>
      <c r="U111" s="195">
        <f ca="1">U109/U110</f>
        <v>616907.25049180328</v>
      </c>
      <c r="V111" s="209"/>
      <c r="W111" s="84"/>
      <c r="X111" s="84"/>
      <c r="Y111" s="5"/>
    </row>
    <row r="112" spans="1:25" ht="23.25">
      <c r="A112" s="1"/>
      <c r="B112" s="1"/>
      <c r="C112" s="210"/>
      <c r="D112" s="2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"/>
      <c r="P112" s="5"/>
      <c r="Q112" s="5"/>
      <c r="R112" s="5"/>
      <c r="S112" s="193" t="s">
        <v>158</v>
      </c>
      <c r="T112" s="194"/>
      <c r="U112" s="211">
        <f ca="1">IF(U111&gt;=[1]IR!$B$4, [1]IR!$C$4, IF(U111&gt;=[1]IR!$B$5, [1]IR!$C$5, IF(U111&gt;=[1]IR!$B$6, [1]IR!$C$6, IF(U111&gt;=[1]IR!$B$7, [1]IR!$C$7, [1]IR!$C$8))))</f>
        <v>0.27500000000000002</v>
      </c>
      <c r="V112" s="192"/>
      <c r="W112" s="84"/>
      <c r="X112" s="84"/>
      <c r="Y112" s="5"/>
    </row>
    <row r="113" spans="1:25" ht="23.25">
      <c r="A113" s="1"/>
      <c r="B113" s="1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4"/>
      <c r="N113" s="4"/>
      <c r="O113" s="1"/>
      <c r="P113" s="5"/>
      <c r="Q113" s="5"/>
      <c r="R113" s="5"/>
      <c r="S113" s="193" t="s">
        <v>159</v>
      </c>
      <c r="T113" s="194"/>
      <c r="U113" s="195">
        <f ca="1">IF(U112=[1]IR!$C$7, U111*U112-[1]IR!$D$7, IF(U112=[1]IR!$C$6, U111*U112-[1]IR!$D$6, IF(U112=[1]IR!$C$5, U111*U112-[1]IR!$D$5, IF(U112=[1]IR!$C$4, U111*U112-[1]IR!$D$4, [1]IR!$D$8))))</f>
        <v>168753.4938852459</v>
      </c>
      <c r="V113" s="192"/>
      <c r="W113" s="5"/>
      <c r="X113" s="84"/>
      <c r="Y113" s="5"/>
    </row>
    <row r="114" spans="1:25" ht="23.25">
      <c r="A114" s="1"/>
      <c r="B114" s="1"/>
      <c r="C114" s="2"/>
      <c r="D114" s="229" t="str">
        <f ca="1">"Teresina, " &amp; TEXT(TODAY(), "dd") &amp; " de " &amp; TEXT(TODAY(), "mmmm") &amp; " de " &amp; TEXT(TODAY(), "aaaa")</f>
        <v>Teresina, 17 de fevereiro de 2025</v>
      </c>
      <c r="E114" s="229"/>
      <c r="F114" s="229"/>
      <c r="G114" s="229"/>
      <c r="H114" s="229"/>
      <c r="I114" s="229"/>
      <c r="J114" s="229"/>
      <c r="K114" s="229"/>
      <c r="L114" s="229"/>
      <c r="M114" s="229"/>
      <c r="N114" s="4"/>
      <c r="O114" s="1"/>
      <c r="P114" s="5"/>
      <c r="Q114" s="5"/>
      <c r="R114" s="5"/>
      <c r="S114" s="212" t="s">
        <v>160</v>
      </c>
      <c r="T114" s="213" t="str">
        <f ca="1">"(" &amp; U110 &amp; " meses)"</f>
        <v>(61 meses)</v>
      </c>
      <c r="U114" s="214">
        <f ca="1">IF(V103="sim", ROUND(U113*U110,2), 0)</f>
        <v>10293963.130000001</v>
      </c>
      <c r="V114" s="192"/>
      <c r="W114" s="5"/>
      <c r="X114" s="84"/>
      <c r="Y114" s="5"/>
    </row>
    <row r="115" spans="1:25" ht="23.25">
      <c r="A115" s="1"/>
      <c r="B115" s="1"/>
      <c r="C115" s="2"/>
      <c r="D115" s="229" t="str">
        <f>[1]MENU!$AD$24</f>
        <v>Gabriel de Jesus Silva</v>
      </c>
      <c r="E115" s="229"/>
      <c r="F115" s="229"/>
      <c r="G115" s="229"/>
      <c r="H115" s="229"/>
      <c r="I115" s="229"/>
      <c r="J115" s="229"/>
      <c r="K115" s="229"/>
      <c r="L115" s="229"/>
      <c r="M115" s="229"/>
      <c r="N115" s="4"/>
      <c r="O115" s="1"/>
      <c r="P115" s="5"/>
      <c r="Q115" s="5"/>
      <c r="R115" s="5"/>
      <c r="S115" s="84"/>
      <c r="T115" s="84"/>
      <c r="U115" s="84"/>
      <c r="V115" s="84"/>
      <c r="W115" s="5"/>
      <c r="X115" s="5"/>
      <c r="Y115" s="5"/>
    </row>
    <row r="116" spans="1:25" ht="23.25">
      <c r="A116" s="1"/>
      <c r="B116" s="1"/>
      <c r="C116" s="4"/>
      <c r="D116" s="229" t="str">
        <f>[1]MENU!$AD$25</f>
        <v>Servidor TJ/PI - Coordenadoria de Precatórios</v>
      </c>
      <c r="E116" s="229"/>
      <c r="F116" s="229"/>
      <c r="G116" s="229"/>
      <c r="H116" s="229"/>
      <c r="I116" s="229"/>
      <c r="J116" s="229"/>
      <c r="K116" s="229"/>
      <c r="L116" s="229"/>
      <c r="M116" s="229"/>
      <c r="N116" s="4"/>
      <c r="O116" s="1"/>
      <c r="P116" s="5"/>
      <c r="Q116" s="5"/>
      <c r="R116" s="233" t="s">
        <v>161</v>
      </c>
      <c r="S116" s="234"/>
      <c r="T116" s="234"/>
      <c r="U116" s="234"/>
      <c r="V116" s="235"/>
      <c r="W116" s="5"/>
      <c r="X116" s="5"/>
      <c r="Y116" s="5"/>
    </row>
    <row r="117" spans="1:25" ht="23.25">
      <c r="A117" s="1"/>
      <c r="B117" s="1"/>
      <c r="C117" s="14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4"/>
      <c r="O117" s="1"/>
      <c r="P117" s="5"/>
      <c r="Q117" s="5"/>
      <c r="R117" s="215">
        <f t="shared" ref="R117:U119" ca="1" si="3">ROUND(F79,2)</f>
        <v>54636240.200000003</v>
      </c>
      <c r="S117" s="216">
        <f t="shared" ca="1" si="3"/>
        <v>6126032.46</v>
      </c>
      <c r="T117" s="216">
        <f t="shared" ca="1" si="3"/>
        <v>10293963.130000001</v>
      </c>
      <c r="U117" s="216">
        <f t="shared" ca="1" si="3"/>
        <v>38216244.609999999</v>
      </c>
      <c r="V117" s="217">
        <f ca="1">F79-S117-T117-U117</f>
        <v>0</v>
      </c>
      <c r="W117" s="5"/>
      <c r="X117" s="5"/>
      <c r="Y117" s="5"/>
    </row>
    <row r="118" spans="1:25" ht="23.25">
      <c r="A118" s="1"/>
      <c r="B118" s="1"/>
      <c r="C118" s="14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4"/>
      <c r="O118" s="1"/>
      <c r="P118" s="5"/>
      <c r="Q118" s="5"/>
      <c r="R118" s="215">
        <f t="shared" ca="1" si="3"/>
        <v>0</v>
      </c>
      <c r="S118" s="216">
        <f t="shared" si="3"/>
        <v>0</v>
      </c>
      <c r="T118" s="216">
        <f t="shared" ca="1" si="3"/>
        <v>0</v>
      </c>
      <c r="U118" s="216">
        <f t="shared" ca="1" si="3"/>
        <v>0</v>
      </c>
      <c r="V118" s="217">
        <f ca="1">F80-S118-T118-U118</f>
        <v>0</v>
      </c>
      <c r="W118" s="5"/>
      <c r="X118" s="5"/>
      <c r="Y118" s="5"/>
    </row>
    <row r="119" spans="1:25" ht="23.25">
      <c r="A119" s="1"/>
      <c r="B119" s="1"/>
      <c r="C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"/>
      <c r="O119" s="1"/>
      <c r="P119" s="5"/>
      <c r="Q119" s="5"/>
      <c r="R119" s="215">
        <f t="shared" ca="1" si="3"/>
        <v>0</v>
      </c>
      <c r="S119" s="216">
        <f t="shared" si="3"/>
        <v>0</v>
      </c>
      <c r="T119" s="216">
        <f t="shared" ca="1" si="3"/>
        <v>0</v>
      </c>
      <c r="U119" s="216">
        <f t="shared" ca="1" si="3"/>
        <v>0</v>
      </c>
      <c r="V119" s="217">
        <f ca="1">F81-S119-T119-U119</f>
        <v>0</v>
      </c>
      <c r="W119" s="5"/>
      <c r="X119" s="5"/>
      <c r="Y119" s="5"/>
    </row>
    <row r="120" spans="1:25" ht="23.25">
      <c r="A120" s="1"/>
      <c r="B120" s="1"/>
      <c r="C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1"/>
      <c r="P120" s="5"/>
      <c r="Q120" s="218"/>
      <c r="R120" s="215">
        <f ca="1">SUM(R117:R119)</f>
        <v>54636240.200000003</v>
      </c>
      <c r="S120" s="216">
        <f t="shared" ref="S120:T120" ca="1" si="4">SUM(S117:S119)</f>
        <v>6126032.46</v>
      </c>
      <c r="T120" s="216">
        <f t="shared" ca="1" si="4"/>
        <v>10293963.130000001</v>
      </c>
      <c r="U120" s="216">
        <f ca="1">SUM(U117:U119)</f>
        <v>38216244.609999999</v>
      </c>
      <c r="V120" s="217">
        <f ca="1">F82-S120-T120-U120</f>
        <v>0</v>
      </c>
      <c r="W120" s="5"/>
      <c r="X120" s="5"/>
      <c r="Y120" s="5"/>
    </row>
    <row r="121" spans="1:25" ht="23.25">
      <c r="A121" s="1"/>
      <c r="B121" s="1"/>
      <c r="C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1"/>
      <c r="P121" s="5"/>
      <c r="Q121" s="218"/>
      <c r="R121" s="219">
        <f ca="1">R120-F82</f>
        <v>0</v>
      </c>
      <c r="S121" s="220">
        <f ca="1">S120-G82</f>
        <v>0</v>
      </c>
      <c r="T121" s="220">
        <f ca="1">T120-H82</f>
        <v>0</v>
      </c>
      <c r="U121" s="220">
        <f ca="1">U120-I82</f>
        <v>0</v>
      </c>
      <c r="V121" s="221"/>
      <c r="W121" s="5"/>
      <c r="X121" s="5"/>
      <c r="Y121" s="5"/>
    </row>
    <row r="122" spans="1:25" ht="23.25">
      <c r="A122" s="1"/>
      <c r="B122" s="1"/>
      <c r="C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1"/>
      <c r="P122" s="5"/>
      <c r="Q122" s="222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1"/>
      <c r="P123" s="5"/>
      <c r="Q123" s="223"/>
      <c r="R123" s="5"/>
      <c r="S123" s="5"/>
      <c r="T123" s="5"/>
      <c r="U123" s="5"/>
      <c r="V123" s="5"/>
      <c r="W123" s="5"/>
      <c r="X123" s="5"/>
      <c r="Y123" s="5"/>
    </row>
    <row r="124" spans="1:25" ht="28.5" customHeight="1">
      <c r="A124" s="1"/>
      <c r="B124" s="1"/>
      <c r="C124" s="3"/>
      <c r="D124" s="229"/>
      <c r="E124" s="229"/>
      <c r="F124" s="229"/>
      <c r="G124" s="229"/>
      <c r="H124" s="229"/>
      <c r="I124" s="229"/>
      <c r="J124" s="229"/>
      <c r="K124" s="229"/>
      <c r="L124" s="229"/>
      <c r="M124" s="229"/>
      <c r="N124" s="3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26.25" customHeight="1">
      <c r="A125" s="1"/>
      <c r="B125" s="1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27" customHeight="1">
      <c r="A126" s="1"/>
      <c r="B126" s="1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21" customHeight="1">
      <c r="A127" s="1"/>
      <c r="B127" s="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23.25">
      <c r="A128" s="1"/>
      <c r="B128" s="1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6" ht="23.25">
      <c r="A129" s="1"/>
      <c r="B129" s="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1"/>
      <c r="P129" s="5"/>
      <c r="Q129" s="5"/>
      <c r="R129" s="5"/>
      <c r="S129" s="5"/>
      <c r="T129" s="5"/>
      <c r="U129" s="5"/>
      <c r="V129" s="5"/>
      <c r="W129" s="192"/>
      <c r="X129" s="192"/>
      <c r="Y129" s="5"/>
    </row>
    <row r="130" spans="1:26" ht="23.25">
      <c r="A130" s="1"/>
      <c r="B130" s="1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6" ht="23.25">
      <c r="A131" s="1"/>
      <c r="B131" s="1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6" ht="23.25">
      <c r="A132" s="1"/>
      <c r="B132" s="1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6" ht="23.25">
      <c r="A133" s="1"/>
      <c r="B133" s="1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6" ht="23.25">
      <c r="A134" s="1"/>
      <c r="B134" s="1"/>
      <c r="C134" s="3"/>
      <c r="D134" s="3"/>
      <c r="E134" s="3"/>
      <c r="F134" s="3"/>
      <c r="G134" s="3"/>
      <c r="H134" s="3"/>
      <c r="I134" s="3"/>
      <c r="J134" s="4"/>
      <c r="K134" s="3"/>
      <c r="L134" s="3"/>
      <c r="M134" s="3"/>
      <c r="N134" s="3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6" ht="23.25">
      <c r="A135" s="1"/>
      <c r="B135" s="1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6" ht="23.25">
      <c r="A136" s="1"/>
      <c r="B136" s="1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6" ht="23.25">
      <c r="A137" s="1"/>
      <c r="B137" s="1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6">
        <f ca="1">ROUND(T100,0)</f>
        <v>61</v>
      </c>
    </row>
    <row r="138" spans="1:26" ht="23.25">
      <c r="A138" s="1"/>
      <c r="B138" s="1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6" ht="23.25">
      <c r="A139" s="1"/>
      <c r="B139" s="1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1"/>
      <c r="P139" s="5"/>
      <c r="Q139" s="5"/>
      <c r="R139" s="192"/>
      <c r="S139" s="192"/>
      <c r="T139" s="192"/>
      <c r="U139" s="192"/>
      <c r="V139" s="192"/>
      <c r="W139" s="192"/>
      <c r="X139" s="192"/>
      <c r="Y139" s="5"/>
    </row>
    <row r="140" spans="1:26" ht="18.95" customHeight="1">
      <c r="A140" s="1"/>
      <c r="B140" s="1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1"/>
      <c r="P140" s="5"/>
      <c r="Q140" s="5"/>
      <c r="R140" s="192"/>
      <c r="S140" s="192"/>
      <c r="T140" s="192"/>
      <c r="U140" s="192"/>
      <c r="V140" s="192"/>
      <c r="W140" s="192"/>
      <c r="X140" s="192"/>
      <c r="Y140" s="5"/>
    </row>
    <row r="141" spans="1:26" ht="23.25">
      <c r="A141" s="1"/>
      <c r="B141" s="1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1"/>
      <c r="P141" s="5"/>
      <c r="Q141" s="5"/>
      <c r="R141" s="192"/>
      <c r="S141" s="192"/>
      <c r="T141" s="192"/>
      <c r="U141" s="192"/>
      <c r="V141" s="192"/>
      <c r="W141" s="192"/>
      <c r="X141" s="192"/>
      <c r="Y141" s="5"/>
    </row>
    <row r="142" spans="1:26" ht="23.25">
      <c r="A142" s="1"/>
      <c r="B142" s="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1"/>
      <c r="P142" s="5"/>
      <c r="Q142" s="5"/>
      <c r="R142" s="192"/>
      <c r="S142" s="192"/>
      <c r="T142" s="192"/>
      <c r="U142" s="192"/>
      <c r="V142" s="192"/>
      <c r="W142" s="192"/>
      <c r="X142" s="192"/>
      <c r="Y142" s="5"/>
    </row>
    <row r="143" spans="1:26" ht="23.25">
      <c r="A143" s="1"/>
      <c r="B143" s="1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1"/>
      <c r="P143" s="5"/>
      <c r="Q143" s="5"/>
      <c r="R143" s="192"/>
      <c r="S143" s="192"/>
      <c r="T143" s="192"/>
      <c r="U143" s="192"/>
      <c r="V143" s="192"/>
      <c r="W143" s="192"/>
      <c r="X143" s="192"/>
      <c r="Y143" s="5"/>
    </row>
    <row r="144" spans="1:26" ht="36.950000000000003" customHeight="1">
      <c r="A144" s="1"/>
      <c r="B144" s="1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1"/>
      <c r="P144" s="5"/>
      <c r="Q144" s="5"/>
      <c r="R144" s="192"/>
      <c r="S144" s="192"/>
      <c r="T144" s="192"/>
      <c r="U144" s="192"/>
      <c r="V144" s="192"/>
      <c r="W144" s="192"/>
      <c r="X144" s="192"/>
      <c r="Y144" s="5"/>
    </row>
    <row r="145" spans="1:25" ht="33.4" customHeight="1">
      <c r="A145" s="1"/>
      <c r="B145" s="1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1"/>
      <c r="P145" s="5"/>
      <c r="Q145" s="5"/>
      <c r="R145" s="5"/>
      <c r="S145" s="5"/>
      <c r="T145" s="5"/>
      <c r="U145" s="5"/>
      <c r="V145" s="5"/>
      <c r="W145" s="84"/>
      <c r="X145" s="84"/>
      <c r="Y145" s="5"/>
    </row>
    <row r="146" spans="1:25" ht="23.25">
      <c r="A146" s="1"/>
      <c r="B146" s="1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1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23.25">
      <c r="A147" s="1"/>
      <c r="B147" s="1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1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23.45" customHeight="1">
      <c r="A148" s="1"/>
      <c r="B148" s="1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1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33.6" customHeight="1">
      <c r="A149" s="1"/>
      <c r="B149" s="1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1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.6" customHeight="1">
      <c r="A150" s="1"/>
      <c r="B150" s="1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1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23.25">
      <c r="A151" s="1"/>
      <c r="B151" s="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23.25">
      <c r="A152" s="1"/>
      <c r="B152" s="1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1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ht="23.25">
      <c r="A153" s="1"/>
      <c r="B153" s="1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1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ht="15.6" customHeight="1">
      <c r="A154" s="1"/>
      <c r="B154" s="1"/>
      <c r="C154" s="4"/>
      <c r="D154" s="4"/>
      <c r="E154" s="4"/>
      <c r="F154" s="4"/>
      <c r="G154" s="4"/>
      <c r="H154" s="4"/>
      <c r="I154" s="4"/>
      <c r="K154" s="4"/>
      <c r="L154" s="4"/>
      <c r="M154" s="4"/>
      <c r="N154" s="4"/>
      <c r="O154" s="1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ht="15.6" customHeight="1">
      <c r="A155" s="1"/>
      <c r="B155" s="1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1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ht="15.6" customHeight="1">
      <c r="A156" s="1"/>
      <c r="B156" s="1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1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ht="15.6" customHeight="1">
      <c r="A157" s="1"/>
      <c r="B157" s="1"/>
      <c r="C157" s="224"/>
      <c r="D157" s="16"/>
      <c r="E157" s="16"/>
      <c r="F157" s="16"/>
      <c r="G157" s="16"/>
      <c r="H157" s="16"/>
      <c r="I157" s="16"/>
      <c r="J157" s="16"/>
      <c r="K157" s="11"/>
      <c r="L157" s="3"/>
      <c r="M157" s="4"/>
      <c r="N157" s="4"/>
      <c r="O157" s="1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ht="15.6" customHeight="1">
      <c r="A158" s="1"/>
      <c r="B158" s="1"/>
      <c r="C158" s="11"/>
      <c r="D158" s="16"/>
      <c r="E158" s="16"/>
      <c r="F158" s="16"/>
      <c r="G158" s="16"/>
      <c r="H158" s="16"/>
      <c r="I158" s="16"/>
      <c r="J158" s="16"/>
      <c r="K158" s="11"/>
      <c r="L158" s="3"/>
      <c r="M158" s="4"/>
      <c r="N158" s="4"/>
      <c r="O158" s="1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ht="15.6" customHeight="1">
      <c r="A159" s="1"/>
      <c r="B159" s="1"/>
      <c r="C159" s="225"/>
      <c r="D159" s="16"/>
      <c r="E159" s="16"/>
      <c r="F159" s="16"/>
      <c r="G159" s="16"/>
      <c r="H159" s="16"/>
      <c r="I159" s="16"/>
      <c r="J159" s="16"/>
      <c r="K159" s="11"/>
      <c r="L159" s="3"/>
      <c r="M159" s="4"/>
      <c r="N159" s="4"/>
      <c r="O159" s="1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ht="15.6" customHeight="1">
      <c r="A160" s="1"/>
      <c r="B160" s="1"/>
      <c r="C160" s="226"/>
      <c r="D160" s="16"/>
      <c r="E160" s="16"/>
      <c r="F160" s="16"/>
      <c r="G160" s="16"/>
      <c r="H160" s="16"/>
      <c r="I160" s="16"/>
      <c r="J160" s="16"/>
      <c r="K160" s="11"/>
      <c r="L160" s="3"/>
      <c r="M160" s="4"/>
      <c r="N160" s="4"/>
      <c r="O160" s="1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ht="15.6" customHeight="1">
      <c r="A161" s="1"/>
      <c r="B161" s="1"/>
      <c r="C161" s="11"/>
      <c r="D161" s="16"/>
      <c r="E161" s="16"/>
      <c r="F161" s="16"/>
      <c r="G161" s="16"/>
      <c r="H161" s="16"/>
      <c r="I161" s="16"/>
      <c r="J161" s="16"/>
      <c r="K161" s="11"/>
      <c r="L161" s="3"/>
      <c r="M161" s="4"/>
      <c r="N161" s="4"/>
      <c r="O161" s="1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ht="15.6" customHeight="1">
      <c r="A162" s="1"/>
      <c r="B162" s="1"/>
      <c r="C162" s="11"/>
      <c r="D162" s="16"/>
      <c r="E162" s="16"/>
      <c r="F162" s="16"/>
      <c r="G162" s="16"/>
      <c r="H162" s="16"/>
      <c r="I162" s="16"/>
      <c r="J162" s="16"/>
      <c r="K162" s="11"/>
      <c r="L162" s="3"/>
      <c r="M162" s="4"/>
      <c r="N162" s="4"/>
      <c r="O162" s="1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ht="15.6" customHeight="1">
      <c r="A163" s="1"/>
      <c r="B163" s="1"/>
      <c r="C163" s="11"/>
      <c r="D163" s="16"/>
      <c r="E163" s="16"/>
      <c r="F163" s="16"/>
      <c r="G163" s="16"/>
      <c r="H163" s="16"/>
      <c r="I163" s="16"/>
      <c r="J163" s="16"/>
      <c r="K163" s="11"/>
      <c r="L163" s="3"/>
      <c r="M163" s="4"/>
      <c r="N163" s="4"/>
      <c r="O163" s="1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ht="15.6" customHeight="1">
      <c r="A164" s="1"/>
      <c r="B164" s="1"/>
      <c r="C164" s="11"/>
      <c r="D164" s="16"/>
      <c r="E164" s="16"/>
      <c r="F164" s="16"/>
      <c r="G164" s="16"/>
      <c r="H164" s="16"/>
      <c r="I164" s="16"/>
      <c r="J164" s="16"/>
      <c r="K164" s="11"/>
      <c r="L164" s="3"/>
      <c r="M164" s="4"/>
      <c r="N164" s="4"/>
      <c r="O164" s="1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ht="15.6" customHeight="1">
      <c r="A165" s="1"/>
      <c r="B165" s="1"/>
      <c r="C165" s="11"/>
      <c r="D165" s="16"/>
      <c r="E165" s="16"/>
      <c r="F165" s="16"/>
      <c r="G165" s="16"/>
      <c r="H165" s="16"/>
      <c r="I165" s="16"/>
      <c r="J165" s="16"/>
      <c r="K165" s="11"/>
      <c r="L165" s="3"/>
      <c r="M165" s="4"/>
      <c r="N165" s="4"/>
      <c r="O165" s="1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ht="15.6" customHeight="1">
      <c r="A166" s="1"/>
      <c r="B166" s="1"/>
      <c r="C166" s="11"/>
      <c r="D166" s="16"/>
      <c r="E166" s="16"/>
      <c r="F166" s="16"/>
      <c r="G166" s="16"/>
      <c r="H166" s="16"/>
      <c r="I166" s="16"/>
      <c r="J166" s="16"/>
      <c r="K166" s="11"/>
      <c r="L166" s="3"/>
      <c r="M166" s="4"/>
      <c r="N166" s="4"/>
      <c r="O166" s="1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ht="15.6" customHeight="1">
      <c r="A167" s="1"/>
      <c r="B167" s="1"/>
      <c r="C167" s="11"/>
      <c r="D167" s="16"/>
      <c r="E167" s="16"/>
      <c r="F167" s="16"/>
      <c r="G167" s="16"/>
      <c r="H167" s="16"/>
      <c r="I167" s="16"/>
      <c r="J167" s="16"/>
      <c r="K167" s="11"/>
      <c r="L167" s="3"/>
      <c r="M167" s="4"/>
      <c r="N167" s="4"/>
      <c r="O167" s="1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ht="15.6" customHeight="1">
      <c r="A168" s="1"/>
      <c r="B168" s="1"/>
      <c r="C168" s="11"/>
      <c r="D168" s="16"/>
      <c r="E168" s="16"/>
      <c r="F168" s="16"/>
      <c r="G168" s="16"/>
      <c r="H168" s="16"/>
      <c r="I168" s="16"/>
      <c r="J168" s="16"/>
      <c r="K168" s="11"/>
      <c r="L168" s="3"/>
      <c r="M168" s="4"/>
      <c r="N168" s="4"/>
      <c r="O168" s="1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ht="15.6" customHeight="1">
      <c r="A169" s="1"/>
      <c r="B169" s="1"/>
      <c r="C169" s="11"/>
      <c r="D169" s="16"/>
      <c r="E169" s="16"/>
      <c r="F169" s="16"/>
      <c r="G169" s="16"/>
      <c r="H169" s="16"/>
      <c r="I169" s="16"/>
      <c r="J169" s="16"/>
      <c r="K169" s="11"/>
      <c r="L169" s="3"/>
      <c r="M169" s="4"/>
      <c r="N169" s="4"/>
      <c r="O169" s="1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ht="15.6" customHeight="1">
      <c r="A170" s="1"/>
      <c r="B170" s="1"/>
      <c r="C170" s="11"/>
      <c r="D170" s="16"/>
      <c r="E170" s="16"/>
      <c r="F170" s="16"/>
      <c r="G170" s="16"/>
      <c r="H170" s="16"/>
      <c r="I170" s="16"/>
      <c r="J170" s="16"/>
      <c r="K170" s="11"/>
      <c r="L170" s="3"/>
      <c r="M170" s="4"/>
      <c r="N170" s="4"/>
      <c r="O170" s="1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ht="15.6" customHeight="1">
      <c r="A171" s="1"/>
      <c r="B171" s="1"/>
      <c r="C171" s="11"/>
      <c r="D171" s="16"/>
      <c r="E171" s="16"/>
      <c r="F171" s="16"/>
      <c r="G171" s="16"/>
      <c r="H171" s="16"/>
      <c r="I171" s="16"/>
      <c r="J171" s="16"/>
      <c r="K171" s="11"/>
      <c r="L171" s="3"/>
      <c r="M171" s="4"/>
      <c r="N171" s="4"/>
      <c r="O171" s="1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ht="15.6" customHeight="1">
      <c r="A172" s="1"/>
      <c r="B172" s="1"/>
      <c r="C172" s="11"/>
      <c r="D172" s="16"/>
      <c r="E172" s="16"/>
      <c r="F172" s="16"/>
      <c r="G172" s="16"/>
      <c r="H172" s="16"/>
      <c r="I172" s="16"/>
      <c r="J172" s="16"/>
      <c r="K172" s="11"/>
      <c r="L172" s="3"/>
      <c r="M172" s="4"/>
      <c r="N172" s="4"/>
      <c r="O172" s="1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ht="15.6" customHeight="1">
      <c r="C173" s="227"/>
      <c r="D173" s="25"/>
      <c r="E173" s="25"/>
      <c r="F173" s="25"/>
      <c r="G173" s="25"/>
      <c r="H173" s="25"/>
      <c r="I173" s="25"/>
      <c r="J173" s="25"/>
      <c r="K173" s="227"/>
    </row>
    <row r="174" spans="1:25" ht="15.6" customHeight="1">
      <c r="C174" s="227"/>
      <c r="D174" s="25"/>
      <c r="E174" s="25"/>
      <c r="F174" s="25"/>
      <c r="G174" s="25"/>
      <c r="H174" s="25"/>
      <c r="I174" s="25"/>
      <c r="J174" s="25"/>
      <c r="K174" s="227"/>
    </row>
    <row r="175" spans="1:25" ht="15.6" customHeight="1">
      <c r="C175" s="227"/>
      <c r="D175" s="25"/>
      <c r="E175" s="25"/>
      <c r="F175" s="25"/>
      <c r="G175" s="25"/>
      <c r="H175" s="25"/>
      <c r="I175" s="25"/>
      <c r="J175" s="25"/>
      <c r="K175" s="227"/>
    </row>
    <row r="176" spans="1:25" ht="15.6" customHeight="1">
      <c r="C176" s="227"/>
      <c r="D176" s="25"/>
      <c r="E176" s="25"/>
      <c r="F176" s="25"/>
      <c r="G176" s="25"/>
      <c r="H176" s="25"/>
      <c r="I176" s="25"/>
      <c r="J176" s="25"/>
      <c r="K176" s="227"/>
    </row>
    <row r="177" spans="3:11" ht="15.6" customHeight="1">
      <c r="C177" s="227"/>
      <c r="D177" s="25"/>
      <c r="E177" s="25"/>
      <c r="F177" s="25"/>
      <c r="G177" s="25"/>
      <c r="H177" s="25"/>
      <c r="I177" s="25"/>
      <c r="J177" s="25"/>
      <c r="K177" s="227"/>
    </row>
    <row r="178" spans="3:11" ht="15.6" customHeight="1">
      <c r="C178" s="227"/>
      <c r="D178" s="25"/>
      <c r="E178" s="25"/>
      <c r="F178" s="25"/>
      <c r="G178" s="25"/>
      <c r="H178" s="25"/>
      <c r="I178" s="25"/>
      <c r="J178" s="25"/>
      <c r="K178" s="227"/>
    </row>
    <row r="179" spans="3:11" ht="15.6" customHeight="1">
      <c r="C179" s="227"/>
      <c r="D179" s="25"/>
      <c r="E179" s="25"/>
      <c r="F179" s="25"/>
      <c r="G179" s="25"/>
      <c r="H179" s="25"/>
      <c r="I179" s="25"/>
      <c r="J179" s="25"/>
      <c r="K179" s="227"/>
    </row>
    <row r="180" spans="3:11" ht="15.6" customHeight="1">
      <c r="C180" s="227"/>
      <c r="D180" s="25"/>
      <c r="E180" s="25"/>
      <c r="F180" s="25"/>
      <c r="G180" s="25"/>
      <c r="H180" s="25"/>
      <c r="I180" s="25"/>
      <c r="J180" s="25"/>
      <c r="K180" s="227"/>
    </row>
    <row r="181" spans="3:11" ht="15.6" customHeight="1">
      <c r="C181" s="227"/>
      <c r="D181" s="25"/>
      <c r="E181" s="25"/>
      <c r="F181" s="25"/>
      <c r="G181" s="25"/>
      <c r="H181" s="25"/>
      <c r="I181" s="25"/>
      <c r="J181" s="25"/>
      <c r="K181" s="227"/>
    </row>
    <row r="182" spans="3:11" ht="15.6" customHeight="1">
      <c r="C182" s="227"/>
      <c r="D182" s="25"/>
      <c r="E182" s="25"/>
      <c r="F182" s="25"/>
      <c r="G182" s="25"/>
      <c r="H182" s="25"/>
      <c r="I182" s="25"/>
      <c r="J182" s="25"/>
      <c r="K182" s="227"/>
    </row>
    <row r="183" spans="3:11" ht="15.6" customHeight="1">
      <c r="C183" s="227"/>
      <c r="D183" s="25"/>
      <c r="E183" s="25"/>
      <c r="F183" s="25"/>
      <c r="G183" s="25"/>
      <c r="H183" s="25"/>
      <c r="I183" s="25"/>
      <c r="J183" s="25"/>
      <c r="K183" s="227"/>
    </row>
    <row r="184" spans="3:11" ht="15.6" customHeight="1">
      <c r="C184" s="227"/>
      <c r="D184" s="25"/>
      <c r="E184" s="25"/>
      <c r="F184" s="25"/>
      <c r="G184" s="25"/>
      <c r="H184" s="25"/>
      <c r="I184" s="25"/>
      <c r="J184" s="25"/>
      <c r="K184" s="227"/>
    </row>
    <row r="185" spans="3:11" ht="15.6" customHeight="1">
      <c r="C185" s="227"/>
      <c r="D185" s="25"/>
      <c r="E185" s="25"/>
      <c r="F185" s="25"/>
      <c r="G185" s="25"/>
      <c r="H185" s="25"/>
      <c r="I185" s="25"/>
      <c r="J185" s="25"/>
      <c r="K185" s="227"/>
    </row>
    <row r="186" spans="3:11" ht="15.6" customHeight="1">
      <c r="C186" s="227"/>
      <c r="D186" s="25"/>
      <c r="E186" s="25"/>
      <c r="F186" s="25"/>
      <c r="G186" s="25"/>
      <c r="H186" s="25"/>
      <c r="I186" s="25"/>
      <c r="J186" s="25"/>
      <c r="K186" s="227"/>
    </row>
    <row r="187" spans="3:11" ht="15.6" customHeight="1">
      <c r="C187" s="227"/>
      <c r="D187" s="25"/>
      <c r="E187" s="25"/>
      <c r="F187" s="25"/>
      <c r="G187" s="25"/>
      <c r="H187" s="25"/>
      <c r="I187" s="25"/>
      <c r="J187" s="25"/>
      <c r="K187" s="227"/>
    </row>
    <row r="188" spans="3:11" ht="15.6" customHeight="1">
      <c r="C188" s="227"/>
      <c r="D188" s="25"/>
      <c r="E188" s="25"/>
      <c r="F188" s="25"/>
      <c r="G188" s="25"/>
      <c r="H188" s="25"/>
      <c r="I188" s="25"/>
      <c r="J188" s="25"/>
      <c r="K188" s="227"/>
    </row>
    <row r="189" spans="3:11" ht="15.6" customHeight="1">
      <c r="C189" s="227"/>
      <c r="D189" s="25"/>
      <c r="E189" s="25"/>
      <c r="F189" s="25"/>
      <c r="G189" s="25"/>
      <c r="H189" s="25"/>
      <c r="I189" s="25"/>
      <c r="J189" s="25"/>
      <c r="K189" s="227"/>
    </row>
    <row r="190" spans="3:11" ht="15.6" customHeight="1">
      <c r="C190" s="227"/>
      <c r="D190" s="25"/>
      <c r="E190" s="25"/>
      <c r="F190" s="25"/>
      <c r="G190" s="25"/>
      <c r="H190" s="25"/>
      <c r="I190" s="25"/>
      <c r="J190" s="25"/>
      <c r="K190" s="227"/>
    </row>
    <row r="191" spans="3:11" ht="15.6" customHeight="1">
      <c r="C191" s="227"/>
      <c r="D191" s="25"/>
      <c r="E191" s="25"/>
      <c r="F191" s="25"/>
      <c r="G191" s="25"/>
      <c r="H191" s="25"/>
      <c r="I191" s="25"/>
      <c r="J191" s="25"/>
      <c r="K191" s="227"/>
    </row>
    <row r="192" spans="3:11" ht="15.6" customHeight="1">
      <c r="C192" s="227"/>
      <c r="D192" s="25"/>
      <c r="E192" s="25"/>
      <c r="F192" s="25"/>
      <c r="G192" s="25"/>
      <c r="H192" s="25"/>
      <c r="I192" s="25"/>
      <c r="J192" s="25"/>
      <c r="K192" s="227"/>
    </row>
    <row r="193" spans="3:11" ht="15.6" customHeight="1">
      <c r="C193" s="227"/>
      <c r="D193" s="25"/>
      <c r="E193" s="25"/>
      <c r="F193" s="25"/>
      <c r="G193" s="25"/>
      <c r="H193" s="25"/>
      <c r="I193" s="25"/>
      <c r="J193" s="25"/>
      <c r="K193" s="227"/>
    </row>
  </sheetData>
  <mergeCells count="78">
    <mergeCell ref="V9:W9"/>
    <mergeCell ref="C4:L4"/>
    <mergeCell ref="C5:L5"/>
    <mergeCell ref="R6:S6"/>
    <mergeCell ref="R7:S7"/>
    <mergeCell ref="R9:S9"/>
    <mergeCell ref="J21:K21"/>
    <mergeCell ref="R10:S10"/>
    <mergeCell ref="V10:W10"/>
    <mergeCell ref="R11:S11"/>
    <mergeCell ref="V11:W11"/>
    <mergeCell ref="R12:S12"/>
    <mergeCell ref="V12:W12"/>
    <mergeCell ref="AL12:AM12"/>
    <mergeCell ref="C13:L13"/>
    <mergeCell ref="R15:W15"/>
    <mergeCell ref="K18:K20"/>
    <mergeCell ref="L18:L20"/>
    <mergeCell ref="R22:W22"/>
    <mergeCell ref="R23:S23"/>
    <mergeCell ref="T23:U23"/>
    <mergeCell ref="V23:W23"/>
    <mergeCell ref="J27:L27"/>
    <mergeCell ref="S27:S28"/>
    <mergeCell ref="D44:F44"/>
    <mergeCell ref="L29:M29"/>
    <mergeCell ref="J31:L31"/>
    <mergeCell ref="K33:M33"/>
    <mergeCell ref="D35:N35"/>
    <mergeCell ref="D36:F36"/>
    <mergeCell ref="D37:E37"/>
    <mergeCell ref="D38:E38"/>
    <mergeCell ref="D39:E39"/>
    <mergeCell ref="D40:E40"/>
    <mergeCell ref="D41:E41"/>
    <mergeCell ref="D42:E42"/>
    <mergeCell ref="D45:E45"/>
    <mergeCell ref="D46:E46"/>
    <mergeCell ref="D47:E47"/>
    <mergeCell ref="D48:E48"/>
    <mergeCell ref="D49:E49"/>
    <mergeCell ref="D51:F51"/>
    <mergeCell ref="D52:E52"/>
    <mergeCell ref="D53:E53"/>
    <mergeCell ref="D54:E54"/>
    <mergeCell ref="D55:E55"/>
    <mergeCell ref="D73:E73"/>
    <mergeCell ref="D56:E56"/>
    <mergeCell ref="D61:E61"/>
    <mergeCell ref="D62:F62"/>
    <mergeCell ref="D81:E81"/>
    <mergeCell ref="D58:E58"/>
    <mergeCell ref="D59:E59"/>
    <mergeCell ref="D60:E60"/>
    <mergeCell ref="D57:E57"/>
    <mergeCell ref="J65:L65"/>
    <mergeCell ref="C69:M69"/>
    <mergeCell ref="D70:E70"/>
    <mergeCell ref="D71:E71"/>
    <mergeCell ref="D72:E72"/>
    <mergeCell ref="D88:E88"/>
    <mergeCell ref="D75:N75"/>
    <mergeCell ref="D77:J77"/>
    <mergeCell ref="D78:E78"/>
    <mergeCell ref="T78:V78"/>
    <mergeCell ref="D79:E79"/>
    <mergeCell ref="D80:E80"/>
    <mergeCell ref="S84:T84"/>
    <mergeCell ref="D82:E82"/>
    <mergeCell ref="D124:M124"/>
    <mergeCell ref="W91:X91"/>
    <mergeCell ref="S97:T97"/>
    <mergeCell ref="D114:M114"/>
    <mergeCell ref="D115:M115"/>
    <mergeCell ref="D116:M116"/>
    <mergeCell ref="R116:V116"/>
    <mergeCell ref="S103:S104"/>
    <mergeCell ref="V103:V104"/>
  </mergeCells>
  <conditionalFormatting sqref="D22:I25">
    <cfRule type="expression" dxfId="8" priority="2">
      <formula>$R$7="Não"</formula>
    </cfRule>
  </conditionalFormatting>
  <conditionalFormatting sqref="D81:J81">
    <cfRule type="expression" dxfId="7" priority="3">
      <formula>$V$9="Não"</formula>
    </cfRule>
    <cfRule type="expression" dxfId="6" priority="4">
      <formula>$V$9="Não"</formula>
    </cfRule>
  </conditionalFormatting>
  <conditionalFormatting sqref="J27:N29">
    <cfRule type="expression" dxfId="5" priority="5">
      <formula>$V$9="Não"</formula>
    </cfRule>
  </conditionalFormatting>
  <conditionalFormatting sqref="K33:N33">
    <cfRule type="expression" dxfId="4" priority="6">
      <formula>$R$7="Sim"</formula>
    </cfRule>
  </conditionalFormatting>
  <conditionalFormatting sqref="D80:J80">
    <cfRule type="expression" dxfId="3" priority="7">
      <formula>$R$9="Não"</formula>
    </cfRule>
    <cfRule type="expression" dxfId="2" priority="8">
      <formula>$R$9="Não"</formula>
    </cfRule>
  </conditionalFormatting>
  <conditionalFormatting sqref="J31:N33">
    <cfRule type="expression" dxfId="1" priority="9">
      <formula>$R$9="Não"</formula>
    </cfRule>
  </conditionalFormatting>
  <conditionalFormatting sqref="D35:N65">
    <cfRule type="expression" dxfId="0" priority="1">
      <formula>$R$6="Não"</formula>
    </cfRule>
  </conditionalFormatting>
  <dataValidations count="3">
    <dataValidation type="list" allowBlank="1" showInputMessage="1" showErrorMessage="1" sqref="T91 V103" xr:uid="{64C2C371-6F9A-4632-93DA-E905F4A59C0E}">
      <formula1>"Sim,Não"</formula1>
    </dataValidation>
    <dataValidation type="list" allowBlank="1" showInputMessage="1" showErrorMessage="1" sqref="V12:W12 R12:S12" xr:uid="{D88DFE64-ADFE-478B-AF3A-9C0F94D0EC00}">
      <formula1>"CNPJ,CPF,NÃO"</formula1>
    </dataValidation>
    <dataValidation type="list" allowBlank="1" showInputMessage="1" showErrorMessage="1" sqref="V9 R9 R6:R7" xr:uid="{BD7FB963-DB99-41F7-A8D4-2C29EA926163}">
      <formula1>"Sim,Não,"</formula1>
    </dataValidation>
  </dataValidations>
  <hyperlinks>
    <hyperlink ref="Q4" location="MENU!A1" display="# MENU" xr:uid="{1724ED9E-9895-4258-91E4-3092F29D2943}"/>
  </hyperlinks>
  <pageMargins left="0.7" right="0.7" top="0.75" bottom="0.75" header="0.3" footer="0.3"/>
  <pageSetup paperSize="9" scale="20" orientation="portrait" r:id="rId1"/>
  <colBreaks count="1" manualBreakCount="1">
    <brk id="14" max="122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971550</xdr:colOff>
                    <xdr:row>0</xdr:row>
                    <xdr:rowOff>104775</xdr:rowOff>
                  </from>
                  <to>
                    <xdr:col>18</xdr:col>
                    <xdr:colOff>657225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78</xdr:row>
                    <xdr:rowOff>266700</xdr:rowOff>
                  </from>
                  <to>
                    <xdr:col>16</xdr:col>
                    <xdr:colOff>1800225</xdr:colOff>
                    <xdr:row>80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2020</vt:lpstr>
      <vt:lpstr>aliquotaprevidencia</vt:lpstr>
      <vt:lpstr>'ORDEM 2020'!Area_de_impressao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2025-02-17T13:34:56Z</dcterms:modified>
</cp:coreProperties>
</file>